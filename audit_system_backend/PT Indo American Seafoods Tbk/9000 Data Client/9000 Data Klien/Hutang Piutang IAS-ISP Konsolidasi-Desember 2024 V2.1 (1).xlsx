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PMGN 1\Downloads\"/>
    </mc:Choice>
  </mc:AlternateContent>
  <xr:revisionPtr revIDLastSave="0" documentId="13_ncr:1_{2CCFD01F-632E-4AAE-AE51-CA610D05C88A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KONSOL" sheetId="5" r:id="rId1"/>
    <sheet name="Summary ISP" sheetId="3" r:id="rId2"/>
    <sheet name="Summay IAS" sheetId="4" r:id="rId3"/>
    <sheet name="Hutang IAS Des 24" sheetId="26" r:id="rId4"/>
    <sheet name="Piutang IAS Des 24" sheetId="25" r:id="rId5"/>
    <sheet name="Hutang ISP Des 24" sheetId="28" r:id="rId6"/>
    <sheet name="Piutang ISP Des 24" sheetId="27" r:id="rId7"/>
    <sheet name="Piutang IAS Sept 24" sheetId="23" state="hidden" r:id="rId8"/>
    <sheet name="Hutang IAS Sept 24" sheetId="24" state="hidden" r:id="rId9"/>
    <sheet name="Hutang Usaha ISP Sept 2024" sheetId="21" state="hidden" r:id="rId10"/>
    <sheet name="Piutang ISP Sept 24" sheetId="22" state="hidden" r:id="rId11"/>
    <sheet name="Hutang Usaha IAS Juni 24" sheetId="18" state="hidden" r:id="rId12"/>
    <sheet name="Hutang Usaha ISP Juni 2024" sheetId="20" state="hidden" r:id="rId13"/>
    <sheet name="Piutang ISP Juni 24" sheetId="19" state="hidden" r:id="rId14"/>
    <sheet name="Piutang IAS Juni 24" sheetId="17" state="hidden" r:id="rId15"/>
    <sheet name="Hutang Usaha IAS 23" sheetId="13" r:id="rId16"/>
    <sheet name="Piutang IAS 2023" sheetId="14" r:id="rId17"/>
    <sheet name="Piutang Usaha ISP 2023" sheetId="15" r:id="rId18"/>
    <sheet name="Hutang Usaha ISP 2023" sheetId="16" r:id="rId19"/>
    <sheet name="Piutang Usaha 2022" sheetId="9" state="hidden" r:id="rId20"/>
    <sheet name="Hutang Usaha ISP 2022" sheetId="7" state="hidden" r:id="rId21"/>
    <sheet name="Piutang Usaha 2021" sheetId="8" state="hidden" r:id="rId22"/>
    <sheet name="Hutang Usaha ISP 2021" sheetId="6" state="hidden" r:id="rId23"/>
    <sheet name="Piutang Usaha ISP 2020" sheetId="2" state="hidden" r:id="rId24"/>
    <sheet name="Utang Usaha ISP 2020" sheetId="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_\b">#N/A</definedName>
    <definedName name="_\g">#N/A</definedName>
    <definedName name="_\n">#N/A</definedName>
    <definedName name="__\b">#N/A</definedName>
    <definedName name="__\g">#N/A</definedName>
    <definedName name="__\n">#N/A</definedName>
    <definedName name="___\a" localSheetId="18">#REF!</definedName>
    <definedName name="___\a" localSheetId="16">#REF!</definedName>
    <definedName name="___\a" localSheetId="21">#REF!</definedName>
    <definedName name="___\a" localSheetId="19">#REF!</definedName>
    <definedName name="___\a" localSheetId="17">#REF!</definedName>
    <definedName name="___\a">#REF!</definedName>
    <definedName name="______\a" localSheetId="18">#REF!</definedName>
    <definedName name="______\a" localSheetId="16">#REF!</definedName>
    <definedName name="______\a" localSheetId="21">#REF!</definedName>
    <definedName name="______\a" localSheetId="19">#REF!</definedName>
    <definedName name="______\a" localSheetId="17">#REF!</definedName>
    <definedName name="______\a">#REF!</definedName>
    <definedName name="____DAT1" localSheetId="18">#REF!</definedName>
    <definedName name="____DAT1" localSheetId="16">#REF!</definedName>
    <definedName name="____DAT1" localSheetId="19">#REF!</definedName>
    <definedName name="____DAT1" localSheetId="17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RSE2">'[1]CMA Addition'!$H$139</definedName>
    <definedName name="___TGL1">#REF!</definedName>
    <definedName name="___TGL2">#REF!</definedName>
    <definedName name="__123Graph_A" hidden="1">'[2]12'!$AI$11:$AI$22</definedName>
    <definedName name="__123Graph_AWEAKNESS" hidden="1">'[3]ocean voyage'!#REF!</definedName>
    <definedName name="__123Graph_B" hidden="1">'[2]12'!$AJ$11:$AJ$22</definedName>
    <definedName name="__123Graph_C" hidden="1">'[2]12'!$AK$11:$AK$22</definedName>
    <definedName name="__123Graph_D" hidden="1">'[2]12'!$AL$11:$AL$22</definedName>
    <definedName name="__123Graph_E" hidden="1">'[2]12'!$AM$11:$AM$22</definedName>
    <definedName name="__123Graph_F" hidden="1">'[4]summary-1'!#REF!</definedName>
    <definedName name="__123Graph_LBL_AWEAKNESS" hidden="1">'[3]ocean voyage'!#REF!</definedName>
    <definedName name="__123Graph_X" hidden="1">'[2]12'!$AB$11:$AB$22</definedName>
    <definedName name="__123Graph_XWEAKNESS" hidden="1">'[3]ocean voyage'!#REF!</definedName>
    <definedName name="__COA08">[5]coa!$E$6:$E$944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70000">#REF!</definedName>
    <definedName name="__RSE1">'[1]CMA Addition'!$E$139</definedName>
    <definedName name="__RSE2">'[6]CMA Addition'!$H$139</definedName>
    <definedName name="__TGL1">#REF!</definedName>
    <definedName name="__TGL2">#REF!</definedName>
    <definedName name="_100__123Graph_BCHART_75" hidden="1">'[7]Data SRL'!$AL$8:$AL$100</definedName>
    <definedName name="_101__123Graph_BCHART_77" hidden="1">'[7]Data SRL'!$AO$8:$AO$193</definedName>
    <definedName name="_102__123Graph_BCHART_78" hidden="1">'[7]Data SRL'!$AT$9:$AT$100</definedName>
    <definedName name="_103__123Graph_BCHART_79" hidden="1">'[7]Data SRL'!$BA$8:$BA$100</definedName>
    <definedName name="_104__123Graph_BCHART_8" hidden="1">'[8]PABRIK (2)'!#REF!</definedName>
    <definedName name="_105__123Graph_BCHART_81" hidden="1">'[7]Data SRL'!$BE$8:$BE$100</definedName>
    <definedName name="_106__123Graph_BCHART_85" hidden="1">'[7]Data Prod_Graf'!$B$4:$M$4</definedName>
    <definedName name="_107__123Graph_BCHART_86" hidden="1">'[7]Data Prod_Graf'!$B$12:$M$12</definedName>
    <definedName name="_108__123Graph_BCHART_87" hidden="1">'[7]Data Prod_Graf'!$B$21:$M$21</definedName>
    <definedName name="_109__123Graph_BCHART_88" hidden="1">'[7]Data Prod_Graf'!$B$29:$M$29</definedName>
    <definedName name="_10Module1__2__.by09ytd" localSheetId="18">'Hutang Usaha ISP 2023'!_10Module1__2__.by09ytd</definedName>
    <definedName name="_10Module1__2__.by09ytd" localSheetId="16">'Piutang IAS 2023'!_10Module1__2__.by09ytd</definedName>
    <definedName name="_10Module1__2__.by09ytd" localSheetId="21">'Piutang Usaha 2021'!_10Module1__2__.by09ytd</definedName>
    <definedName name="_10Module1__2__.by09ytd" localSheetId="19">'Piutang Usaha 2022'!_10Module1__2__.by09ytd</definedName>
    <definedName name="_10Module1__2__.by09ytd" localSheetId="17">'Piutang Usaha ISP 2023'!_10Module1__2__.by09ytd</definedName>
    <definedName name="_10Module1__2__.by09ytd">_10Module1__2__.by09ytd</definedName>
    <definedName name="_110__123Graph_BCHART_9" localSheetId="18" hidden="1">'[8]PABRIK (2)'!#REF!</definedName>
    <definedName name="_110__123Graph_BCHART_9" localSheetId="16" hidden="1">'[8]PABRIK (2)'!#REF!</definedName>
    <definedName name="_110__123Graph_BCHART_9" localSheetId="21" hidden="1">'[8]PABRIK (2)'!#REF!</definedName>
    <definedName name="_110__123Graph_BCHART_9" localSheetId="19" hidden="1">'[8]PABRIK (2)'!#REF!</definedName>
    <definedName name="_110__123Graph_BCHART_9" localSheetId="17" hidden="1">'[8]PABRIK (2)'!#REF!</definedName>
    <definedName name="_110__123Graph_BCHART_9" hidden="1">'[8]PABRIK (2)'!#REF!</definedName>
    <definedName name="_111__123Graph_CCHART_1" hidden="1">'[7]Data SRL'!$BM$9:$BM$100</definedName>
    <definedName name="_112__123Graph_CCHART_10" hidden="1">'[8]PABRIK (2)'!$AF$9:$AF$287</definedName>
    <definedName name="_113__123Graph_CCHART_11" hidden="1">'[8]PABRIK (2)'!$AF$9:$AF$287</definedName>
    <definedName name="_114__123Graph_CCHART_12" hidden="1">'[8]PABRIK (2)'!$AF$9:$AF$287</definedName>
    <definedName name="_115__123Graph_CCHART_13" hidden="1">'[8]PABRIK (2)'!$AF$9:$AF$287</definedName>
    <definedName name="_116__123Graph_CCHART_14" hidden="1">'[8]PABRIK (2)'!$AF$9:$AF$287</definedName>
    <definedName name="_117__123Graph_CCHART_15" hidden="1">[9]Data!$P$50:$P$61</definedName>
    <definedName name="_118__123Graph_CCHART_16" hidden="1">'[8]PABRIK (2)'!$AF$9:$AF$287</definedName>
    <definedName name="_119__123Graph_CCHART_17" hidden="1">'[8]PABRIK (2)'!$AF$9:$AF$287</definedName>
    <definedName name="_11Module1__2__.pl01tm" localSheetId="18">'Hutang Usaha ISP 2023'!_11Module1__2__.pl01tm</definedName>
    <definedName name="_11Module1__2__.pl01tm" localSheetId="16">'Piutang IAS 2023'!_11Module1__2__.pl01tm</definedName>
    <definedName name="_11Module1__2__.pl01tm" localSheetId="21">'Piutang Usaha 2021'!_11Module1__2__.pl01tm</definedName>
    <definedName name="_11Module1__2__.pl01tm" localSheetId="19">'Piutang Usaha 2022'!_11Module1__2__.pl01tm</definedName>
    <definedName name="_11Module1__2__.pl01tm" localSheetId="17">'Piutang Usaha ISP 2023'!_11Module1__2__.pl01tm</definedName>
    <definedName name="_11Module1__2__.pl01tm">_11Module1__2__.pl01tm</definedName>
    <definedName name="_120__123Graph_CCHART_18" hidden="1">'[8]PABRIK (2)'!$AF$9:$AF$287</definedName>
    <definedName name="_121__123Graph_CCHART_19" hidden="1">'[8]PABRIK (2)'!$AF$9:$AF$287</definedName>
    <definedName name="_122__123Graph_CCHART_2" hidden="1">'[7]Data SRL'!$AR$8:$AR$379</definedName>
    <definedName name="_123__123Graph_CCHART_20" hidden="1">'[8]PABRIK (2)'!$AF$9:$AF$287</definedName>
    <definedName name="_124__123Graph_CCHART_21" hidden="1">'[8]PABRIK (2)'!$AF$9:$AF$287</definedName>
    <definedName name="_125__123Graph_CCHART_22" hidden="1">'[8]PABRIK (2)'!$AF$9:$AF$287</definedName>
    <definedName name="_126__123Graph_CCHART_23" hidden="1">'[8]PABRIK (2)'!$AF$9:$AF$287</definedName>
    <definedName name="_127__123Graph_CCHART_24" hidden="1">'[8]PABRIK (2)'!$AF$9:$AF$287</definedName>
    <definedName name="_128__123Graph_CCHART_25" hidden="1">'[8]PABRIK (2)'!$AF$9:$AF$287</definedName>
    <definedName name="_129__123Graph_CCHART_26" hidden="1">'[8]PABRIK (2)'!$AF$9:$AF$287</definedName>
    <definedName name="_12Module1__2__.pl01ytd" localSheetId="18">'Hutang Usaha ISP 2023'!_12Module1__2__.pl01ytd</definedName>
    <definedName name="_12Module1__2__.pl01ytd" localSheetId="16">'Piutang IAS 2023'!_12Module1__2__.pl01ytd</definedName>
    <definedName name="_12Module1__2__.pl01ytd" localSheetId="21">'Piutang Usaha 2021'!_12Module1__2__.pl01ytd</definedName>
    <definedName name="_12Module1__2__.pl01ytd" localSheetId="19">'Piutang Usaha 2022'!_12Module1__2__.pl01ytd</definedName>
    <definedName name="_12Module1__2__.pl01ytd" localSheetId="17">'Piutang Usaha ISP 2023'!_12Module1__2__.pl01ytd</definedName>
    <definedName name="_12Module1__2__.pl01ytd">_12Module1__2__.pl01ytd</definedName>
    <definedName name="_130__123Graph_CCHART_27" hidden="1">'[8]PABRIK (2)'!$AF$9:$AF$287</definedName>
    <definedName name="_131__123Graph_CCHART_28" hidden="1">'[8]PABRIK (2)'!$AF$9:$AF$287</definedName>
    <definedName name="_132__123Graph_CCHART_29" hidden="1">'[8]PABRIK (2)'!$AF$9:$AF$287</definedName>
    <definedName name="_133__123Graph_CCHART_3" hidden="1">'[7]Data SRL'!$L$8:$L$100</definedName>
    <definedName name="_134__123Graph_CCHART_4" hidden="1">'[7]Data SRL'!$BM$8:$BM$100</definedName>
    <definedName name="_135__123Graph_CCHART_5" hidden="1">[10]PO!$B$59:$M$59</definedName>
    <definedName name="_136__123Graph_CCHART_6" hidden="1">'[7]Data SRL'!$L$8:$L$100</definedName>
    <definedName name="_137__123Graph_CCHART_64" hidden="1">'[7]Data SRL'!$H$8:$H$379</definedName>
    <definedName name="_138__123Graph_CCHART_68" hidden="1">'[7]Data SRL'!$AC$8:$AC$100</definedName>
    <definedName name="_139__123Graph_CCHART_7" hidden="1">[11]PK!$B$63:$M$63</definedName>
    <definedName name="_13Module1__2__.pl02tm" localSheetId="18">'Hutang Usaha ISP 2023'!_13Module1__2__.pl02tm</definedName>
    <definedName name="_13Module1__2__.pl02tm" localSheetId="16">'Piutang IAS 2023'!_13Module1__2__.pl02tm</definedName>
    <definedName name="_13Module1__2__.pl02tm" localSheetId="21">'Piutang Usaha 2021'!_13Module1__2__.pl02tm</definedName>
    <definedName name="_13Module1__2__.pl02tm" localSheetId="19">'Piutang Usaha 2022'!_13Module1__2__.pl02tm</definedName>
    <definedName name="_13Module1__2__.pl02tm" localSheetId="17">'Piutang Usaha ISP 2023'!_13Module1__2__.pl02tm</definedName>
    <definedName name="_13Module1__2__.pl02tm">_13Module1__2__.pl02tm</definedName>
    <definedName name="_140__123Graph_CCHART_73" hidden="1">'[7]Data SRL'!$AE$8:$AE$131</definedName>
    <definedName name="_141__123Graph_CCHART_75" hidden="1">'[7]Data SRL'!$AM$8:$AM$100</definedName>
    <definedName name="_142__123Graph_CCHART_77" hidden="1">'[7]Data SRL'!$AP$8:$AP$193</definedName>
    <definedName name="_143__123Graph_CCHART_78" hidden="1">'[7]Data SRL'!$AU$9:$AU$100</definedName>
    <definedName name="_144__123Graph_CCHART_79" hidden="1">'[7]Data SRL'!$BB$8:$BB$100</definedName>
    <definedName name="_145__123Graph_CCHART_8" hidden="1">'[8]PABRIK (2)'!$AF$9:$AF$287</definedName>
    <definedName name="_146__123Graph_CCHART_81" hidden="1">'[7]Data SRL'!$AY$8:$AY$100</definedName>
    <definedName name="_147__123Graph_CCHART_85" hidden="1">'[7]Data Prod_Graf'!$B$5:$M$5</definedName>
    <definedName name="_148__123Graph_CCHART_86" hidden="1">'[7]Data Prod_Graf'!$B$13:$M$13</definedName>
    <definedName name="_149__123Graph_CCHART_87" hidden="1">'[7]Data Prod_Graf'!$B$22:$M$22</definedName>
    <definedName name="_14Module1__2__.pl02ytd" localSheetId="18">'Hutang Usaha ISP 2023'!_14Module1__2__.pl02ytd</definedName>
    <definedName name="_14Module1__2__.pl02ytd" localSheetId="16">'Piutang IAS 2023'!_14Module1__2__.pl02ytd</definedName>
    <definedName name="_14Module1__2__.pl02ytd" localSheetId="21">'Piutang Usaha 2021'!_14Module1__2__.pl02ytd</definedName>
    <definedName name="_14Module1__2__.pl02ytd" localSheetId="19">'Piutang Usaha 2022'!_14Module1__2__.pl02ytd</definedName>
    <definedName name="_14Module1__2__.pl02ytd" localSheetId="17">'Piutang Usaha ISP 2023'!_14Module1__2__.pl02ytd</definedName>
    <definedName name="_14Module1__2__.pl02ytd">_14Module1__2__.pl02ytd</definedName>
    <definedName name="_150__123Graph_CCHART_88" hidden="1">'[7]Data Prod_Graf'!$B$30:$M$30</definedName>
    <definedName name="_151__123Graph_CCHART_9" hidden="1">'[8]PABRIK (2)'!$AF$9:$AF$287</definedName>
    <definedName name="_152__123Graph_DCHART_1" hidden="1">'[7]Data SRL'!$BN$9:$BN$100</definedName>
    <definedName name="_153__123Graph_DCHART_15" hidden="1">[9]Data!$Q$50:$Q$61</definedName>
    <definedName name="_154__123Graph_DCHART_2" hidden="1">'[7]Data SRL'!$J$8:$J$379</definedName>
    <definedName name="_155__123Graph_DCHART_5" hidden="1">'[7]Data SRL'!$BN$9:$BN$100</definedName>
    <definedName name="_156__123Graph_DCHART_6" hidden="1">'[7]Data SRL'!$CV$8:$CV$100</definedName>
    <definedName name="_157__123Graph_DCHART_7" hidden="1">[11]PK!$B$64:$M$64</definedName>
    <definedName name="_158__123Graph_DCHART_77" hidden="1">'[7]Data SRL'!$AQ$8:$AQ$193</definedName>
    <definedName name="_159__123Graph_DCHART_78" hidden="1">'[7]Data SRL'!$BJ$8:$BJ$100</definedName>
    <definedName name="_15Module1__2__.pl03tm" localSheetId="18">'Hutang Usaha ISP 2023'!_15Module1__2__.pl03tm</definedName>
    <definedName name="_15Module1__2__.pl03tm" localSheetId="16">'Piutang IAS 2023'!_15Module1__2__.pl03tm</definedName>
    <definedName name="_15Module1__2__.pl03tm" localSheetId="21">'Piutang Usaha 2021'!_15Module1__2__.pl03tm</definedName>
    <definedName name="_15Module1__2__.pl03tm" localSheetId="19">'Piutang Usaha 2022'!_15Module1__2__.pl03tm</definedName>
    <definedName name="_15Module1__2__.pl03tm" localSheetId="17">'Piutang Usaha ISP 2023'!_15Module1__2__.pl03tm</definedName>
    <definedName name="_15Module1__2__.pl03tm">_15Module1__2__.pl03tm</definedName>
    <definedName name="_160__123Graph_DCHART_79" hidden="1">'[7]Data SRL'!$BC$8:$BC$100</definedName>
    <definedName name="_161__123Graph_DCHART_81" hidden="1">'[7]Data SRL'!$BH$8:$BH$100</definedName>
    <definedName name="_162__123Graph_DCHART_85" hidden="1">'[7]Data Prod_Graf'!$B$6:$M$6</definedName>
    <definedName name="_163__123Graph_DCHART_86" hidden="1">'[7]Data Prod_Graf'!$B$14:$M$14</definedName>
    <definedName name="_164__123Graph_DCHART_87" hidden="1">'[7]Data Prod_Graf'!$B$23:$M$23</definedName>
    <definedName name="_165__123Graph_DCHART_88" hidden="1">'[7]Data Prod_Graf'!$B$31:$M$31</definedName>
    <definedName name="_166__123Graph_ECHART_1" hidden="1">'[7]Data SRL'!$BO$9:$BO$100</definedName>
    <definedName name="_167__123Graph_ECHART_2" hidden="1">'[7]Data SRL'!$CS$8:$CS$379</definedName>
    <definedName name="_168__123Graph_ECHART_3" hidden="1">'[7]Data SRL'!$N$8:$N$100</definedName>
    <definedName name="_169__123Graph_ECHART_4" hidden="1">'[7]Data SRL'!$BO$9:$BO$100</definedName>
    <definedName name="_16Module1__2__.pl03ytd" localSheetId="18">'Hutang Usaha ISP 2023'!_16Module1__2__.pl03ytd</definedName>
    <definedName name="_16Module1__2__.pl03ytd" localSheetId="16">'Piutang IAS 2023'!_16Module1__2__.pl03ytd</definedName>
    <definedName name="_16Module1__2__.pl03ytd" localSheetId="21">'Piutang Usaha 2021'!_16Module1__2__.pl03ytd</definedName>
    <definedName name="_16Module1__2__.pl03ytd" localSheetId="19">'Piutang Usaha 2022'!_16Module1__2__.pl03ytd</definedName>
    <definedName name="_16Module1__2__.pl03ytd" localSheetId="17">'Piutang Usaha ISP 2023'!_16Module1__2__.pl03ytd</definedName>
    <definedName name="_16Module1__2__.pl03ytd">_16Module1__2__.pl03ytd</definedName>
    <definedName name="_170__123Graph_ECHART_5" hidden="1">[10]PO!$B$61:$M$61</definedName>
    <definedName name="_171__123Graph_ECHART_6" hidden="1">'[7]Data SRL'!$CW$8:$CW$100</definedName>
    <definedName name="_172__123Graph_ECHART_7" hidden="1">[11]PK!$B$65:$M$65</definedName>
    <definedName name="_173__123Graph_ECHART_85" hidden="1">'[7]Data Prod_Graf'!$B$7:$M$7</definedName>
    <definedName name="_174__123Graph_ECHART_86" hidden="1">'[7]Data Prod_Graf'!$B$15:$M$15</definedName>
    <definedName name="_175__123Graph_ECHART_87" hidden="1">'[7]Data Prod_Graf'!$B$24:$M$24</definedName>
    <definedName name="_176__123Graph_ECHART_88" hidden="1">'[7]Data Prod_Graf'!$B$32:$M$32</definedName>
    <definedName name="_177__123Graph_FCHART_1" hidden="1">'[7]Data SRL'!$BP$9:$BP$100</definedName>
    <definedName name="_178__123Graph_FCHART_2" hidden="1">[10]PO!$B$30:$M$30</definedName>
    <definedName name="_179__123Graph_FCHART_5" hidden="1">'[7]Data SRL'!$BP$9:$BP$100</definedName>
    <definedName name="_17Module1__2__.pltm" localSheetId="18">'Hutang Usaha ISP 2023'!_17Module1__2__.pltm</definedName>
    <definedName name="_17Module1__2__.pltm" localSheetId="16">'Piutang IAS 2023'!_17Module1__2__.pltm</definedName>
    <definedName name="_17Module1__2__.pltm" localSheetId="21">'Piutang Usaha 2021'!_17Module1__2__.pltm</definedName>
    <definedName name="_17Module1__2__.pltm" localSheetId="19">'Piutang Usaha 2022'!_17Module1__2__.pltm</definedName>
    <definedName name="_17Module1__2__.pltm" localSheetId="17">'Piutang Usaha ISP 2023'!_17Module1__2__.pltm</definedName>
    <definedName name="_17Module1__2__.pltm">_17Module1__2__.pltm</definedName>
    <definedName name="_180__123Graph_FCHART_6" hidden="1">[11]PK!$B$33:$M$33</definedName>
    <definedName name="_181__123Graph_FCHART_7" hidden="1">[11]PK!$B$66:$M$66</definedName>
    <definedName name="_182__123Graph_FCHART_78" hidden="1">'[7]Data SRL'!$AX$8:$AX$100</definedName>
    <definedName name="_183__123Graph_FCHART_86" hidden="1">'[7]Data Prod_Graf'!$B$16:$M$16</definedName>
    <definedName name="_184__123Graph_FCHART_87" hidden="1">'[7]Data Prod_Graf'!$B$25:$M$25</definedName>
    <definedName name="_185__123Graph_XCHART_1" hidden="1">[9]Data!$A$2:$A$73</definedName>
    <definedName name="_186__123Graph_XCHART_10" hidden="1">'[8]PABRIK (2)'!$A$9:$A$380</definedName>
    <definedName name="_187__123Graph_XCHART_11" hidden="1">'[8]PABRIK (2)'!$A$9:$A$380</definedName>
    <definedName name="_188__123Graph_XCHART_12" hidden="1">'[8]PABRIK (2)'!$A$9:$A$380</definedName>
    <definedName name="_189__123Graph_XCHART_13" hidden="1">[9]Data!$L$50:$L$61</definedName>
    <definedName name="_18Module1__2__.plytd" localSheetId="18">'Hutang Usaha ISP 2023'!_18Module1__2__.plytd</definedName>
    <definedName name="_18Module1__2__.plytd" localSheetId="16">'Piutang IAS 2023'!_18Module1__2__.plytd</definedName>
    <definedName name="_18Module1__2__.plytd" localSheetId="21">'Piutang Usaha 2021'!_18Module1__2__.plytd</definedName>
    <definedName name="_18Module1__2__.plytd" localSheetId="19">'Piutang Usaha 2022'!_18Module1__2__.plytd</definedName>
    <definedName name="_18Module1__2__.plytd" localSheetId="17">'Piutang Usaha ISP 2023'!_18Module1__2__.plytd</definedName>
    <definedName name="_18Module1__2__.plytd">_18Module1__2__.plytd</definedName>
    <definedName name="_19__123Graph_ACHART_1" hidden="1">[9]Data!$B$2:$B$73</definedName>
    <definedName name="_190__123Graph_XCHART_14" hidden="1">[9]Data!$L$50:$L$61</definedName>
    <definedName name="_191__123Graph_XCHART_15" hidden="1">[9]Data!$L$50:$L$61</definedName>
    <definedName name="_192__123Graph_XCHART_16" hidden="1">[9]Data!$L$62:$L$73</definedName>
    <definedName name="_193__123Graph_XCHART_17" hidden="1">[9]Data!$L$62:$L$73</definedName>
    <definedName name="_194__123Graph_XCHART_18" hidden="1">'[8]PABRIK (2)'!$A$9:$A$380</definedName>
    <definedName name="_195__123Graph_XCHART_19" hidden="1">'[8]PABRIK (2)'!$A$9:$A$380</definedName>
    <definedName name="_196__123Graph_XCHART_2" hidden="1">[9]Data!$A$38:$A$73</definedName>
    <definedName name="_197__123Graph_XCHART_20" hidden="1">'[8]PABRIK (2)'!$A$9:$A$380</definedName>
    <definedName name="_198__123Graph_XCHART_21" hidden="1">'[8]PABRIK (2)'!$A$9:$A$380</definedName>
    <definedName name="_199__123Graph_XCHART_22" hidden="1">'[8]PABRIK (2)'!$A$9:$A$380</definedName>
    <definedName name="_1Excel_BuiltIn_Print_Area_11_1">#REF!</definedName>
    <definedName name="_20__123Graph_ACHART_10" hidden="1">'[8]PABRIK (2)'!#REF!</definedName>
    <definedName name="_200__123Graph_XCHART_23" hidden="1">'[8]PABRIK (2)'!$A$9:$A$380</definedName>
    <definedName name="_201__123Graph_XCHART_24" hidden="1">'[8]PABRIK (2)'!$A$9:$A$380</definedName>
    <definedName name="_202__123Graph_XCHART_25" hidden="1">'[8]PABRIK (2)'!$A$9:$A$380</definedName>
    <definedName name="_203__123Graph_XCHART_26" hidden="1">'[8]PABRIK (2)'!$A$9:$A$380</definedName>
    <definedName name="_204__123Graph_XCHART_27" hidden="1">'[8]PABRIK (2)'!$A$9:$A$380</definedName>
    <definedName name="_205__123Graph_XCHART_28" hidden="1">'[8]PABRIK (2)'!$A$9:$A$380</definedName>
    <definedName name="_206__123Graph_XCHART_29" hidden="1">'[8]PABRIK (2)'!$A$9:$A$380</definedName>
    <definedName name="_207__123Graph_XCHART_3" hidden="1">[9]Data!$A$38:$A$73</definedName>
    <definedName name="_208__123Graph_XCHART_4" hidden="1">[9]Data!$A$38:$A$73</definedName>
    <definedName name="_209__123Graph_XCHART_5" hidden="1">[9]Data!$A$2:$A$73</definedName>
    <definedName name="_21__123Graph_ACHART_11" hidden="1">'[8]PABRIK (2)'!#REF!</definedName>
    <definedName name="_210__123Graph_XCHART_6" hidden="1">[9]Data!$A$2:$A$73</definedName>
    <definedName name="_211__123Graph_XCHART_62" hidden="1">'[7]Data SRL'!$B$8:$B$131</definedName>
    <definedName name="_212__123Graph_XCHART_64" hidden="1">'[7]Data SRL'!$B$8:$B$379</definedName>
    <definedName name="_213__123Graph_XCHART_65" hidden="1">'[7]Data SRL'!$B$8:$B$379</definedName>
    <definedName name="_214__123Graph_XCHART_68" hidden="1">'[7]Data SRL'!$B$8:$B$100</definedName>
    <definedName name="_215__123Graph_XCHART_69" hidden="1">'[7]Data SRL'!$B$8:$B$379</definedName>
    <definedName name="_216__123Graph_XCHART_7" hidden="1">[9]Data!$A$38:$A$73</definedName>
    <definedName name="_217__123Graph_XCHART_70" hidden="1">'[7]Data SRL'!$B$8:$B$379</definedName>
    <definedName name="_218__123Graph_XCHART_71" hidden="1">'[7]Data SRL'!$B$8:$B$379</definedName>
    <definedName name="_219__123Graph_XCHART_72" hidden="1">'[7]Data SRL'!$B$8:$B$379</definedName>
    <definedName name="_22__123Graph_ACHART_12" hidden="1">[9]Data!$K$38:$K$73</definedName>
    <definedName name="_220__123Graph_XCHART_73" hidden="1">'[7]Data SRL'!$B$8:$B$131</definedName>
    <definedName name="_221__123Graph_XCHART_74" hidden="1">'[7]Data SRL'!$B$8:$B$100</definedName>
    <definedName name="_222__123Graph_XCHART_75" hidden="1">'[7]Data SRL'!$B$8:$B$100</definedName>
    <definedName name="_223__123Graph_XCHART_77" hidden="1">'[7]Data SRL'!$B$8:$B$193</definedName>
    <definedName name="_224__123Graph_XCHART_78" hidden="1">'[7]Data SRL'!$B$8:$B$100</definedName>
    <definedName name="_225__123Graph_XCHART_79" hidden="1">'[7]Data SRL'!$B$8:$B$100</definedName>
    <definedName name="_226__123Graph_XCHART_8" hidden="1">[9]Data!$A$2:$A$73</definedName>
    <definedName name="_227__123Graph_XCHART_81" hidden="1">'[7]Data SRL'!$B$8:$B$100</definedName>
    <definedName name="_228__123Graph_XCHART_86" hidden="1">'[7]Data Prod_Graf'!$B$11:$M$11</definedName>
    <definedName name="_229__123Graph_XCHART_87" hidden="1">'[7]Data Prod_Graf'!$B$20:$M$20</definedName>
    <definedName name="_23__123Graph_ACHART_13" hidden="1">[9]Data!$M$50:$M$61</definedName>
    <definedName name="_230__123Graph_XCHART_88" hidden="1">'[7]Data Prod_Graf'!$B$28:$M$28</definedName>
    <definedName name="_231__123Graph_XCHART_9" hidden="1">[9]Data!$A$38:$A$73</definedName>
    <definedName name="_24__123Graph_ACHART_14" hidden="1">[9]Data!$O$50:$O$61</definedName>
    <definedName name="_25__123Graph_ACHART_15" hidden="1">[9]Data!$B$50:$B$61</definedName>
    <definedName name="_26__123Graph_ACHART_16" hidden="1">[9]Data!$K$62:$K$73</definedName>
    <definedName name="_27__123Graph_ACHART_17" hidden="1">[9]Data!$F$62:$F$73</definedName>
    <definedName name="_28__123Graph_ACHART_18" hidden="1">'[8]PABRIK (2)'!#REF!</definedName>
    <definedName name="_29__123Graph_ACHART_19" hidden="1">'[8]PABRIK (2)'!#REF!</definedName>
    <definedName name="_2Module1__2__.by01ytd" localSheetId="18">'Hutang Usaha ISP 2023'!_2Module1__2__.by01ytd</definedName>
    <definedName name="_2Module1__2__.by01ytd" localSheetId="16">'Piutang IAS 2023'!_2Module1__2__.by01ytd</definedName>
    <definedName name="_2Module1__2__.by01ytd" localSheetId="21">'Piutang Usaha 2021'!_2Module1__2__.by01ytd</definedName>
    <definedName name="_2Module1__2__.by01ytd" localSheetId="19">'Piutang Usaha 2022'!_2Module1__2__.by01ytd</definedName>
    <definedName name="_2Module1__2__.by01ytd" localSheetId="17">'Piutang Usaha ISP 2023'!_2Module1__2__.by01ytd</definedName>
    <definedName name="_2Module1__2__.by01ytd">_2Module1__2__.by01ytd</definedName>
    <definedName name="_30__123Graph_ACHART_2" hidden="1">[9]Data!$F$38:$F$73</definedName>
    <definedName name="_31__123Graph_ACHART_20" hidden="1">'[8]PABRIK (2)'!#REF!</definedName>
    <definedName name="_32__123Graph_ACHART_21" hidden="1">'[8]PABRIK (2)'!$B$9:$B$287</definedName>
    <definedName name="_33__123Graph_ACHART_22" hidden="1">'[8]PABRIK (2)'!$E$9:$E$287</definedName>
    <definedName name="_34__123Graph_ACHART_23" hidden="1">'[8]PABRIK (2)'!$K$9:$K$287</definedName>
    <definedName name="_35__123Graph_ACHART_24" hidden="1">'[8]PABRIK (2)'!$N$9:$N$287</definedName>
    <definedName name="_36__123Graph_ACHART_25" hidden="1">'[8]PABRIK (2)'!$H$9:$H$287</definedName>
    <definedName name="_37__123Graph_ACHART_26" hidden="1">'[8]PABRIK (2)'!$Q$9:$Q$287</definedName>
    <definedName name="_38__123Graph_ACHART_27" hidden="1">'[8]PABRIK (2)'!$T$9:$T$287</definedName>
    <definedName name="_39__123Graph_ACHART_28" hidden="1">'[8]PABRIK (2)'!$W$9:$W$287</definedName>
    <definedName name="_3Module1__2__.by02ytd" localSheetId="18">'Hutang Usaha ISP 2023'!_3Module1__2__.by02ytd</definedName>
    <definedName name="_3Module1__2__.by02ytd" localSheetId="16">'Piutang IAS 2023'!_3Module1__2__.by02ytd</definedName>
    <definedName name="_3Module1__2__.by02ytd" localSheetId="21">'Piutang Usaha 2021'!_3Module1__2__.by02ytd</definedName>
    <definedName name="_3Module1__2__.by02ytd" localSheetId="19">'Piutang Usaha 2022'!_3Module1__2__.by02ytd</definedName>
    <definedName name="_3Module1__2__.by02ytd" localSheetId="17">'Piutang Usaha ISP 2023'!_3Module1__2__.by02ytd</definedName>
    <definedName name="_3Module1__2__.by02ytd">_3Module1__2__.by02ytd</definedName>
    <definedName name="_40__123Graph_ACHART_29" hidden="1">'[8]PABRIK (2)'!$AC$9:$AC$287</definedName>
    <definedName name="_41__123Graph_ACHART_3" hidden="1">[9]Data!$G$38:$G$73</definedName>
    <definedName name="_42__123Graph_ACHART_4" hidden="1">[9]Data!$H$38:$H$73</definedName>
    <definedName name="_43__123Graph_ACHART_5" hidden="1">[9]Data!$C$2:$C$73</definedName>
    <definedName name="_432">432</definedName>
    <definedName name="_44__123Graph_ACHART_6" hidden="1">[9]Data!$D$2:$D$73</definedName>
    <definedName name="_45__123Graph_ACHART_62" hidden="1">'[7]Data SRL'!$C$8:$C$131</definedName>
    <definedName name="_46__123Graph_ACHART_64" hidden="1">'[7]Data SRL'!$F$8:$F$379</definedName>
    <definedName name="_47__123Graph_ACHART_65" hidden="1">'[7]Data SRL'!$I$8:$I$379</definedName>
    <definedName name="_48__123Graph_ACHART_68" hidden="1">'[7]Data SRL'!$N$8:$N$100</definedName>
    <definedName name="_49__123Graph_ACHART_69" hidden="1">'[7]Data SRL'!$M$8:$M$379</definedName>
    <definedName name="_4Module1__2__.by03ytd" localSheetId="18">'Hutang Usaha ISP 2023'!_4Module1__2__.by03ytd</definedName>
    <definedName name="_4Module1__2__.by03ytd" localSheetId="16">'Piutang IAS 2023'!_4Module1__2__.by03ytd</definedName>
    <definedName name="_4Module1__2__.by03ytd" localSheetId="21">'Piutang Usaha 2021'!_4Module1__2__.by03ytd</definedName>
    <definedName name="_4Module1__2__.by03ytd" localSheetId="19">'Piutang Usaha 2022'!_4Module1__2__.by03ytd</definedName>
    <definedName name="_4Module1__2__.by03ytd" localSheetId="17">'Piutang Usaha ISP 2023'!_4Module1__2__.by03ytd</definedName>
    <definedName name="_4Module1__2__.by03ytd">_4Module1__2__.by03ytd</definedName>
    <definedName name="_50__123Graph_ACHART_7" hidden="1">[9]Data!$I$38:$I$73</definedName>
    <definedName name="_51__123Graph_ACHART_70" hidden="1">'[7]Data SRL'!$S$8:$S$379</definedName>
    <definedName name="_52__123Graph_ACHART_71" hidden="1">'[7]Data SRL'!$Q$39:$Q$379</definedName>
    <definedName name="_53__123Graph_ACHART_72" hidden="1">'[7]Data SRL'!$T$8:$T$379</definedName>
    <definedName name="_54__123Graph_ACHART_73" hidden="1">'[7]Data SRL'!$AC$8:$AC$131</definedName>
    <definedName name="_55__123Graph_ACHART_74" hidden="1">'[7]Data SRL'!$AH$8:$AH$100</definedName>
    <definedName name="_56__123Graph_ACHART_75" hidden="1">'[7]Data SRL'!$AK$8:$AK$100</definedName>
    <definedName name="_57__123Graph_ACHART_77" hidden="1">'[7]Data SRL'!$AN$8:$AN$193</definedName>
    <definedName name="_58__123Graph_ACHART_78" hidden="1">'[7]Data SRL'!$AS$8:$AS$100</definedName>
    <definedName name="_59__123Graph_ACHART_79" hidden="1">'[7]Data SRL'!$AZ$8:$AZ$100</definedName>
    <definedName name="_5Module1__2__.by04ytd" localSheetId="18">'Hutang Usaha ISP 2023'!_5Module1__2__.by04ytd</definedName>
    <definedName name="_5Module1__2__.by04ytd" localSheetId="16">'Piutang IAS 2023'!_5Module1__2__.by04ytd</definedName>
    <definedName name="_5Module1__2__.by04ytd" localSheetId="21">'Piutang Usaha 2021'!_5Module1__2__.by04ytd</definedName>
    <definedName name="_5Module1__2__.by04ytd" localSheetId="19">'Piutang Usaha 2022'!_5Module1__2__.by04ytd</definedName>
    <definedName name="_5Module1__2__.by04ytd" localSheetId="17">'Piutang Usaha ISP 2023'!_5Module1__2__.by04ytd</definedName>
    <definedName name="_5Module1__2__.by04ytd">_5Module1__2__.by04ytd</definedName>
    <definedName name="_60__123Graph_ACHART_8" hidden="1">[9]Data!$E$2:$E$73</definedName>
    <definedName name="_61__123Graph_ACHART_81" hidden="1">'[7]Data SRL'!$BD$8:$BD$100</definedName>
    <definedName name="_62__123Graph_ACHART_85" hidden="1">'[7]Data Prod_Graf'!$B$3:$M$3</definedName>
    <definedName name="_63__123Graph_ACHART_9" hidden="1">[9]Data!$J$38:$J$73</definedName>
    <definedName name="_64__123Graph_BCHART_1" hidden="1">'[7]Data SRL'!$BL$9:$BL$100</definedName>
    <definedName name="_65__123Graph_BCHART_10" hidden="1">'[8]PABRIK (2)'!#REF!</definedName>
    <definedName name="_66__123Graph_BCHART_11" hidden="1">'[8]PABRIK (2)'!#REF!</definedName>
    <definedName name="_67__123Graph_BCHART_12" hidden="1">'[8]PABRIK (2)'!#REF!</definedName>
    <definedName name="_68__123Graph_BCHART_13" hidden="1">[9]Data!$N$50:$N$61</definedName>
    <definedName name="_69__123Graph_BCHART_14" hidden="1">[9]Data!$D$62:$D$73</definedName>
    <definedName name="_6Module1__2__.by05ytd" localSheetId="18">'Hutang Usaha ISP 2023'!_6Module1__2__.by05ytd</definedName>
    <definedName name="_6Module1__2__.by05ytd" localSheetId="16">'Piutang IAS 2023'!_6Module1__2__.by05ytd</definedName>
    <definedName name="_6Module1__2__.by05ytd" localSheetId="21">'Piutang Usaha 2021'!_6Module1__2__.by05ytd</definedName>
    <definedName name="_6Module1__2__.by05ytd" localSheetId="19">'Piutang Usaha 2022'!_6Module1__2__.by05ytd</definedName>
    <definedName name="_6Module1__2__.by05ytd" localSheetId="17">'Piutang Usaha ISP 2023'!_6Module1__2__.by05ytd</definedName>
    <definedName name="_6Module1__2__.by05ytd">_6Module1__2__.by05ytd</definedName>
    <definedName name="_70__123Graph_BCHART_15" hidden="1">[9]Data!$B$62:$B$73</definedName>
    <definedName name="_71__123Graph_BCHART_16" hidden="1">'[8]PABRIK (2)'!#REF!</definedName>
    <definedName name="_72__123Graph_BCHART_17" hidden="1">[9]Data!$M$62:$M$73</definedName>
    <definedName name="_73__123Graph_BCHART_18" hidden="1">'[8]PABRIK (2)'!#REF!</definedName>
    <definedName name="_74__123Graph_BCHART_19" hidden="1">'[8]PABRIK (2)'!#REF!</definedName>
    <definedName name="_75__123Graph_BCHART_2" hidden="1">'[7]Data SRL'!$D$8:$D$379</definedName>
    <definedName name="_76__123Graph_BCHART_20" hidden="1">'[8]PABRIK (2)'!#REF!</definedName>
    <definedName name="_77__123Graph_BCHART_21" hidden="1">'[8]PABRIK (2)'!$C$9:$C$287</definedName>
    <definedName name="_78__123Graph_BCHART_22" hidden="1">'[8]PABRIK (2)'!$F$9:$F$287</definedName>
    <definedName name="_79__123Graph_BCHART_23" hidden="1">'[8]PABRIK (2)'!$L$9:$L$287</definedName>
    <definedName name="_7Module1__2__.by06ytd" localSheetId="18">'Hutang Usaha ISP 2023'!_7Module1__2__.by06ytd</definedName>
    <definedName name="_7Module1__2__.by06ytd" localSheetId="16">'Piutang IAS 2023'!_7Module1__2__.by06ytd</definedName>
    <definedName name="_7Module1__2__.by06ytd" localSheetId="21">'Piutang Usaha 2021'!_7Module1__2__.by06ytd</definedName>
    <definedName name="_7Module1__2__.by06ytd" localSheetId="19">'Piutang Usaha 2022'!_7Module1__2__.by06ytd</definedName>
    <definedName name="_7Module1__2__.by06ytd" localSheetId="17">'Piutang Usaha ISP 2023'!_7Module1__2__.by06ytd</definedName>
    <definedName name="_7Module1__2__.by06ytd">_7Module1__2__.by06ytd</definedName>
    <definedName name="_80__123Graph_BCHART_24" hidden="1">'[8]PABRIK (2)'!$O$9:$O$287</definedName>
    <definedName name="_81__123Graph_BCHART_25" hidden="1">'[8]PABRIK (2)'!$I$9:$I$287</definedName>
    <definedName name="_82__123Graph_BCHART_26" hidden="1">'[8]PABRIK (2)'!$R$9:$R$287</definedName>
    <definedName name="_83__123Graph_BCHART_27" hidden="1">'[8]PABRIK (2)'!$U$9:$U$287</definedName>
    <definedName name="_8311">#REF!</definedName>
    <definedName name="_84__123Graph_BCHART_28" hidden="1">'[8]PABRIK (2)'!$X$9:$X$287</definedName>
    <definedName name="_85__123Graph_BCHART_29" hidden="1">'[8]PABRIK (2)'!$AD$9:$AD$287</definedName>
    <definedName name="_86__123Graph_BCHART_3" hidden="1">'[8]PABRIK (2)'!#REF!</definedName>
    <definedName name="_87__123Graph_BCHART_4" hidden="1">'[8]PABRIK (2)'!#REF!</definedName>
    <definedName name="_88__123Graph_BCHART_5" hidden="1">'[7]Data SRL'!$BL$9:$BL$100</definedName>
    <definedName name="_89__123Graph_BCHART_6" hidden="1">[11]PK!$B$29:$M$29</definedName>
    <definedName name="_8Module1__2__.by07ytd" localSheetId="18">'Hutang Usaha ISP 2023'!_8Module1__2__.by07ytd</definedName>
    <definedName name="_8Module1__2__.by07ytd" localSheetId="16">'Piutang IAS 2023'!_8Module1__2__.by07ytd</definedName>
    <definedName name="_8Module1__2__.by07ytd" localSheetId="21">'Piutang Usaha 2021'!_8Module1__2__.by07ytd</definedName>
    <definedName name="_8Module1__2__.by07ytd" localSheetId="19">'Piutang Usaha 2022'!_8Module1__2__.by07ytd</definedName>
    <definedName name="_8Module1__2__.by07ytd" localSheetId="17">'Piutang Usaha ISP 2023'!_8Module1__2__.by07ytd</definedName>
    <definedName name="_8Module1__2__.by07ytd">_8Module1__2__.by07ytd</definedName>
    <definedName name="_90__123Graph_BCHART_62" hidden="1">'[7]Data SRL'!$D$8:$D$131</definedName>
    <definedName name="_91__123Graph_BCHART_64" hidden="1">'[7]Data SRL'!$G$8:$G$379</definedName>
    <definedName name="_92__123Graph_BCHART_68" hidden="1">'[7]Data SRL'!$W$8:$W$100</definedName>
    <definedName name="_93__123Graph_BCHART_69" hidden="1">'[7]Data SRL'!$V$8:$V$379</definedName>
    <definedName name="_94__123Graph_BCHART_7" hidden="1">'[7]Data SRL'!$CT$8:$CT$379</definedName>
    <definedName name="_95__123Graph_BCHART_70" hidden="1">'[7]Data SRL'!$AB$8:$AB$379</definedName>
    <definedName name="_96__123Graph_BCHART_71" hidden="1">'[7]Data SRL'!$Y$8:$Y$379</definedName>
    <definedName name="_97__123Graph_BCHART_72" hidden="1">'[7]Data SRL'!$U$8:$U$379</definedName>
    <definedName name="_98__123Graph_BCHART_73" hidden="1">'[7]Data SRL'!$AD$8:$AD$131</definedName>
    <definedName name="_99__123Graph_BCHART_74" hidden="1">'[7]Data SRL'!$AI$8:$AI$100</definedName>
    <definedName name="_9Module1__2__.by08ytd" localSheetId="18">'Hutang Usaha ISP 2023'!_9Module1__2__.by08ytd</definedName>
    <definedName name="_9Module1__2__.by08ytd" localSheetId="16">'Piutang IAS 2023'!_9Module1__2__.by08ytd</definedName>
    <definedName name="_9Module1__2__.by08ytd" localSheetId="21">'Piutang Usaha 2021'!_9Module1__2__.by08ytd</definedName>
    <definedName name="_9Module1__2__.by08ytd" localSheetId="19">'Piutang Usaha 2022'!_9Module1__2__.by08ytd</definedName>
    <definedName name="_9Module1__2__.by08ytd" localSheetId="17">'Piutang Usaha ISP 2023'!_9Module1__2__.by08ytd</definedName>
    <definedName name="_9Module1__2__.by08ytd">_9Module1__2__.by08ytd</definedName>
    <definedName name="_a" localSheetId="18">#REF!</definedName>
    <definedName name="_a" localSheetId="16">#REF!</definedName>
    <definedName name="_a" localSheetId="21">#REF!</definedName>
    <definedName name="_a" localSheetId="19">#REF!</definedName>
    <definedName name="_a" localSheetId="17">#REF!</definedName>
    <definedName name="_a">#REF!</definedName>
    <definedName name="_aje05" localSheetId="18" hidden="1">#REF!</definedName>
    <definedName name="_aje05" localSheetId="16" hidden="1">#REF!</definedName>
    <definedName name="_aje05" localSheetId="21" hidden="1">#REF!</definedName>
    <definedName name="_aje05" localSheetId="19" hidden="1">#REF!</definedName>
    <definedName name="_aje05" localSheetId="17" hidden="1">#REF!</definedName>
    <definedName name="_aje05" hidden="1">#REF!</definedName>
    <definedName name="_AML1" localSheetId="18">#REF!</definedName>
    <definedName name="_AML1" localSheetId="16">#REF!</definedName>
    <definedName name="_AML1" localSheetId="21">#REF!</definedName>
    <definedName name="_AML1" localSheetId="19">#REF!</definedName>
    <definedName name="_AML1" localSheetId="17">#REF!</definedName>
    <definedName name="_AML1">#REF!</definedName>
    <definedName name="_AML10">#REF!</definedName>
    <definedName name="_AML2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COA08">[12]coa!$E$6:$E$944</definedName>
    <definedName name="_DAT10" localSheetId="18">#REF!</definedName>
    <definedName name="_DAT10" localSheetId="16">#REF!</definedName>
    <definedName name="_DAT10" localSheetId="19">#REF!</definedName>
    <definedName name="_DAT10" localSheetId="17">#REF!</definedName>
    <definedName name="_DAT10">#REF!</definedName>
    <definedName name="_DAT11" localSheetId="18">#REF!</definedName>
    <definedName name="_DAT11" localSheetId="16">#REF!</definedName>
    <definedName name="_DAT11" localSheetId="19">#REF!</definedName>
    <definedName name="_DAT11" localSheetId="17">#REF!</definedName>
    <definedName name="_DAT11">#REF!</definedName>
    <definedName name="_DAT12" localSheetId="18">#REF!</definedName>
    <definedName name="_DAT12" localSheetId="16">#REF!</definedName>
    <definedName name="_DAT12" localSheetId="19">#REF!</definedName>
    <definedName name="_DAT12" localSheetId="17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#REF!</definedName>
    <definedName name="_Dist_Values" hidden="1">#REF!</definedName>
    <definedName name="_DVC1">#REF!</definedName>
    <definedName name="_DVC10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li2" hidden="1">'[13]BBM-03'!$B$767:$B$769</definedName>
    <definedName name="_Fill" hidden="1">[14]worksheet!#REF!</definedName>
    <definedName name="_xlnm._FilterDatabase" localSheetId="3" hidden="1">'Hutang IAS Des 24'!$A$5:$L$91</definedName>
    <definedName name="_xlnm._FilterDatabase" localSheetId="8" hidden="1">'Hutang IAS Sept 24'!$A$5:$L$107</definedName>
    <definedName name="_xlnm._FilterDatabase" localSheetId="5" hidden="1">'Hutang ISP Des 24'!$A$5:$L$79</definedName>
    <definedName name="_xlnm._FilterDatabase" localSheetId="11" hidden="1">'Hutang Usaha IAS Juni 24'!$A$5:$L$135</definedName>
    <definedName name="_xlnm._FilterDatabase" localSheetId="22" hidden="1">'Hutang Usaha ISP 2021'!$A$6:$L$365</definedName>
    <definedName name="_xlnm._FilterDatabase" localSheetId="20" hidden="1">'Hutang Usaha ISP 2022'!$A$5:$L$311</definedName>
    <definedName name="_xlnm._FilterDatabase" localSheetId="18" hidden="1">'Hutang Usaha ISP 2023'!$A$5:$L$281</definedName>
    <definedName name="_xlnm._FilterDatabase" localSheetId="12" hidden="1">'Hutang Usaha ISP Juni 2024'!$A$5:$L$228</definedName>
    <definedName name="_xlnm._FilterDatabase" localSheetId="9" hidden="1">'Hutang Usaha ISP Sept 2024'!$A$5:$L$216</definedName>
    <definedName name="_xlnm._FilterDatabase" localSheetId="16" hidden="1">'Piutang IAS 2023'!$A$6:$M$82</definedName>
    <definedName name="_xlnm._FilterDatabase" localSheetId="4" hidden="1">'Piutang IAS Des 24'!$A$6:$L$114</definedName>
    <definedName name="_xlnm._FilterDatabase" localSheetId="7" hidden="1">'Piutang IAS Sept 24'!$A$6:$L$29</definedName>
    <definedName name="_xlnm._FilterDatabase" localSheetId="6" hidden="1">'Piutang ISP Des 24'!$A$6:$L$53</definedName>
    <definedName name="_xlnm._FilterDatabase" localSheetId="10" hidden="1">'Piutang ISP Sept 24'!$A$6:$L$50</definedName>
    <definedName name="_xlnm._FilterDatabase" localSheetId="21" hidden="1">'Piutang Usaha 2021'!$A$6:$L$60</definedName>
    <definedName name="_xlnm._FilterDatabase" localSheetId="19" hidden="1">'Piutang Usaha 2022'!$A$6:$M$58</definedName>
    <definedName name="_xlnm._FilterDatabase" localSheetId="23" hidden="1">'Piutang Usaha ISP 2020'!$A$5:$P$101</definedName>
    <definedName name="_xlnm._FilterDatabase" localSheetId="17" hidden="1">'Piutang Usaha ISP 2023'!$A$6:$M$21</definedName>
    <definedName name="_xlnm._FilterDatabase" localSheetId="24" hidden="1">'Utang Usaha ISP 2020'!$A$6:$O$551</definedName>
    <definedName name="_Key1" localSheetId="18" hidden="1">#REF!</definedName>
    <definedName name="_Key1" localSheetId="16" hidden="1">#REF!</definedName>
    <definedName name="_Key1" localSheetId="21" hidden="1">#REF!</definedName>
    <definedName name="_Key1" localSheetId="19" hidden="1">#REF!</definedName>
    <definedName name="_Key1" localSheetId="17" hidden="1">#REF!</definedName>
    <definedName name="_Key1" hidden="1">#REF!</definedName>
    <definedName name="_Key2" localSheetId="18" hidden="1">#REF!</definedName>
    <definedName name="_Key2" localSheetId="16" hidden="1">#REF!</definedName>
    <definedName name="_Key2" localSheetId="21" hidden="1">#REF!</definedName>
    <definedName name="_Key2" localSheetId="19" hidden="1">#REF!</definedName>
    <definedName name="_Key2" localSheetId="17" hidden="1">#REF!</definedName>
    <definedName name="_Key2" hidden="1">#REF!</definedName>
    <definedName name="_m70000" localSheetId="18">#REF!</definedName>
    <definedName name="_m70000" localSheetId="16">#REF!</definedName>
    <definedName name="_m70000" localSheetId="19">#REF!</definedName>
    <definedName name="_m70000" localSheetId="17">#REF!</definedName>
    <definedName name="_m70000">#REF!</definedName>
    <definedName name="_MatInverse_In" hidden="1">#REF!</definedName>
    <definedName name="_MatMult_A" hidden="1">#REF!</definedName>
    <definedName name="_Order1" hidden="1">0</definedName>
    <definedName name="_Order2" hidden="1">255</definedName>
    <definedName name="_Regression_Int">1</definedName>
    <definedName name="_RSE1">'[6]CMA Addition'!$E$139</definedName>
    <definedName name="_RSE2">'[6]CMA Addition'!$H$139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1">[15]tbl1!$A$7:$X$200</definedName>
    <definedName name="_TGL1" localSheetId="18">#REF!</definedName>
    <definedName name="_TGL1" localSheetId="16">#REF!</definedName>
    <definedName name="_TGL1" localSheetId="19">#REF!</definedName>
    <definedName name="_TGL1" localSheetId="17">#REF!</definedName>
    <definedName name="_TGL1">#REF!</definedName>
    <definedName name="_TGL2" localSheetId="18">#REF!</definedName>
    <definedName name="_TGL2" localSheetId="16">#REF!</definedName>
    <definedName name="_TGL2" localSheetId="19">#REF!</definedName>
    <definedName name="_TGL2" localSheetId="17">#REF!</definedName>
    <definedName name="_TGL2">#REF!</definedName>
    <definedName name="a" localSheetId="18">'[16]POT-0601'!#REF!</definedName>
    <definedName name="a" localSheetId="16">'[16]POT-0601'!#REF!</definedName>
    <definedName name="a" localSheetId="19">'[16]POT-0601'!#REF!</definedName>
    <definedName name="a" localSheetId="17">'[16]POT-0601'!#REF!</definedName>
    <definedName name="a">'[16]POT-0601'!#REF!</definedName>
    <definedName name="aa" localSheetId="18">'[17]POT-0601'!#REF!</definedName>
    <definedName name="aa" localSheetId="16">'[17]POT-0601'!#REF!</definedName>
    <definedName name="aa" localSheetId="19">'[17]POT-0601'!#REF!</definedName>
    <definedName name="aa" localSheetId="17">'[17]POT-0601'!#REF!</definedName>
    <definedName name="aa">'[17]POT-0601'!#REF!</definedName>
    <definedName name="aaa" localSheetId="18">#REF!</definedName>
    <definedName name="aaa" localSheetId="16">#REF!</definedName>
    <definedName name="aaa" localSheetId="19">#REF!</definedName>
    <definedName name="aaa" localSheetId="17">#REF!</definedName>
    <definedName name="aaa">#REF!</definedName>
    <definedName name="aaaa" localSheetId="18">'[17]POT-0601'!#REF!</definedName>
    <definedName name="aaaa" localSheetId="16">'[17]POT-0601'!#REF!</definedName>
    <definedName name="aaaa" localSheetId="19">'[17]POT-0601'!#REF!</definedName>
    <definedName name="aaaa" localSheetId="17">'[17]POT-0601'!#REF!</definedName>
    <definedName name="aaaa">'[17]POT-0601'!#REF!</definedName>
    <definedName name="aaaaaa" localSheetId="18">'[17]POT-0601'!#REF!</definedName>
    <definedName name="aaaaaa" localSheetId="16">'[17]POT-0601'!#REF!</definedName>
    <definedName name="aaaaaa" localSheetId="19">'[17]POT-0601'!#REF!</definedName>
    <definedName name="aaaaaa" localSheetId="17">'[17]POT-0601'!#REF!</definedName>
    <definedName name="aaaaaa">'[17]POT-0601'!#REF!</definedName>
    <definedName name="aaaaaaaa" localSheetId="18">'[17]POT-0601'!#REF!</definedName>
    <definedName name="aaaaaaaa" localSheetId="16">'[17]POT-0601'!#REF!</definedName>
    <definedName name="aaaaaaaa" localSheetId="17">'[17]POT-0601'!#REF!</definedName>
    <definedName name="aaaaaaaa">'[17]POT-0601'!#REF!</definedName>
    <definedName name="aaaaaaaaa" localSheetId="18">'[17]POT-0601'!#REF!</definedName>
    <definedName name="aaaaaaaaa" localSheetId="16">'[17]POT-0601'!#REF!</definedName>
    <definedName name="aaaaaaaaa" localSheetId="17">'[17]POT-0601'!#REF!</definedName>
    <definedName name="aaaaaaaaa">'[17]POT-0601'!#REF!</definedName>
    <definedName name="aaaaaaaaaaa">'[17]POT-0601'!#REF!</definedName>
    <definedName name="aaaaaaaaaaaaaaaaaaaaa">'[17]POT-0601'!#REF!</definedName>
    <definedName name="AAHKAJKA" localSheetId="18" hidden="1">#REF!</definedName>
    <definedName name="AAHKAJKA" localSheetId="16" hidden="1">#REF!</definedName>
    <definedName name="AAHKAJKA" localSheetId="19" hidden="1">#REF!</definedName>
    <definedName name="AAHKAJKA" localSheetId="17" hidden="1">#REF!</definedName>
    <definedName name="AAHKAJKA" hidden="1">#REF!</definedName>
    <definedName name="aan" localSheetId="18">'[18]POT-0601'!#REF!</definedName>
    <definedName name="aan" localSheetId="17">'[18]POT-0601'!#REF!</definedName>
    <definedName name="aan">'[18]POT-0601'!#REF!</definedName>
    <definedName name="abik" localSheetId="18">'[17]POT-0601'!#REF!</definedName>
    <definedName name="abik" localSheetId="17">'[17]POT-0601'!#REF!</definedName>
    <definedName name="abik">'[17]POT-0601'!#REF!</definedName>
    <definedName name="Additional_information_for_report_disclosure" localSheetId="18">#REF!</definedName>
    <definedName name="Additional_information_for_report_disclosure" localSheetId="16">#REF!</definedName>
    <definedName name="Additional_information_for_report_disclosure" localSheetId="19">#REF!</definedName>
    <definedName name="Additional_information_for_report_disclosure" localSheetId="17">#REF!</definedName>
    <definedName name="Additional_information_for_report_disclosure">#REF!</definedName>
    <definedName name="ade" localSheetId="18">'[17]POT-0601'!#REF!</definedName>
    <definedName name="ade" localSheetId="17">'[17]POT-0601'!#REF!</definedName>
    <definedName name="ade">'[17]POT-0601'!#REF!</definedName>
    <definedName name="Aging_percent" localSheetId="18">#REF!,#REF!</definedName>
    <definedName name="Aging_percent" localSheetId="16">#REF!,#REF!</definedName>
    <definedName name="Aging_percent" localSheetId="19">#REF!,#REF!</definedName>
    <definedName name="Aging_percent" localSheetId="17">#REF!,#REF!</definedName>
    <definedName name="Aging_percent">#REF!,#REF!</definedName>
    <definedName name="aje_04" localSheetId="18" hidden="1">#REF!</definedName>
    <definedName name="aje_04" localSheetId="16" hidden="1">#REF!</definedName>
    <definedName name="aje_04" localSheetId="19" hidden="1">#REF!</definedName>
    <definedName name="aje_04" localSheetId="17" hidden="1">#REF!</definedName>
    <definedName name="aje_04" hidden="1">#REF!</definedName>
    <definedName name="AJP" localSheetId="18">#REF!</definedName>
    <definedName name="AJP" localSheetId="16">#REF!</definedName>
    <definedName name="AJP" localSheetId="17">#REF!</definedName>
    <definedName name="AJP">#REF!</definedName>
    <definedName name="akaka" localSheetId="18">#REF!</definedName>
    <definedName name="akaka" localSheetId="16">#REF!</definedName>
    <definedName name="akaka" localSheetId="17">#REF!</definedName>
    <definedName name="akaka">#REF!</definedName>
    <definedName name="AKGADHGAD" localSheetId="18" hidden="1">[19]INVES!#REF!</definedName>
    <definedName name="AKGADHGAD" localSheetId="16" hidden="1">[19]INVES!#REF!</definedName>
    <definedName name="AKGADHGAD" localSheetId="17" hidden="1">[19]INVES!#REF!</definedName>
    <definedName name="AKGADHGAD" hidden="1">[19]INVES!#REF!</definedName>
    <definedName name="AkunContra">'[20]Contra '!$C$9:$C$1331</definedName>
    <definedName name="AkunDN">'[21]Debit Note'!$C$7:$C$62</definedName>
    <definedName name="AkunEkspor">[22]Ekspor!$C$10:$C$723</definedName>
    <definedName name="AkunEksport" localSheetId="18">#REF!</definedName>
    <definedName name="AkunEksport" localSheetId="16">#REF!</definedName>
    <definedName name="AkunEksport" localSheetId="19">#REF!</definedName>
    <definedName name="AkunEksport" localSheetId="17">#REF!</definedName>
    <definedName name="AkunEksport">#REF!</definedName>
    <definedName name="AkunJournal">[23]Journal!$C$7:$C$784</definedName>
    <definedName name="AkunLokal" localSheetId="18">#REF!</definedName>
    <definedName name="AkunLokal" localSheetId="16">#REF!</definedName>
    <definedName name="AkunLokal" localSheetId="19">#REF!</definedName>
    <definedName name="AkunLokal" localSheetId="17">#REF!</definedName>
    <definedName name="AkunLokal">#REF!</definedName>
    <definedName name="AkunPayment">[23]Payment!$C$7:$C$873</definedName>
    <definedName name="AkunPE" localSheetId="18">#REF!</definedName>
    <definedName name="AkunPE" localSheetId="16">#REF!</definedName>
    <definedName name="AkunPE" localSheetId="19">#REF!</definedName>
    <definedName name="AkunPE" localSheetId="17">#REF!</definedName>
    <definedName name="AkunPE">#REF!</definedName>
    <definedName name="AkunPurchase" localSheetId="18">#REF!</definedName>
    <definedName name="AkunPurchase" localSheetId="16">#REF!</definedName>
    <definedName name="AkunPurchase" localSheetId="19">#REF!</definedName>
    <definedName name="AkunPurchase" localSheetId="17">#REF!</definedName>
    <definedName name="AkunPurchase">#REF!</definedName>
    <definedName name="AkunRecipt">[23]Receipt!$C$7:$C$480</definedName>
    <definedName name="AkunRM" localSheetId="18">#REF!</definedName>
    <definedName name="AkunRM" localSheetId="16">#REF!</definedName>
    <definedName name="AkunRM" localSheetId="19">#REF!</definedName>
    <definedName name="AkunRM" localSheetId="17">#REF!</definedName>
    <definedName name="AkunRM">#REF!</definedName>
    <definedName name="AkunSales" localSheetId="18">#REF!</definedName>
    <definedName name="AkunSales" localSheetId="16">#REF!</definedName>
    <definedName name="AkunSales" localSheetId="19">#REF!</definedName>
    <definedName name="AkunSales" localSheetId="17">#REF!</definedName>
    <definedName name="AkunSales">#REF!</definedName>
    <definedName name="Alamat" localSheetId="18">#REF!</definedName>
    <definedName name="Alamat" localSheetId="16">#REF!</definedName>
    <definedName name="Alamat" localSheetId="19">#REF!</definedName>
    <definedName name="Alamat" localSheetId="17">#REF!</definedName>
    <definedName name="Alamat">#REF!</definedName>
    <definedName name="ALL">'[24]Accounts Payable (AA):10-1-1'!$A$1:$J$69</definedName>
    <definedName name="Allowance_to_Receivables" localSheetId="18">#REF!,#REF!</definedName>
    <definedName name="Allowance_to_Receivables" localSheetId="16">#REF!,#REF!</definedName>
    <definedName name="Allowance_to_Receivables" localSheetId="19">#REF!,#REF!</definedName>
    <definedName name="Allowance_to_Receivables" localSheetId="17">#REF!,#REF!</definedName>
    <definedName name="Allowance_to_Receivables">#REF!,#REF!</definedName>
    <definedName name="Allowance_to_Sales" localSheetId="18">#REF!,#REF!</definedName>
    <definedName name="Allowance_to_Sales" localSheetId="16">#REF!,#REF!</definedName>
    <definedName name="Allowance_to_Sales" localSheetId="19">#REF!,#REF!</definedName>
    <definedName name="Allowance_to_Sales" localSheetId="17">#REF!,#REF!</definedName>
    <definedName name="Allowance_to_Sales">#REF!,#REF!</definedName>
    <definedName name="ANGCNPD">#REF!</definedName>
    <definedName name="ani">'[17]POT-0601'!#REF!</definedName>
    <definedName name="AS2DocOpenMode" hidden="1">"AS2DocumentEdit"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s" localSheetId="18" hidden="1">{#N/A,#N/A,FALSE,"Aging Summary";#N/A,#N/A,FALSE,"Ratio Analysis";#N/A,#N/A,FALSE,"Test 120 Day Accts";#N/A,#N/A,FALSE,"Tickmarks"}</definedName>
    <definedName name="asdas" localSheetId="16" hidden="1">{#N/A,#N/A,FALSE,"Aging Summary";#N/A,#N/A,FALSE,"Ratio Analysis";#N/A,#N/A,FALSE,"Test 120 Day Accts";#N/A,#N/A,FALSE,"Tickmarks"}</definedName>
    <definedName name="asdas" localSheetId="21" hidden="1">{#N/A,#N/A,FALSE,"Aging Summary";#N/A,#N/A,FALSE,"Ratio Analysis";#N/A,#N/A,FALSE,"Test 120 Day Accts";#N/A,#N/A,FALSE,"Tickmarks"}</definedName>
    <definedName name="asdas" localSheetId="19" hidden="1">{#N/A,#N/A,FALSE,"Aging Summary";#N/A,#N/A,FALSE,"Ratio Analysis";#N/A,#N/A,FALSE,"Test 120 Day Accts";#N/A,#N/A,FALSE,"Tickmarks"}</definedName>
    <definedName name="asdas" localSheetId="17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ASD" localSheetId="18" hidden="1">{#N/A,#N/A,FALSE,"Aging Summary";#N/A,#N/A,FALSE,"Ratio Analysis";#N/A,#N/A,FALSE,"Test 120 Day Accts";#N/A,#N/A,FALSE,"Tickmarks"}</definedName>
    <definedName name="ASDASD" localSheetId="16" hidden="1">{#N/A,#N/A,FALSE,"Aging Summary";#N/A,#N/A,FALSE,"Ratio Analysis";#N/A,#N/A,FALSE,"Test 120 Day Accts";#N/A,#N/A,FALSE,"Tickmarks"}</definedName>
    <definedName name="ASDASD" localSheetId="21" hidden="1">{#N/A,#N/A,FALSE,"Aging Summary";#N/A,#N/A,FALSE,"Ratio Analysis";#N/A,#N/A,FALSE,"Test 120 Day Accts";#N/A,#N/A,FALSE,"Tickmarks"}</definedName>
    <definedName name="ASDASD" localSheetId="19" hidden="1">{#N/A,#N/A,FALSE,"Aging Summary";#N/A,#N/A,FALSE,"Ratio Analysis";#N/A,#N/A,FALSE,"Test 120 Day Accts";#N/A,#N/A,FALSE,"Tickmarks"}</definedName>
    <definedName name="ASDASD" localSheetId="17" hidden="1">{#N/A,#N/A,FALSE,"Aging Summary";#N/A,#N/A,FALSE,"Ratio Analysis";#N/A,#N/A,FALSE,"Test 120 Day Accts";#N/A,#N/A,FALSE,"Tickmarks"}</definedName>
    <definedName name="ASDASD" hidden="1">{#N/A,#N/A,FALSE,"Aging Summary";#N/A,#N/A,FALSE,"Ratio Analysis";#N/A,#N/A,FALSE,"Test 120 Day Accts";#N/A,#N/A,FALSE,"Tickmarks"}</definedName>
    <definedName name="askkdsfk">#REF!</definedName>
    <definedName name="at_mks" hidden="1">[25]jpr!$E$60:$E$67</definedName>
    <definedName name="atun">'[18]POT-0601'!#REF!</definedName>
    <definedName name="awfr">'[17]POT-0601'!#REF!</definedName>
    <definedName name="ayr" localSheetId="18">#REF!</definedName>
    <definedName name="ayr" localSheetId="16">#REF!</definedName>
    <definedName name="ayr" localSheetId="19">#REF!</definedName>
    <definedName name="ayr" localSheetId="17">#REF!</definedName>
    <definedName name="ayr">#REF!</definedName>
    <definedName name="b" localSheetId="18" hidden="1">#REF!</definedName>
    <definedName name="b" localSheetId="16" hidden="1">#REF!</definedName>
    <definedName name="b" localSheetId="19" hidden="1">#REF!</definedName>
    <definedName name="b" localSheetId="17" hidden="1">#REF!</definedName>
    <definedName name="b" hidden="1">#REF!</definedName>
    <definedName name="BANGUNAN" localSheetId="18">#REF!</definedName>
    <definedName name="BANGUNAN" localSheetId="16">#REF!</definedName>
    <definedName name="BANGUNAN" localSheetId="19">#REF!</definedName>
    <definedName name="BANGUNAN" localSheetId="17">#REF!</definedName>
    <definedName name="BANGUNAN">#REF!</definedName>
    <definedName name="BANGUNAN_PENGENDAPAN___SISTEM_LIMBAH">#REF!</definedName>
    <definedName name="BANKHALL" hidden="1">#REF!</definedName>
    <definedName name="bapak">'[17]POT-0601'!#REF!</definedName>
    <definedName name="bbmok" hidden="1">'[26]BBM-03'!$B$767:$B$769</definedName>
    <definedName name="bd" localSheetId="18">#REF!</definedName>
    <definedName name="bd" localSheetId="16">#REF!</definedName>
    <definedName name="bd" localSheetId="19">#REF!</definedName>
    <definedName name="bd" localSheetId="17">#REF!</definedName>
    <definedName name="bd">#REF!</definedName>
    <definedName name="BEx007Y12ETED3Z5CP3XL1BM6QYX" localSheetId="18" hidden="1">BS-non Monetary-[27]LC!$D$8:$D$8</definedName>
    <definedName name="BEx007Y12ETED3Z5CP3XL1BM6QYX" localSheetId="16" hidden="1">BS-non Monetary-[27]LC!$D$8:$D$8</definedName>
    <definedName name="BEx007Y12ETED3Z5CP3XL1BM6QYX" localSheetId="21" hidden="1">BS-non Monetary-[27]LC!$D$8:$D$8</definedName>
    <definedName name="BEx007Y12ETED3Z5CP3XL1BM6QYX" localSheetId="19" hidden="1">BS-non Monetary-[27]LC!$D$8:$D$8</definedName>
    <definedName name="BEx007Y12ETED3Z5CP3XL1BM6QYX" localSheetId="17" hidden="1">BS-non Monetary-[27]LC!$D$8:$D$8</definedName>
    <definedName name="BEx007Y12ETED3Z5CP3XL1BM6QYX" hidden="1">BS-non Monetary-[27]LC!$D$8:$D$8</definedName>
    <definedName name="BEx00BE7AU634JDV7SCW9MMVKRP8" localSheetId="18" hidden="1">BS-non Monetary-[28]TC!$D$8:$D$8</definedName>
    <definedName name="BEx00BE7AU634JDV7SCW9MMVKRP8" localSheetId="16" hidden="1">BS-non Monetary-[28]TC!$D$8:$D$8</definedName>
    <definedName name="BEx00BE7AU634JDV7SCW9MMVKRP8" localSheetId="21" hidden="1">BS-non Monetary-[28]TC!$D$8:$D$8</definedName>
    <definedName name="BEx00BE7AU634JDV7SCW9MMVKRP8" localSheetId="19" hidden="1">BS-non Monetary-[28]TC!$D$8:$D$8</definedName>
    <definedName name="BEx00BE7AU634JDV7SCW9MMVKRP8" localSheetId="17" hidden="1">BS-non Monetary-[28]TC!$D$8:$D$8</definedName>
    <definedName name="BEx00BE7AU634JDV7SCW9MMVKRP8" hidden="1">BS-non Monetary-[28]TC!$D$8:$D$8</definedName>
    <definedName name="BEx00OQ8XWRYXSGQ4QM2KSK8BT3K" localSheetId="18" hidden="1">BS-non Monetary-[28]TC!$C$13:$D$14</definedName>
    <definedName name="BEx00OQ8XWRYXSGQ4QM2KSK8BT3K" localSheetId="16" hidden="1">BS-non Monetary-[28]TC!$C$13:$D$14</definedName>
    <definedName name="BEx00OQ8XWRYXSGQ4QM2KSK8BT3K" localSheetId="21" hidden="1">BS-non Monetary-[28]TC!$C$13:$D$14</definedName>
    <definedName name="BEx00OQ8XWRYXSGQ4QM2KSK8BT3K" localSheetId="19" hidden="1">BS-non Monetary-[28]TC!$C$13:$D$14</definedName>
    <definedName name="BEx00OQ8XWRYXSGQ4QM2KSK8BT3K" localSheetId="17" hidden="1">BS-non Monetary-[28]TC!$C$13:$D$14</definedName>
    <definedName name="BEx00OQ8XWRYXSGQ4QM2KSK8BT3K" hidden="1">BS-non Monetary-[28]TC!$C$13:$D$14</definedName>
    <definedName name="BEx00TDGEHGPRRMFZPWDXN1YMVV0" localSheetId="18" hidden="1">BS-[29]Monetary!$C$13:$D$14</definedName>
    <definedName name="BEx00TDGEHGPRRMFZPWDXN1YMVV0" localSheetId="16" hidden="1">BS-[29]Monetary!$C$13:$D$14</definedName>
    <definedName name="BEx00TDGEHGPRRMFZPWDXN1YMVV0" localSheetId="21" hidden="1">BS-[29]Monetary!$C$13:$D$14</definedName>
    <definedName name="BEx00TDGEHGPRRMFZPWDXN1YMVV0" localSheetId="19" hidden="1">BS-[29]Monetary!$C$13:$D$14</definedName>
    <definedName name="BEx00TDGEHGPRRMFZPWDXN1YMVV0" localSheetId="17" hidden="1">BS-[29]Monetary!$C$13:$D$14</definedName>
    <definedName name="BEx00TDGEHGPRRMFZPWDXN1YMVV0" hidden="1">BS-[29]Monetary!$C$13:$D$14</definedName>
    <definedName name="BEx010V5Q7H3D228EWSHACVPH3HN" localSheetId="18" hidden="1">BS-non Monetary-[28]TC!$D$7:$D$7</definedName>
    <definedName name="BEx010V5Q7H3D228EWSHACVPH3HN" localSheetId="16" hidden="1">BS-non Monetary-[28]TC!$D$7:$D$7</definedName>
    <definedName name="BEx010V5Q7H3D228EWSHACVPH3HN" localSheetId="21" hidden="1">BS-non Monetary-[28]TC!$D$7:$D$7</definedName>
    <definedName name="BEx010V5Q7H3D228EWSHACVPH3HN" localSheetId="19" hidden="1">BS-non Monetary-[28]TC!$D$7:$D$7</definedName>
    <definedName name="BEx010V5Q7H3D228EWSHACVPH3HN" localSheetId="17" hidden="1">BS-non Monetary-[28]TC!$D$7:$D$7</definedName>
    <definedName name="BEx010V5Q7H3D228EWSHACVPH3HN" hidden="1">BS-non Monetary-[28]TC!$D$7:$D$7</definedName>
    <definedName name="BEx0170FKWDTLJRG505P0T10G7X6" hidden="1">#N/A</definedName>
    <definedName name="BEx01C968WNRQM1H56ND9YZMIS26" hidden="1">#N/A</definedName>
    <definedName name="BEx022BV2ZUXWARDG254Z10EN0HK" hidden="1">#N/A</definedName>
    <definedName name="BEx026TOODYKWVSERMO6WLGG0J1Z" hidden="1">#N/A</definedName>
    <definedName name="BEx02J44O5PV48PI6HNJOLZXQ085" localSheetId="18" hidden="1">BS-[29]Monetary!$D$8:$D$8</definedName>
    <definedName name="BEx02J44O5PV48PI6HNJOLZXQ085" localSheetId="16" hidden="1">BS-[29]Monetary!$D$8:$D$8</definedName>
    <definedName name="BEx02J44O5PV48PI6HNJOLZXQ085" localSheetId="21" hidden="1">BS-[29]Monetary!$D$8:$D$8</definedName>
    <definedName name="BEx02J44O5PV48PI6HNJOLZXQ085" localSheetId="19" hidden="1">BS-[29]Monetary!$D$8:$D$8</definedName>
    <definedName name="BEx02J44O5PV48PI6HNJOLZXQ085" localSheetId="17" hidden="1">BS-[29]Monetary!$D$8:$D$8</definedName>
    <definedName name="BEx02J44O5PV48PI6HNJOLZXQ085" hidden="1">BS-[29]Monetary!$D$8:$D$8</definedName>
    <definedName name="BEx02K0GUDRTDR8YNJUR6GQKA7I2" localSheetId="18" hidden="1">BS-Equity-[27]LC!$D$7:$D$7</definedName>
    <definedName name="BEx02K0GUDRTDR8YNJUR6GQKA7I2" localSheetId="16" hidden="1">BS-Equity-[27]LC!$D$7:$D$7</definedName>
    <definedName name="BEx02K0GUDRTDR8YNJUR6GQKA7I2" localSheetId="21" hidden="1">BS-Equity-[27]LC!$D$7:$D$7</definedName>
    <definedName name="BEx02K0GUDRTDR8YNJUR6GQKA7I2" localSheetId="19" hidden="1">BS-Equity-[27]LC!$D$7:$D$7</definedName>
    <definedName name="BEx02K0GUDRTDR8YNJUR6GQKA7I2" localSheetId="17" hidden="1">BS-Equity-[27]LC!$D$7:$D$7</definedName>
    <definedName name="BEx02K0GUDRTDR8YNJUR6GQKA7I2" hidden="1">BS-Equity-[27]LC!$D$7:$D$7</definedName>
    <definedName name="BEx037ZMN53YJRWZIFPLBTF05DPF" localSheetId="18" hidden="1">TB BS Monetary [30]Item!$D$8:$D$8</definedName>
    <definedName name="BEx037ZMN53YJRWZIFPLBTF05DPF" localSheetId="16" hidden="1">TB BS Monetary [30]Item!$D$8:$D$8</definedName>
    <definedName name="BEx037ZMN53YJRWZIFPLBTF05DPF" localSheetId="21" hidden="1">TB BS Monetary [30]Item!$D$8:$D$8</definedName>
    <definedName name="BEx037ZMN53YJRWZIFPLBTF05DPF" localSheetId="19" hidden="1">TB BS Monetary [30]Item!$D$8:$D$8</definedName>
    <definedName name="BEx037ZMN53YJRWZIFPLBTF05DPF" localSheetId="17" hidden="1">TB BS Monetary [30]Item!$D$8:$D$8</definedName>
    <definedName name="BEx037ZMN53YJRWZIFPLBTF05DPF" hidden="1">TB BS Monetary [30]Item!$D$8:$D$8</definedName>
    <definedName name="BEx1HPAXEJCFJZUXV6OBQYSLEDDX" localSheetId="18" hidden="1">TB BS non Monetary [31]GC!$C$17:$F$417</definedName>
    <definedName name="BEx1HPAXEJCFJZUXV6OBQYSLEDDX" localSheetId="16" hidden="1">TB BS non Monetary [31]GC!$C$17:$F$417</definedName>
    <definedName name="BEx1HPAXEJCFJZUXV6OBQYSLEDDX" localSheetId="21" hidden="1">TB BS non Monetary [31]GC!$C$17:$F$417</definedName>
    <definedName name="BEx1HPAXEJCFJZUXV6OBQYSLEDDX" localSheetId="19" hidden="1">TB BS non Monetary [31]GC!$C$17:$F$417</definedName>
    <definedName name="BEx1HPAXEJCFJZUXV6OBQYSLEDDX" localSheetId="17" hidden="1">TB BS non Monetary [31]GC!$C$17:$F$417</definedName>
    <definedName name="BEx1HPAXEJCFJZUXV6OBQYSLEDDX" hidden="1">TB BS non Monetary [31]GC!$C$17:$F$417</definedName>
    <definedName name="BEx1HSAV4K79HX1ZFAM9C0GWAPMS" localSheetId="18" hidden="1">TB BS non Monetary [31]GC!$D$7:$D$7</definedName>
    <definedName name="BEx1HSAV4K79HX1ZFAM9C0GWAPMS" localSheetId="16" hidden="1">TB BS non Monetary [31]GC!$D$7:$D$7</definedName>
    <definedName name="BEx1HSAV4K79HX1ZFAM9C0GWAPMS" localSheetId="21" hidden="1">TB BS non Monetary [31]GC!$D$7:$D$7</definedName>
    <definedName name="BEx1HSAV4K79HX1ZFAM9C0GWAPMS" localSheetId="19" hidden="1">TB BS non Monetary [31]GC!$D$7:$D$7</definedName>
    <definedName name="BEx1HSAV4K79HX1ZFAM9C0GWAPMS" localSheetId="17" hidden="1">TB BS non Monetary [31]GC!$D$7:$D$7</definedName>
    <definedName name="BEx1HSAV4K79HX1ZFAM9C0GWAPMS" hidden="1">TB BS non Monetary [31]GC!$D$7:$D$7</definedName>
    <definedName name="BEx1I33AASUH63Z9E230T0IX3GS1" localSheetId="18" hidden="1">Trial [32]Balance!$C$13:$D$15</definedName>
    <definedName name="BEx1I33AASUH63Z9E230T0IX3GS1" localSheetId="16" hidden="1">Trial [32]Balance!$C$13:$D$15</definedName>
    <definedName name="BEx1I33AASUH63Z9E230T0IX3GS1" localSheetId="21" hidden="1">Trial [32]Balance!$C$13:$D$15</definedName>
    <definedName name="BEx1I33AASUH63Z9E230T0IX3GS1" localSheetId="19" hidden="1">Trial [32]Balance!$C$13:$D$15</definedName>
    <definedName name="BEx1I33AASUH63Z9E230T0IX3GS1" localSheetId="17" hidden="1">Trial [32]Balance!$C$13:$D$15</definedName>
    <definedName name="BEx1I33AASUH63Z9E230T0IX3GS1" hidden="1">Trial [32]Balance!$C$13:$D$15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M5SEFQIHDVAQA3J645VZXGIO" localSheetId="18" hidden="1">BS-[29]Monetary!$D$7:$D$7</definedName>
    <definedName name="BEx1M5SEFQIHDVAQA3J645VZXGIO" localSheetId="16" hidden="1">BS-[29]Monetary!$D$7:$D$7</definedName>
    <definedName name="BEx1M5SEFQIHDVAQA3J645VZXGIO" localSheetId="21" hidden="1">BS-[29]Monetary!$D$7:$D$7</definedName>
    <definedName name="BEx1M5SEFQIHDVAQA3J645VZXGIO" localSheetId="19" hidden="1">BS-[29]Monetary!$D$7:$D$7</definedName>
    <definedName name="BEx1M5SEFQIHDVAQA3J645VZXGIO" localSheetId="17" hidden="1">BS-[29]Monetary!$D$7:$D$7</definedName>
    <definedName name="BEx1M5SEFQIHDVAQA3J645VZXGIO" hidden="1">BS-[29]Monetary!$D$7:$D$7</definedName>
    <definedName name="BEx1MF8CHMLZEELM4BQVZ64O34DU" localSheetId="18" hidden="1">BS-non Monitory-[28]TC!$D$7:$D$7</definedName>
    <definedName name="BEx1MF8CHMLZEELM4BQVZ64O34DU" localSheetId="16" hidden="1">BS-non Monitory-[28]TC!$D$7:$D$7</definedName>
    <definedName name="BEx1MF8CHMLZEELM4BQVZ64O34DU" localSheetId="21" hidden="1">BS-non Monitory-[28]TC!$D$7:$D$7</definedName>
    <definedName name="BEx1MF8CHMLZEELM4BQVZ64O34DU" localSheetId="19" hidden="1">BS-non Monitory-[28]TC!$D$7:$D$7</definedName>
    <definedName name="BEx1MF8CHMLZEELM4BQVZ64O34DU" localSheetId="17" hidden="1">BS-non Monitory-[28]TC!$D$7:$D$7</definedName>
    <definedName name="BEx1MF8CHMLZEELM4BQVZ64O34DU" hidden="1">BS-non Monitory-[28]TC!$D$7:$D$7</definedName>
    <definedName name="BEx1NKFV94NLIX7GWZF94ZXG9A85" localSheetId="18" hidden="1">Trial [32]Balance!$D$7:$D$7</definedName>
    <definedName name="BEx1NKFV94NLIX7GWZF94ZXG9A85" localSheetId="16" hidden="1">Trial [32]Balance!$D$7:$D$7</definedName>
    <definedName name="BEx1NKFV94NLIX7GWZF94ZXG9A85" localSheetId="21" hidden="1">Trial [32]Balance!$D$7:$D$7</definedName>
    <definedName name="BEx1NKFV94NLIX7GWZF94ZXG9A85" localSheetId="19" hidden="1">Trial [32]Balance!$D$7:$D$7</definedName>
    <definedName name="BEx1NKFV94NLIX7GWZF94ZXG9A85" localSheetId="17" hidden="1">Trial [32]Balance!$D$7:$D$7</definedName>
    <definedName name="BEx1NKFV94NLIX7GWZF94ZXG9A85" hidden="1">Trial [32]Balance!$D$7:$D$7</definedName>
    <definedName name="BEx1NYOFXRJ0SM1SY2X12X9BQCHU" localSheetId="18" hidden="1">BS-[29]Monetary!$C$13:$D$14</definedName>
    <definedName name="BEx1NYOFXRJ0SM1SY2X12X9BQCHU" localSheetId="16" hidden="1">BS-[29]Monetary!$C$13:$D$14</definedName>
    <definedName name="BEx1NYOFXRJ0SM1SY2X12X9BQCHU" localSheetId="21" hidden="1">BS-[29]Monetary!$C$13:$D$14</definedName>
    <definedName name="BEx1NYOFXRJ0SM1SY2X12X9BQCHU" localSheetId="19" hidden="1">BS-[29]Monetary!$C$13:$D$14</definedName>
    <definedName name="BEx1NYOFXRJ0SM1SY2X12X9BQCHU" localSheetId="17" hidden="1">BS-[29]Monetary!$C$13:$D$14</definedName>
    <definedName name="BEx1NYOFXRJ0SM1SY2X12X9BQCHU" hidden="1">BS-[29]Monetary!$C$13:$D$14</definedName>
    <definedName name="BEx1OLR2C5PLSMU9JXY9I7WXUMVH" localSheetId="18" hidden="1">Balance [33]Sheet!$D$8:$D$8</definedName>
    <definedName name="BEx1OLR2C5PLSMU9JXY9I7WXUMVH" localSheetId="16" hidden="1">Balance [33]Sheet!$D$8:$D$8</definedName>
    <definedName name="BEx1OLR2C5PLSMU9JXY9I7WXUMVH" localSheetId="21" hidden="1">Balance [33]Sheet!$D$8:$D$8</definedName>
    <definedName name="BEx1OLR2C5PLSMU9JXY9I7WXUMVH" localSheetId="19" hidden="1">Balance [33]Sheet!$D$8:$D$8</definedName>
    <definedName name="BEx1OLR2C5PLSMU9JXY9I7WXUMVH" localSheetId="17" hidden="1">Balance [33]Sheet!$D$8:$D$8</definedName>
    <definedName name="BEx1OLR2C5PLSMU9JXY9I7WXUMVH" hidden="1">Balance [33]Sheet!$D$8:$D$8</definedName>
    <definedName name="BEx1P0FRZZF84FLWU9AP2RP24Z36" localSheetId="18" hidden="1">BS-[29]Monetary!$C$17:$O$209</definedName>
    <definedName name="BEx1P0FRZZF84FLWU9AP2RP24Z36" localSheetId="16" hidden="1">BS-[29]Monetary!$C$17:$O$209</definedName>
    <definedName name="BEx1P0FRZZF84FLWU9AP2RP24Z36" localSheetId="21" hidden="1">BS-[29]Monetary!$C$17:$O$209</definedName>
    <definedName name="BEx1P0FRZZF84FLWU9AP2RP24Z36" localSheetId="19" hidden="1">BS-[29]Monetary!$C$17:$O$209</definedName>
    <definedName name="BEx1P0FRZZF84FLWU9AP2RP24Z36" localSheetId="17" hidden="1">BS-[29]Monetary!$C$17:$O$209</definedName>
    <definedName name="BEx1P0FRZZF84FLWU9AP2RP24Z36" hidden="1">BS-[29]Monetary!$C$17:$O$209</definedName>
    <definedName name="BEx1PA110IBEYWMI8L8D8NZF80QB" hidden="1">#N/A</definedName>
    <definedName name="BEx1PB2QHUX9BX1JXMV8MWTSZK4D" localSheetId="18" hidden="1">BS-[29]Monetary!$D$7:$D$7</definedName>
    <definedName name="BEx1PB2QHUX9BX1JXMV8MWTSZK4D" localSheetId="16" hidden="1">BS-[29]Monetary!$D$7:$D$7</definedName>
    <definedName name="BEx1PB2QHUX9BX1JXMV8MWTSZK4D" localSheetId="21" hidden="1">BS-[29]Monetary!$D$7:$D$7</definedName>
    <definedName name="BEx1PB2QHUX9BX1JXMV8MWTSZK4D" localSheetId="19" hidden="1">BS-[29]Monetary!$D$7:$D$7</definedName>
    <definedName name="BEx1PB2QHUX9BX1JXMV8MWTSZK4D" localSheetId="17" hidden="1">BS-[29]Monetary!$D$7:$D$7</definedName>
    <definedName name="BEx1PB2QHUX9BX1JXMV8MWTSZK4D" hidden="1">BS-[29]Monetary!$D$7:$D$7</definedName>
    <definedName name="BEx1PWNLEE9UF4G1EG0EA7DP9ULY" localSheetId="18" hidden="1">BS-[29]Monetary!$D$6:$D$6</definedName>
    <definedName name="BEx1PWNLEE9UF4G1EG0EA7DP9ULY" localSheetId="16" hidden="1">BS-[29]Monetary!$D$6:$D$6</definedName>
    <definedName name="BEx1PWNLEE9UF4G1EG0EA7DP9ULY" localSheetId="21" hidden="1">BS-[29]Monetary!$D$6:$D$6</definedName>
    <definedName name="BEx1PWNLEE9UF4G1EG0EA7DP9ULY" localSheetId="19" hidden="1">BS-[29]Monetary!$D$6:$D$6</definedName>
    <definedName name="BEx1PWNLEE9UF4G1EG0EA7DP9ULY" localSheetId="17" hidden="1">BS-[29]Monetary!$D$6:$D$6</definedName>
    <definedName name="BEx1PWNLEE9UF4G1EG0EA7DP9ULY" hidden="1">BS-[29]Monetary!$D$6:$D$6</definedName>
    <definedName name="BEx1Q2Y6C78G2RPAT9KY9GYQAPBN" hidden="1">#N/A</definedName>
    <definedName name="BEx1RNW6USYYFEABIA2ARVOHMTM2" localSheetId="18" hidden="1">BS-non Monitory-[31]GC!$C$13:$D$15</definedName>
    <definedName name="BEx1RNW6USYYFEABIA2ARVOHMTM2" localSheetId="16" hidden="1">BS-non Monitory-[31]GC!$C$13:$D$15</definedName>
    <definedName name="BEx1RNW6USYYFEABIA2ARVOHMTM2" localSheetId="21" hidden="1">BS-non Monitory-[31]GC!$C$13:$D$15</definedName>
    <definedName name="BEx1RNW6USYYFEABIA2ARVOHMTM2" localSheetId="19" hidden="1">BS-non Monitory-[31]GC!$C$13:$D$15</definedName>
    <definedName name="BEx1RNW6USYYFEABIA2ARVOHMTM2" localSheetId="17" hidden="1">BS-non Monitory-[31]GC!$C$13:$D$15</definedName>
    <definedName name="BEx1RNW6USYYFEABIA2ARVOHMTM2" hidden="1">BS-non Monitory-[31]GC!$C$13:$D$15</definedName>
    <definedName name="BEx1RUC3PDQFO3C1S6C5YOJ8CCY8" localSheetId="18" hidden="1">BS-non Monetary-[27]LC!$C$17:$I$667</definedName>
    <definedName name="BEx1RUC3PDQFO3C1S6C5YOJ8CCY8" localSheetId="16" hidden="1">BS-non Monetary-[27]LC!$C$17:$I$667</definedName>
    <definedName name="BEx1RUC3PDQFO3C1S6C5YOJ8CCY8" localSheetId="21" hidden="1">BS-non Monetary-[27]LC!$C$17:$I$667</definedName>
    <definedName name="BEx1RUC3PDQFO3C1S6C5YOJ8CCY8" localSheetId="19" hidden="1">BS-non Monetary-[27]LC!$C$17:$I$667</definedName>
    <definedName name="BEx1RUC3PDQFO3C1S6C5YOJ8CCY8" localSheetId="17" hidden="1">BS-non Monetary-[27]LC!$C$17:$I$667</definedName>
    <definedName name="BEx1RUC3PDQFO3C1S6C5YOJ8CCY8" hidden="1">BS-non Monetary-[27]LC!$C$17:$I$667</definedName>
    <definedName name="BEx1RVJ8PHNELTRLANR73CMTPITO" localSheetId="18" hidden="1">BS-[29]Monetary!$D$8:$D$8</definedName>
    <definedName name="BEx1RVJ8PHNELTRLANR73CMTPITO" localSheetId="16" hidden="1">BS-[29]Monetary!$D$8:$D$8</definedName>
    <definedName name="BEx1RVJ8PHNELTRLANR73CMTPITO" localSheetId="21" hidden="1">BS-[29]Monetary!$D$8:$D$8</definedName>
    <definedName name="BEx1RVJ8PHNELTRLANR73CMTPITO" localSheetId="19" hidden="1">BS-[29]Monetary!$D$8:$D$8</definedName>
    <definedName name="BEx1RVJ8PHNELTRLANR73CMTPITO" localSheetId="17" hidden="1">BS-[29]Monetary!$D$8:$D$8</definedName>
    <definedName name="BEx1RVJ8PHNELTRLANR73CMTPITO" hidden="1">BS-[29]Monetary!$D$8:$D$8</definedName>
    <definedName name="BEx1RX6NEGKQ8WLU9YVNWV7D4S8F" localSheetId="18" hidden="1">BS-[29]Monetary!$D$7:$D$7</definedName>
    <definedName name="BEx1RX6NEGKQ8WLU9YVNWV7D4S8F" localSheetId="16" hidden="1">BS-[29]Monetary!$D$7:$D$7</definedName>
    <definedName name="BEx1RX6NEGKQ8WLU9YVNWV7D4S8F" localSheetId="21" hidden="1">BS-[29]Monetary!$D$7:$D$7</definedName>
    <definedName name="BEx1RX6NEGKQ8WLU9YVNWV7D4S8F" localSheetId="19" hidden="1">BS-[29]Monetary!$D$7:$D$7</definedName>
    <definedName name="BEx1RX6NEGKQ8WLU9YVNWV7D4S8F" localSheetId="17" hidden="1">BS-[29]Monetary!$D$7:$D$7</definedName>
    <definedName name="BEx1RX6NEGKQ8WLU9YVNWV7D4S8F" hidden="1">BS-[29]Monetary!$D$7:$D$7</definedName>
    <definedName name="BEx1TN2HUYMAHFC6TUMRBLXKQZXZ" hidden="1">#N/A</definedName>
    <definedName name="BEx1TOKFYCBK145G4OX31XRJRB64" hidden="1">#N/A</definedName>
    <definedName name="BEx1UFZQTPGHPTMYELN22613X5GU" hidden="1">#N/A</definedName>
    <definedName name="BEx1UHC8UWV87GWQCTQBZZ2U6WLX" hidden="1">#N/A</definedName>
    <definedName name="BEx1UOZFYOR49DM8KWMJVUWPMOVO" localSheetId="18" hidden="1">TB BS non Monetary [31]GC!$D$8:$D$8</definedName>
    <definedName name="BEx1UOZFYOR49DM8KWMJVUWPMOVO" localSheetId="16" hidden="1">TB BS non Monetary [31]GC!$D$8:$D$8</definedName>
    <definedName name="BEx1UOZFYOR49DM8KWMJVUWPMOVO" localSheetId="21" hidden="1">TB BS non Monetary [31]GC!$D$8:$D$8</definedName>
    <definedName name="BEx1UOZFYOR49DM8KWMJVUWPMOVO" localSheetId="19" hidden="1">TB BS non Monetary [31]GC!$D$8:$D$8</definedName>
    <definedName name="BEx1UOZFYOR49DM8KWMJVUWPMOVO" localSheetId="17" hidden="1">TB BS non Monetary [31]GC!$D$8:$D$8</definedName>
    <definedName name="BEx1UOZFYOR49DM8KWMJVUWPMOVO" hidden="1">TB BS non Monetary [31]GC!$D$8:$D$8</definedName>
    <definedName name="BEx1UR8CIM2OFMUNRKRKA3H537BX" localSheetId="18" hidden="1">BS Equity [30]Item!$D$8:$D$8</definedName>
    <definedName name="BEx1UR8CIM2OFMUNRKRKA3H537BX" localSheetId="16" hidden="1">BS Equity [30]Item!$D$8:$D$8</definedName>
    <definedName name="BEx1UR8CIM2OFMUNRKRKA3H537BX" localSheetId="21" hidden="1">BS Equity [30]Item!$D$8:$D$8</definedName>
    <definedName name="BEx1UR8CIM2OFMUNRKRKA3H537BX" localSheetId="19" hidden="1">BS Equity [30]Item!$D$8:$D$8</definedName>
    <definedName name="BEx1UR8CIM2OFMUNRKRKA3H537BX" localSheetId="17" hidden="1">BS Equity [30]Item!$D$8:$D$8</definedName>
    <definedName name="BEx1UR8CIM2OFMUNRKRKA3H537BX" hidden="1">BS Equity [30]Item!$D$8:$D$8</definedName>
    <definedName name="BEx1X7XVT1YL9NHYXPID6SEQ3EWX" hidden="1">#N/A</definedName>
    <definedName name="BEx1X9W28V2XT5IHVIQAL36NO8NI" hidden="1">#N/A</definedName>
    <definedName name="BEx1XGMS506E69TJ5P4XP2YO3V4I" localSheetId="18" hidden="1">BS-non Monetary-[27]LC!$D$6:$D$6</definedName>
    <definedName name="BEx1XGMS506E69TJ5P4XP2YO3V4I" localSheetId="16" hidden="1">BS-non Monetary-[27]LC!$D$6:$D$6</definedName>
    <definedName name="BEx1XGMS506E69TJ5P4XP2YO3V4I" localSheetId="21" hidden="1">BS-non Monetary-[27]LC!$D$6:$D$6</definedName>
    <definedName name="BEx1XGMS506E69TJ5P4XP2YO3V4I" localSheetId="19" hidden="1">BS-non Monetary-[27]LC!$D$6:$D$6</definedName>
    <definedName name="BEx1XGMS506E69TJ5P4XP2YO3V4I" localSheetId="17" hidden="1">BS-non Monetary-[27]LC!$D$6:$D$6</definedName>
    <definedName name="BEx1XGMS506E69TJ5P4XP2YO3V4I" hidden="1">BS-non Monetary-[27]LC!$D$6:$D$6</definedName>
    <definedName name="BEx1XPBPFQFRQ9VYA4VWIGHVH0M5" hidden="1">#N/A</definedName>
    <definedName name="BEx1YDAUDZBOXTB4S5136LC75RDT" localSheetId="18" hidden="1">BS-Equity-[28]TC!$D$7:$D$7</definedName>
    <definedName name="BEx1YDAUDZBOXTB4S5136LC75RDT" localSheetId="16" hidden="1">BS-Equity-[28]TC!$D$7:$D$7</definedName>
    <definedName name="BEx1YDAUDZBOXTB4S5136LC75RDT" localSheetId="21" hidden="1">BS-Equity-[28]TC!$D$7:$D$7</definedName>
    <definedName name="BEx1YDAUDZBOXTB4S5136LC75RDT" localSheetId="19" hidden="1">BS-Equity-[28]TC!$D$7:$D$7</definedName>
    <definedName name="BEx1YDAUDZBOXTB4S5136LC75RDT" localSheetId="17" hidden="1">BS-Equity-[28]TC!$D$7:$D$7</definedName>
    <definedName name="BEx1YDAUDZBOXTB4S5136LC75RDT" hidden="1">BS-Equity-[28]TC!$D$7:$D$7</definedName>
    <definedName name="BEx3AAAYRYGF3M7WGTDZC2160NGQ" localSheetId="18" hidden="1">BS-Equity-[28]TC!$D$7:$D$7</definedName>
    <definedName name="BEx3AAAYRYGF3M7WGTDZC2160NGQ" localSheetId="16" hidden="1">BS-Equity-[28]TC!$D$7:$D$7</definedName>
    <definedName name="BEx3AAAYRYGF3M7WGTDZC2160NGQ" localSheetId="21" hidden="1">BS-Equity-[28]TC!$D$7:$D$7</definedName>
    <definedName name="BEx3AAAYRYGF3M7WGTDZC2160NGQ" localSheetId="19" hidden="1">BS-Equity-[28]TC!$D$7:$D$7</definedName>
    <definedName name="BEx3AAAYRYGF3M7WGTDZC2160NGQ" localSheetId="17" hidden="1">BS-Equity-[28]TC!$D$7:$D$7</definedName>
    <definedName name="BEx3AAAYRYGF3M7WGTDZC2160NGQ" hidden="1">BS-Equity-[28]TC!$D$7:$D$7</definedName>
    <definedName name="BEx3B3DJR3NSV6MC7LB7OC43JDZQ" hidden="1">#N/A</definedName>
    <definedName name="BEx3B6DHGWUNAGL1ZVPNSVG2KG2S" localSheetId="18" hidden="1">BS-[34]Monitory!$D$7:$D$7</definedName>
    <definedName name="BEx3B6DHGWUNAGL1ZVPNSVG2KG2S" localSheetId="16" hidden="1">BS-[34]Monitory!$D$7:$D$7</definedName>
    <definedName name="BEx3B6DHGWUNAGL1ZVPNSVG2KG2S" localSheetId="21" hidden="1">BS-[34]Monitory!$D$7:$D$7</definedName>
    <definedName name="BEx3B6DHGWUNAGL1ZVPNSVG2KG2S" localSheetId="19" hidden="1">BS-[34]Monitory!$D$7:$D$7</definedName>
    <definedName name="BEx3B6DHGWUNAGL1ZVPNSVG2KG2S" localSheetId="17" hidden="1">BS-[34]Monitory!$D$7:$D$7</definedName>
    <definedName name="BEx3B6DHGWUNAGL1ZVPNSVG2KG2S" hidden="1">BS-[34]Monitory!$D$7:$D$7</definedName>
    <definedName name="BEx3BONMZD0K6MPXJK0JMFER6HFC" localSheetId="18" hidden="1">BS-[29]Monetary!$D$8:$D$8</definedName>
    <definedName name="BEx3BONMZD0K6MPXJK0JMFER6HFC" localSheetId="16" hidden="1">BS-[29]Monetary!$D$8:$D$8</definedName>
    <definedName name="BEx3BONMZD0K6MPXJK0JMFER6HFC" localSheetId="21" hidden="1">BS-[29]Monetary!$D$8:$D$8</definedName>
    <definedName name="BEx3BONMZD0K6MPXJK0JMFER6HFC" localSheetId="19" hidden="1">BS-[29]Monetary!$D$8:$D$8</definedName>
    <definedName name="BEx3BONMZD0K6MPXJK0JMFER6HFC" localSheetId="17" hidden="1">BS-[29]Monetary!$D$8:$D$8</definedName>
    <definedName name="BEx3BONMZD0K6MPXJK0JMFER6HFC" hidden="1">BS-[29]Monetary!$D$8:$D$8</definedName>
    <definedName name="BEx3C3CBK529MJ99C52ZKBJNVUO3" hidden="1">#N/A</definedName>
    <definedName name="BEx3C6XTFB4KPWATGTYA4LKIRH0J" localSheetId="18" hidden="1">BS-[34]Monitory!$C$13:$D$15</definedName>
    <definedName name="BEx3C6XTFB4KPWATGTYA4LKIRH0J" localSheetId="16" hidden="1">BS-[34]Monitory!$C$13:$D$15</definedName>
    <definedName name="BEx3C6XTFB4KPWATGTYA4LKIRH0J" localSheetId="21" hidden="1">BS-[34]Monitory!$C$13:$D$15</definedName>
    <definedName name="BEx3C6XTFB4KPWATGTYA4LKIRH0J" localSheetId="19" hidden="1">BS-[34]Monitory!$C$13:$D$15</definedName>
    <definedName name="BEx3C6XTFB4KPWATGTYA4LKIRH0J" localSheetId="17" hidden="1">BS-[34]Monitory!$C$13:$D$15</definedName>
    <definedName name="BEx3C6XTFB4KPWATGTYA4LKIRH0J" hidden="1">BS-[34]Monitory!$C$13:$D$15</definedName>
    <definedName name="BEx3CBA6UOPGY43GZRHR1UB1O5WR" hidden="1">#N/A</definedName>
    <definedName name="BEx3COX00WXANGZALCEL33B2NJI7" localSheetId="18" hidden="1">BS-non Monetary-[27]LC!$D$6:$D$6</definedName>
    <definedName name="BEx3COX00WXANGZALCEL33B2NJI7" localSheetId="16" hidden="1">BS-non Monetary-[27]LC!$D$6:$D$6</definedName>
    <definedName name="BEx3COX00WXANGZALCEL33B2NJI7" localSheetId="21" hidden="1">BS-non Monetary-[27]LC!$D$6:$D$6</definedName>
    <definedName name="BEx3COX00WXANGZALCEL33B2NJI7" localSheetId="19" hidden="1">BS-non Monetary-[27]LC!$D$6:$D$6</definedName>
    <definedName name="BEx3COX00WXANGZALCEL33B2NJI7" localSheetId="17" hidden="1">BS-non Monetary-[27]LC!$D$6:$D$6</definedName>
    <definedName name="BEx3COX00WXANGZALCEL33B2NJI7" hidden="1">BS-non Monetary-[27]LC!$D$6:$D$6</definedName>
    <definedName name="BEx3CURGZDHO1P6377CPTZPC1EKW" hidden="1">#N/A</definedName>
    <definedName name="BEx3CURHFSYQFTB89TZOWN2741P5" hidden="1">#N/A</definedName>
    <definedName name="BEx3DBUI4BYU0MC58S22IWHTHDQU" localSheetId="18" hidden="1">BS-non Monetary-[28]TC!$D$6:$D$6</definedName>
    <definedName name="BEx3DBUI4BYU0MC58S22IWHTHDQU" localSheetId="16" hidden="1">BS-non Monetary-[28]TC!$D$6:$D$6</definedName>
    <definedName name="BEx3DBUI4BYU0MC58S22IWHTHDQU" localSheetId="21" hidden="1">BS-non Monetary-[28]TC!$D$6:$D$6</definedName>
    <definedName name="BEx3DBUI4BYU0MC58S22IWHTHDQU" localSheetId="19" hidden="1">BS-non Monetary-[28]TC!$D$6:$D$6</definedName>
    <definedName name="BEx3DBUI4BYU0MC58S22IWHTHDQU" localSheetId="17" hidden="1">BS-non Monetary-[28]TC!$D$6:$D$6</definedName>
    <definedName name="BEx3DBUI4BYU0MC58S22IWHTHDQU" hidden="1">BS-non Monetary-[28]TC!$D$6:$D$6</definedName>
    <definedName name="BEx3DJC8HLWFRLK5A51O5C8510YH" localSheetId="18" hidden="1">BS-non Monetary-[27]LC!$D$6:$D$6</definedName>
    <definedName name="BEx3DJC8HLWFRLK5A51O5C8510YH" localSheetId="16" hidden="1">BS-non Monetary-[27]LC!$D$6:$D$6</definedName>
    <definedName name="BEx3DJC8HLWFRLK5A51O5C8510YH" localSheetId="21" hidden="1">BS-non Monetary-[27]LC!$D$6:$D$6</definedName>
    <definedName name="BEx3DJC8HLWFRLK5A51O5C8510YH" localSheetId="19" hidden="1">BS-non Monetary-[27]LC!$D$6:$D$6</definedName>
    <definedName name="BEx3DJC8HLWFRLK5A51O5C8510YH" localSheetId="17" hidden="1">BS-non Monetary-[27]LC!$D$6:$D$6</definedName>
    <definedName name="BEx3DJC8HLWFRLK5A51O5C8510YH" hidden="1">BS-non Monetary-[27]LC!$D$6:$D$6</definedName>
    <definedName name="BEx3DYRU3IDFLRSYLYQ9HYBFMOKE" localSheetId="18" hidden="1">TB BS non Monetary [31]GC!$C$17:$F$416</definedName>
    <definedName name="BEx3DYRU3IDFLRSYLYQ9HYBFMOKE" localSheetId="16" hidden="1">TB BS non Monetary [31]GC!$C$17:$F$416</definedName>
    <definedName name="BEx3DYRU3IDFLRSYLYQ9HYBFMOKE" localSheetId="21" hidden="1">TB BS non Monetary [31]GC!$C$17:$F$416</definedName>
    <definedName name="BEx3DYRU3IDFLRSYLYQ9HYBFMOKE" localSheetId="19" hidden="1">TB BS non Monetary [31]GC!$C$17:$F$416</definedName>
    <definedName name="BEx3DYRU3IDFLRSYLYQ9HYBFMOKE" localSheetId="17" hidden="1">TB BS non Monetary [31]GC!$C$17:$F$416</definedName>
    <definedName name="BEx3DYRU3IDFLRSYLYQ9HYBFMOKE" hidden="1">TB BS non Monetary [31]GC!$C$17:$F$416</definedName>
    <definedName name="BEx3E6KCWDHXECC1XS2HKIJD25EL" hidden="1">#N/A</definedName>
    <definedName name="BEx3EUOUTL4VOTR0GR22AAGWVLTT" hidden="1">#N/A</definedName>
    <definedName name="BEx3FG4DJQZHIBUOP3ZYNPPU5CKX" hidden="1">#N/A</definedName>
    <definedName name="BEx3FI7W4FRH1OBIGSGK2LYCP38G" localSheetId="18" hidden="1">TB BS non Monetary [28]TC!$D$6:$D$6</definedName>
    <definedName name="BEx3FI7W4FRH1OBIGSGK2LYCP38G" localSheetId="16" hidden="1">TB BS non Monetary [28]TC!$D$6:$D$6</definedName>
    <definedName name="BEx3FI7W4FRH1OBIGSGK2LYCP38G" localSheetId="21" hidden="1">TB BS non Monetary [28]TC!$D$6:$D$6</definedName>
    <definedName name="BEx3FI7W4FRH1OBIGSGK2LYCP38G" localSheetId="19" hidden="1">TB BS non Monetary [28]TC!$D$6:$D$6</definedName>
    <definedName name="BEx3FI7W4FRH1OBIGSGK2LYCP38G" localSheetId="17" hidden="1">TB BS non Monetary [28]TC!$D$6:$D$6</definedName>
    <definedName name="BEx3FI7W4FRH1OBIGSGK2LYCP38G" hidden="1">TB BS non Monetary [28]TC!$D$6:$D$6</definedName>
    <definedName name="BEx3FRNPN23AEIDIY1AMMLUPFSPP" hidden="1">#N/A</definedName>
    <definedName name="BEx3HH3K4PJP6OKQLSY741271RGS" localSheetId="18" hidden="1">BS-non Monetary-[28]TC!$D$8:$D$8</definedName>
    <definedName name="BEx3HH3K4PJP6OKQLSY741271RGS" localSheetId="16" hidden="1">BS-non Monetary-[28]TC!$D$8:$D$8</definedName>
    <definedName name="BEx3HH3K4PJP6OKQLSY741271RGS" localSheetId="21" hidden="1">BS-non Monetary-[28]TC!$D$8:$D$8</definedName>
    <definedName name="BEx3HH3K4PJP6OKQLSY741271RGS" localSheetId="19" hidden="1">BS-non Monetary-[28]TC!$D$8:$D$8</definedName>
    <definedName name="BEx3HH3K4PJP6OKQLSY741271RGS" localSheetId="17" hidden="1">BS-non Monetary-[28]TC!$D$8:$D$8</definedName>
    <definedName name="BEx3HH3K4PJP6OKQLSY741271RGS" hidden="1">BS-non Monetary-[28]TC!$D$8:$D$8</definedName>
    <definedName name="BEx3HTJA14SOGXA1EC0L34FG631P" hidden="1">#N/A</definedName>
    <definedName name="BEx3I52LF9I27YXRT36LQBAAH0TS" localSheetId="18" hidden="1">BS-non Monetary-[28]TC!$C$13:$D$14</definedName>
    <definedName name="BEx3I52LF9I27YXRT36LQBAAH0TS" localSheetId="16" hidden="1">BS-non Monetary-[28]TC!$C$13:$D$14</definedName>
    <definedName name="BEx3I52LF9I27YXRT36LQBAAH0TS" localSheetId="21" hidden="1">BS-non Monetary-[28]TC!$C$13:$D$14</definedName>
    <definedName name="BEx3I52LF9I27YXRT36LQBAAH0TS" localSheetId="19" hidden="1">BS-non Monetary-[28]TC!$C$13:$D$14</definedName>
    <definedName name="BEx3I52LF9I27YXRT36LQBAAH0TS" localSheetId="17" hidden="1">BS-non Monetary-[28]TC!$C$13:$D$14</definedName>
    <definedName name="BEx3I52LF9I27YXRT36LQBAAH0TS" hidden="1">BS-non Monetary-[28]TC!$C$13:$D$14</definedName>
    <definedName name="BEx3I5IUS6ECWA1H3DHK97BBLK6L" hidden="1">#N/A</definedName>
    <definedName name="BEx3II9CPGUC05WXSVN6CVCQ8GLQ" localSheetId="18" hidden="1">BS-Equity-[28]TC!$C$13:$D$14</definedName>
    <definedName name="BEx3II9CPGUC05WXSVN6CVCQ8GLQ" localSheetId="16" hidden="1">BS-Equity-[28]TC!$C$13:$D$14</definedName>
    <definedName name="BEx3II9CPGUC05WXSVN6CVCQ8GLQ" localSheetId="21" hidden="1">BS-Equity-[28]TC!$C$13:$D$14</definedName>
    <definedName name="BEx3II9CPGUC05WXSVN6CVCQ8GLQ" localSheetId="19" hidden="1">BS-Equity-[28]TC!$C$13:$D$14</definedName>
    <definedName name="BEx3II9CPGUC05WXSVN6CVCQ8GLQ" localSheetId="17" hidden="1">BS-Equity-[28]TC!$C$13:$D$14</definedName>
    <definedName name="BEx3II9CPGUC05WXSVN6CVCQ8GLQ" hidden="1">BS-Equity-[28]TC!$C$13:$D$14</definedName>
    <definedName name="BEx3J5C54WGAO35B53XD515J6DFX" localSheetId="18" hidden="1">BS-non Monetary-[27]LC!$C$17:$F$529</definedName>
    <definedName name="BEx3J5C54WGAO35B53XD515J6DFX" localSheetId="16" hidden="1">BS-non Monetary-[27]LC!$C$17:$F$529</definedName>
    <definedName name="BEx3J5C54WGAO35B53XD515J6DFX" localSheetId="21" hidden="1">BS-non Monetary-[27]LC!$C$17:$F$529</definedName>
    <definedName name="BEx3J5C54WGAO35B53XD515J6DFX" localSheetId="19" hidden="1">BS-non Monetary-[27]LC!$C$17:$F$529</definedName>
    <definedName name="BEx3J5C54WGAO35B53XD515J6DFX" localSheetId="17" hidden="1">BS-non Monetary-[27]LC!$C$17:$F$529</definedName>
    <definedName name="BEx3J5C54WGAO35B53XD515J6DFX" hidden="1">BS-non Monetary-[27]LC!$C$17:$F$529</definedName>
    <definedName name="BEx3JERXYRQQI1YPU3AWRKT5VANV" localSheetId="18" hidden="1">BS-[29]Monetary!$C$13:$D$14</definedName>
    <definedName name="BEx3JERXYRQQI1YPU3AWRKT5VANV" localSheetId="16" hidden="1">BS-[29]Monetary!$C$13:$D$14</definedName>
    <definedName name="BEx3JERXYRQQI1YPU3AWRKT5VANV" localSheetId="21" hidden="1">BS-[29]Monetary!$C$13:$D$14</definedName>
    <definedName name="BEx3JERXYRQQI1YPU3AWRKT5VANV" localSheetId="19" hidden="1">BS-[29]Monetary!$C$13:$D$14</definedName>
    <definedName name="BEx3JERXYRQQI1YPU3AWRKT5VANV" localSheetId="17" hidden="1">BS-[29]Monetary!$C$13:$D$14</definedName>
    <definedName name="BEx3JERXYRQQI1YPU3AWRKT5VANV" hidden="1">BS-[29]Monetary!$C$13:$D$14</definedName>
    <definedName name="BEx3JHH28AL1KXWMCGTC7D11XY9X" localSheetId="18" hidden="1">BS-[29]Monetary!$C$13:$D$14</definedName>
    <definedName name="BEx3JHH28AL1KXWMCGTC7D11XY9X" localSheetId="16" hidden="1">BS-[29]Monetary!$C$13:$D$14</definedName>
    <definedName name="BEx3JHH28AL1KXWMCGTC7D11XY9X" localSheetId="21" hidden="1">BS-[29]Monetary!$C$13:$D$14</definedName>
    <definedName name="BEx3JHH28AL1KXWMCGTC7D11XY9X" localSheetId="19" hidden="1">BS-[29]Monetary!$C$13:$D$14</definedName>
    <definedName name="BEx3JHH28AL1KXWMCGTC7D11XY9X" localSheetId="17" hidden="1">BS-[29]Monetary!$C$13:$D$14</definedName>
    <definedName name="BEx3JHH28AL1KXWMCGTC7D11XY9X" hidden="1">BS-[29]Monetary!$C$13:$D$14</definedName>
    <definedName name="BEx3JKRPH53VWE4OS8Y06KFA3AYG" hidden="1">#N/A</definedName>
    <definedName name="BEx3JYUU197CR5XW25A42UI34I8M" localSheetId="18" hidden="1">BS-non Monetary-[27]LC!$D$6:$D$6</definedName>
    <definedName name="BEx3JYUU197CR5XW25A42UI34I8M" localSheetId="16" hidden="1">BS-non Monetary-[27]LC!$D$6:$D$6</definedName>
    <definedName name="BEx3JYUU197CR5XW25A42UI34I8M" localSheetId="21" hidden="1">BS-non Monetary-[27]LC!$D$6:$D$6</definedName>
    <definedName name="BEx3JYUU197CR5XW25A42UI34I8M" localSheetId="19" hidden="1">BS-non Monetary-[27]LC!$D$6:$D$6</definedName>
    <definedName name="BEx3JYUU197CR5XW25A42UI34I8M" localSheetId="17" hidden="1">BS-non Monetary-[27]LC!$D$6:$D$6</definedName>
    <definedName name="BEx3JYUU197CR5XW25A42UI34I8M" hidden="1">BS-non Monetary-[27]LC!$D$6:$D$6</definedName>
    <definedName name="BEx3KL1B4RHQGCTM10JI213F9YAV" localSheetId="18" hidden="1">#REF!</definedName>
    <definedName name="BEx3KL1B4RHQGCTM10JI213F9YAV" localSheetId="16" hidden="1">#REF!</definedName>
    <definedName name="BEx3KL1B4RHQGCTM10JI213F9YAV" localSheetId="21" hidden="1">#REF!</definedName>
    <definedName name="BEx3KL1B4RHQGCTM10JI213F9YAV" localSheetId="19" hidden="1">#REF!</definedName>
    <definedName name="BEx3KL1B4RHQGCTM10JI213F9YAV" localSheetId="17" hidden="1">#REF!</definedName>
    <definedName name="BEx3KL1B4RHQGCTM10JI213F9YAV" hidden="1">#REF!</definedName>
    <definedName name="BEx3LC0CH8N4MLITZZ2PYA2LK7MT" hidden="1">#N/A</definedName>
    <definedName name="BEx3LHUP5LR62A6VA6WJYK768F1Y" hidden="1">#N/A</definedName>
    <definedName name="BEx3LI5GJN0KOMBGW5A8B9UKYYRQ" localSheetId="18" hidden="1">BS-non Monetary-[27]LC!$D$8:$D$8</definedName>
    <definedName name="BEx3LI5GJN0KOMBGW5A8B9UKYYRQ" localSheetId="16" hidden="1">BS-non Monetary-[27]LC!$D$8:$D$8</definedName>
    <definedName name="BEx3LI5GJN0KOMBGW5A8B9UKYYRQ" localSheetId="21" hidden="1">BS-non Monetary-[27]LC!$D$8:$D$8</definedName>
    <definedName name="BEx3LI5GJN0KOMBGW5A8B9UKYYRQ" localSheetId="19" hidden="1">BS-non Monetary-[27]LC!$D$8:$D$8</definedName>
    <definedName name="BEx3LI5GJN0KOMBGW5A8B9UKYYRQ" localSheetId="17" hidden="1">BS-non Monetary-[27]LC!$D$8:$D$8</definedName>
    <definedName name="BEx3LI5GJN0KOMBGW5A8B9UKYYRQ" hidden="1">BS-non Monetary-[27]LC!$D$8:$D$8</definedName>
    <definedName name="BEx3LLG4K0FQTHPZAOMJU028WKN5" hidden="1">#N/A</definedName>
    <definedName name="BEx3LT8P5B9VJUKBFK78R9ISN8RD" localSheetId="18" hidden="1">BS-[29]Monetary!$D$6:$D$6</definedName>
    <definedName name="BEx3LT8P5B9VJUKBFK78R9ISN8RD" localSheetId="16" hidden="1">BS-[29]Monetary!$D$6:$D$6</definedName>
    <definedName name="BEx3LT8P5B9VJUKBFK78R9ISN8RD" localSheetId="21" hidden="1">BS-[29]Monetary!$D$6:$D$6</definedName>
    <definedName name="BEx3LT8P5B9VJUKBFK78R9ISN8RD" localSheetId="19" hidden="1">BS-[29]Monetary!$D$6:$D$6</definedName>
    <definedName name="BEx3LT8P5B9VJUKBFK78R9ISN8RD" localSheetId="17" hidden="1">BS-[29]Monetary!$D$6:$D$6</definedName>
    <definedName name="BEx3LT8P5B9VJUKBFK78R9ISN8RD" hidden="1">BS-[29]Monetary!$D$6:$D$6</definedName>
    <definedName name="BEx3M9FAPKMTNOEKSPJBI58CHKWF" localSheetId="18" hidden="1">Trial [32]Balance!$D$7:$D$7</definedName>
    <definedName name="BEx3M9FAPKMTNOEKSPJBI58CHKWF" localSheetId="16" hidden="1">Trial [32]Balance!$D$7:$D$7</definedName>
    <definedName name="BEx3M9FAPKMTNOEKSPJBI58CHKWF" localSheetId="21" hidden="1">Trial [32]Balance!$D$7:$D$7</definedName>
    <definedName name="BEx3M9FAPKMTNOEKSPJBI58CHKWF" localSheetId="19" hidden="1">Trial [32]Balance!$D$7:$D$7</definedName>
    <definedName name="BEx3M9FAPKMTNOEKSPJBI58CHKWF" localSheetId="17" hidden="1">Trial [32]Balance!$D$7:$D$7</definedName>
    <definedName name="BEx3M9FAPKMTNOEKSPJBI58CHKWF" hidden="1">Trial [32]Balance!$D$7:$D$7</definedName>
    <definedName name="BEx3MG604UWWAGADJ596GG5HL7W6" hidden="1">#N/A</definedName>
    <definedName name="BEx3MI9I8OUT6MYTKKN0Y8KUIPNA" hidden="1">#N/A</definedName>
    <definedName name="BEx3MVG9A58HPK13BZ7Y1FNBIHK6" hidden="1">#N/A</definedName>
    <definedName name="BEx3N9JDNFJPDJKHMFR6OS0LPCF4" localSheetId="18" hidden="1">BS-[29]Monetary!$D$6:$D$6</definedName>
    <definedName name="BEx3N9JDNFJPDJKHMFR6OS0LPCF4" localSheetId="16" hidden="1">BS-[29]Monetary!$D$6:$D$6</definedName>
    <definedName name="BEx3N9JDNFJPDJKHMFR6OS0LPCF4" localSheetId="21" hidden="1">BS-[29]Monetary!$D$6:$D$6</definedName>
    <definedName name="BEx3N9JDNFJPDJKHMFR6OS0LPCF4" localSheetId="19" hidden="1">BS-[29]Monetary!$D$6:$D$6</definedName>
    <definedName name="BEx3N9JDNFJPDJKHMFR6OS0LPCF4" localSheetId="17" hidden="1">BS-[29]Monetary!$D$6:$D$6</definedName>
    <definedName name="BEx3N9JDNFJPDJKHMFR6OS0LPCF4" hidden="1">BS-[29]Monetary!$D$6:$D$6</definedName>
    <definedName name="BEx3O7EKWAWVWX0U5VG972TXT7GZ" hidden="1">#N/A</definedName>
    <definedName name="BEx3OIXYZQCK2MD1E5WOQT48V1E6" hidden="1">#N/A</definedName>
    <definedName name="BEx3OM8MVER6VTXFU8EI5UHSLLN8" localSheetId="18" hidden="1">BS-non Monetary-[31]GC!$C$13:$D$15</definedName>
    <definedName name="BEx3OM8MVER6VTXFU8EI5UHSLLN8" localSheetId="16" hidden="1">BS-non Monetary-[31]GC!$C$13:$D$15</definedName>
    <definedName name="BEx3OM8MVER6VTXFU8EI5UHSLLN8" localSheetId="21" hidden="1">BS-non Monetary-[31]GC!$C$13:$D$15</definedName>
    <definedName name="BEx3OM8MVER6VTXFU8EI5UHSLLN8" localSheetId="19" hidden="1">BS-non Monetary-[31]GC!$C$13:$D$15</definedName>
    <definedName name="BEx3OM8MVER6VTXFU8EI5UHSLLN8" localSheetId="17" hidden="1">BS-non Monetary-[31]GC!$C$13:$D$15</definedName>
    <definedName name="BEx3OM8MVER6VTXFU8EI5UHSLLN8" hidden="1">BS-non Monetary-[31]GC!$C$13:$D$15</definedName>
    <definedName name="BEx3PGNOQD7U6R961HZ1U7IBX68U" hidden="1">#N/A</definedName>
    <definedName name="BEx3PSY21P0809RK1344RY4WLONY" localSheetId="18" hidden="1">BS-[29]Monetary!$D$8:$D$8</definedName>
    <definedName name="BEx3PSY21P0809RK1344RY4WLONY" localSheetId="16" hidden="1">BS-[29]Monetary!$D$8:$D$8</definedName>
    <definedName name="BEx3PSY21P0809RK1344RY4WLONY" localSheetId="21" hidden="1">BS-[29]Monetary!$D$8:$D$8</definedName>
    <definedName name="BEx3PSY21P0809RK1344RY4WLONY" localSheetId="19" hidden="1">BS-[29]Monetary!$D$8:$D$8</definedName>
    <definedName name="BEx3PSY21P0809RK1344RY4WLONY" localSheetId="17" hidden="1">BS-[29]Monetary!$D$8:$D$8</definedName>
    <definedName name="BEx3PSY21P0809RK1344RY4WLONY" hidden="1">BS-[29]Monetary!$D$8:$D$8</definedName>
    <definedName name="BEx3PUAOD7L85ITI1L71T0C76JPX" hidden="1">#N/A</definedName>
    <definedName name="BEx3PVCDZW9T1V4T27P57VJ4VS6L" localSheetId="18" hidden="1">BS-non Monetary-[28]TC!$D$8:$D$8</definedName>
    <definedName name="BEx3PVCDZW9T1V4T27P57VJ4VS6L" localSheetId="16" hidden="1">BS-non Monetary-[28]TC!$D$8:$D$8</definedName>
    <definedName name="BEx3PVCDZW9T1V4T27P57VJ4VS6L" localSheetId="21" hidden="1">BS-non Monetary-[28]TC!$D$8:$D$8</definedName>
    <definedName name="BEx3PVCDZW9T1V4T27P57VJ4VS6L" localSheetId="19" hidden="1">BS-non Monetary-[28]TC!$D$8:$D$8</definedName>
    <definedName name="BEx3PVCDZW9T1V4T27P57VJ4VS6L" localSheetId="17" hidden="1">BS-non Monetary-[28]TC!$D$8:$D$8</definedName>
    <definedName name="BEx3PVCDZW9T1V4T27P57VJ4VS6L" hidden="1">BS-non Monetary-[28]TC!$D$8:$D$8</definedName>
    <definedName name="BEx3Q34WLPX9QF13K6WZ2BNBPIHN" hidden="1">#N/A</definedName>
    <definedName name="BEx3Q6QDEWQISQ53WAQK5GP1IEWS" localSheetId="18" hidden="1">Trial [32]Balance!$C$13:$D$13</definedName>
    <definedName name="BEx3Q6QDEWQISQ53WAQK5GP1IEWS" localSheetId="16" hidden="1">Trial [32]Balance!$C$13:$D$13</definedName>
    <definedName name="BEx3Q6QDEWQISQ53WAQK5GP1IEWS" localSheetId="21" hidden="1">Trial [32]Balance!$C$13:$D$13</definedName>
    <definedName name="BEx3Q6QDEWQISQ53WAQK5GP1IEWS" localSheetId="19" hidden="1">Trial [32]Balance!$C$13:$D$13</definedName>
    <definedName name="BEx3Q6QDEWQISQ53WAQK5GP1IEWS" localSheetId="17" hidden="1">Trial [32]Balance!$C$13:$D$13</definedName>
    <definedName name="BEx3Q6QDEWQISQ53WAQK5GP1IEWS" hidden="1">Trial [32]Balance!$C$13:$D$13</definedName>
    <definedName name="BEx3QK7X5JX6AI9O81OBTZ0R6FVD" localSheetId="18" hidden="1">BS-non Monitory-[28]TC!$C$13:$D$15</definedName>
    <definedName name="BEx3QK7X5JX6AI9O81OBTZ0R6FVD" localSheetId="16" hidden="1">BS-non Monitory-[28]TC!$C$13:$D$15</definedName>
    <definedName name="BEx3QK7X5JX6AI9O81OBTZ0R6FVD" localSheetId="21" hidden="1">BS-non Monitory-[28]TC!$C$13:$D$15</definedName>
    <definedName name="BEx3QK7X5JX6AI9O81OBTZ0R6FVD" localSheetId="19" hidden="1">BS-non Monitory-[28]TC!$C$13:$D$15</definedName>
    <definedName name="BEx3QK7X5JX6AI9O81OBTZ0R6FVD" localSheetId="17" hidden="1">BS-non Monitory-[28]TC!$C$13:$D$15</definedName>
    <definedName name="BEx3QK7X5JX6AI9O81OBTZ0R6FVD" hidden="1">BS-non Monitory-[28]TC!$C$13:$D$15</definedName>
    <definedName name="BEx3QZ7F6MBQ0J2P7SLTM3BZK0SU" localSheetId="18" hidden="1">BS-non Monitory-[28]TC!$D$7:$D$7</definedName>
    <definedName name="BEx3QZ7F6MBQ0J2P7SLTM3BZK0SU" localSheetId="16" hidden="1">BS-non Monitory-[28]TC!$D$7:$D$7</definedName>
    <definedName name="BEx3QZ7F6MBQ0J2P7SLTM3BZK0SU" localSheetId="21" hidden="1">BS-non Monitory-[28]TC!$D$7:$D$7</definedName>
    <definedName name="BEx3QZ7F6MBQ0J2P7SLTM3BZK0SU" localSheetId="19" hidden="1">BS-non Monitory-[28]TC!$D$7:$D$7</definedName>
    <definedName name="BEx3QZ7F6MBQ0J2P7SLTM3BZK0SU" localSheetId="17" hidden="1">BS-non Monitory-[28]TC!$D$7:$D$7</definedName>
    <definedName name="BEx3QZ7F6MBQ0J2P7SLTM3BZK0SU" hidden="1">BS-non Monitory-[28]TC!$D$7:$D$7</definedName>
    <definedName name="BEx3R1LPVDHQNJDH8W7VYC5SCK4Z" localSheetId="18" hidden="1">BS-[29]Monetary!$C$17:$CA$189</definedName>
    <definedName name="BEx3R1LPVDHQNJDH8W7VYC5SCK4Z" localSheetId="16" hidden="1">BS-[29]Monetary!$C$17:$CA$189</definedName>
    <definedName name="BEx3R1LPVDHQNJDH8W7VYC5SCK4Z" localSheetId="21" hidden="1">BS-[29]Monetary!$C$17:$CA$189</definedName>
    <definedName name="BEx3R1LPVDHQNJDH8W7VYC5SCK4Z" localSheetId="19" hidden="1">BS-[29]Monetary!$C$17:$CA$189</definedName>
    <definedName name="BEx3R1LPVDHQNJDH8W7VYC5SCK4Z" localSheetId="17" hidden="1">BS-[29]Monetary!$C$17:$CA$189</definedName>
    <definedName name="BEx3R1LPVDHQNJDH8W7VYC5SCK4Z" hidden="1">BS-[29]Monetary!$C$17:$CA$189</definedName>
    <definedName name="BEx3RHC3WFR8X0U227FW05CG6XQJ" hidden="1">#N/A</definedName>
    <definedName name="BEx3RMVLIH7HPRE7V7ICDHQAAVKC" localSheetId="18" hidden="1">BS-[29]Monetary!$D$6:$D$6</definedName>
    <definedName name="BEx3RMVLIH7HPRE7V7ICDHQAAVKC" localSheetId="16" hidden="1">BS-[29]Monetary!$D$6:$D$6</definedName>
    <definedName name="BEx3RMVLIH7HPRE7V7ICDHQAAVKC" localSheetId="21" hidden="1">BS-[29]Monetary!$D$6:$D$6</definedName>
    <definedName name="BEx3RMVLIH7HPRE7V7ICDHQAAVKC" localSheetId="19" hidden="1">BS-[29]Monetary!$D$6:$D$6</definedName>
    <definedName name="BEx3RMVLIH7HPRE7V7ICDHQAAVKC" localSheetId="17" hidden="1">BS-[29]Monetary!$D$6:$D$6</definedName>
    <definedName name="BEx3RMVLIH7HPRE7V7ICDHQAAVKC" hidden="1">BS-[29]Monetary!$D$6:$D$6</definedName>
    <definedName name="BEx3RODKLHPQOZIXUDQWJEWPWIXN" localSheetId="18" hidden="1">TB BS non Monetary [31]GC!$D$6:$D$6</definedName>
    <definedName name="BEx3RODKLHPQOZIXUDQWJEWPWIXN" localSheetId="16" hidden="1">TB BS non Monetary [31]GC!$D$6:$D$6</definedName>
    <definedName name="BEx3RODKLHPQOZIXUDQWJEWPWIXN" localSheetId="21" hidden="1">TB BS non Monetary [31]GC!$D$6:$D$6</definedName>
    <definedName name="BEx3RODKLHPQOZIXUDQWJEWPWIXN" localSheetId="19" hidden="1">TB BS non Monetary [31]GC!$D$6:$D$6</definedName>
    <definedName name="BEx3RODKLHPQOZIXUDQWJEWPWIXN" localSheetId="17" hidden="1">TB BS non Monetary [31]GC!$D$6:$D$6</definedName>
    <definedName name="BEx3RODKLHPQOZIXUDQWJEWPWIXN" hidden="1">TB BS non Monetary [31]GC!$D$6:$D$6</definedName>
    <definedName name="BEx3RPKW998XXV83QLUVWK5FZ9YG" localSheetId="18" hidden="1">TB BS Monetary [30]Item!$C$13:$D$15</definedName>
    <definedName name="BEx3RPKW998XXV83QLUVWK5FZ9YG" localSheetId="16" hidden="1">TB BS Monetary [30]Item!$C$13:$D$15</definedName>
    <definedName name="BEx3RPKW998XXV83QLUVWK5FZ9YG" localSheetId="21" hidden="1">TB BS Monetary [30]Item!$C$13:$D$15</definedName>
    <definedName name="BEx3RPKW998XXV83QLUVWK5FZ9YG" localSheetId="19" hidden="1">TB BS Monetary [30]Item!$C$13:$D$15</definedName>
    <definedName name="BEx3RPKW998XXV83QLUVWK5FZ9YG" localSheetId="17" hidden="1">TB BS Monetary [30]Item!$C$13:$D$15</definedName>
    <definedName name="BEx3RPKW998XXV83QLUVWK5FZ9YG" hidden="1">TB BS Monetary [30]Item!$C$13:$D$15</definedName>
    <definedName name="BEx3S20KMF1NLBL28VXBKO12SXXE" localSheetId="18" hidden="1">BS-[29]Monetary!$C$13:$D$14</definedName>
    <definedName name="BEx3S20KMF1NLBL28VXBKO12SXXE" localSheetId="16" hidden="1">BS-[29]Monetary!$C$13:$D$14</definedName>
    <definedName name="BEx3S20KMF1NLBL28VXBKO12SXXE" localSheetId="21" hidden="1">BS-[29]Monetary!$C$13:$D$14</definedName>
    <definedName name="BEx3S20KMF1NLBL28VXBKO12SXXE" localSheetId="19" hidden="1">BS-[29]Monetary!$C$13:$D$14</definedName>
    <definedName name="BEx3S20KMF1NLBL28VXBKO12SXXE" localSheetId="17" hidden="1">BS-[29]Monetary!$C$13:$D$14</definedName>
    <definedName name="BEx3S20KMF1NLBL28VXBKO12SXXE" hidden="1">BS-[29]Monetary!$C$13:$D$14</definedName>
    <definedName name="BEx3S55SHEYEPIFFDO0GS7KRM5MD" hidden="1">#N/A</definedName>
    <definedName name="BEx3S6NQZ3BVM959W30E6UUGLJYF" localSheetId="18" hidden="1">BS-non Monitory-[28]TC!$D$8:$D$8</definedName>
    <definedName name="BEx3S6NQZ3BVM959W30E6UUGLJYF" localSheetId="16" hidden="1">BS-non Monitory-[28]TC!$D$8:$D$8</definedName>
    <definedName name="BEx3S6NQZ3BVM959W30E6UUGLJYF" localSheetId="21" hidden="1">BS-non Monitory-[28]TC!$D$8:$D$8</definedName>
    <definedName name="BEx3S6NQZ3BVM959W30E6UUGLJYF" localSheetId="19" hidden="1">BS-non Monitory-[28]TC!$D$8:$D$8</definedName>
    <definedName name="BEx3S6NQZ3BVM959W30E6UUGLJYF" localSheetId="17" hidden="1">BS-non Monitory-[28]TC!$D$8:$D$8</definedName>
    <definedName name="BEx3S6NQZ3BVM959W30E6UUGLJYF" hidden="1">BS-non Monitory-[28]TC!$D$8:$D$8</definedName>
    <definedName name="BEx3S8GGVNOSES8Y1SO3V5NDCOME" localSheetId="18" hidden="1">BS-non Monetary-[27]LC!$D$6:$D$6</definedName>
    <definedName name="BEx3S8GGVNOSES8Y1SO3V5NDCOME" localSheetId="16" hidden="1">BS-non Monetary-[27]LC!$D$6:$D$6</definedName>
    <definedName name="BEx3S8GGVNOSES8Y1SO3V5NDCOME" localSheetId="21" hidden="1">BS-non Monetary-[27]LC!$D$6:$D$6</definedName>
    <definedName name="BEx3S8GGVNOSES8Y1SO3V5NDCOME" localSheetId="19" hidden="1">BS-non Monetary-[27]LC!$D$6:$D$6</definedName>
    <definedName name="BEx3S8GGVNOSES8Y1SO3V5NDCOME" localSheetId="17" hidden="1">BS-non Monetary-[27]LC!$D$6:$D$6</definedName>
    <definedName name="BEx3S8GGVNOSES8Y1SO3V5NDCOME" hidden="1">BS-non Monetary-[27]LC!$D$6:$D$6</definedName>
    <definedName name="BEx3S9NM55JWQ7ZCU8BULABIOY5Q" localSheetId="18" hidden="1">TB-[35]BS!$C$17:$I$1005</definedName>
    <definedName name="BEx3S9NM55JWQ7ZCU8BULABIOY5Q" localSheetId="16" hidden="1">TB-[35]BS!$C$17:$I$1005</definedName>
    <definedName name="BEx3S9NM55JWQ7ZCU8BULABIOY5Q" localSheetId="21" hidden="1">TB-[35]BS!$C$17:$I$1005</definedName>
    <definedName name="BEx3S9NM55JWQ7ZCU8BULABIOY5Q" localSheetId="19" hidden="1">TB-[35]BS!$C$17:$I$1005</definedName>
    <definedName name="BEx3S9NM55JWQ7ZCU8BULABIOY5Q" localSheetId="17" hidden="1">TB-[35]BS!$C$17:$I$1005</definedName>
    <definedName name="BEx3S9NM55JWQ7ZCU8BULABIOY5Q" hidden="1">TB-[35]BS!$C$17:$I$1005</definedName>
    <definedName name="BEx3SB5K66RMTE1IEAE615HAMU62" localSheetId="18" hidden="1">Trial [32]Balance!$D$8:$D$8</definedName>
    <definedName name="BEx3SB5K66RMTE1IEAE615HAMU62" localSheetId="16" hidden="1">Trial [32]Balance!$D$8:$D$8</definedName>
    <definedName name="BEx3SB5K66RMTE1IEAE615HAMU62" localSheetId="21" hidden="1">Trial [32]Balance!$D$8:$D$8</definedName>
    <definedName name="BEx3SB5K66RMTE1IEAE615HAMU62" localSheetId="19" hidden="1">Trial [32]Balance!$D$8:$D$8</definedName>
    <definedName name="BEx3SB5K66RMTE1IEAE615HAMU62" localSheetId="17" hidden="1">Trial [32]Balance!$D$8:$D$8</definedName>
    <definedName name="BEx3SB5K66RMTE1IEAE615HAMU62" hidden="1">Trial [32]Balance!$D$8:$D$8</definedName>
    <definedName name="BEx3T9X5X4YG4M4WQI5A16HP5A88" hidden="1">#N/A</definedName>
    <definedName name="BEx3UM0U29AXDIUI40TYLJK6P985" hidden="1">#N/A</definedName>
    <definedName name="BEx3UPMBJRSAG2LL8L3X13J6DIBX" localSheetId="18" hidden="1">BS-non Monetary-[28]TC!$D$7:$D$7</definedName>
    <definedName name="BEx3UPMBJRSAG2LL8L3X13J6DIBX" localSheetId="16" hidden="1">BS-non Monetary-[28]TC!$D$7:$D$7</definedName>
    <definedName name="BEx3UPMBJRSAG2LL8L3X13J6DIBX" localSheetId="21" hidden="1">BS-non Monetary-[28]TC!$D$7:$D$7</definedName>
    <definedName name="BEx3UPMBJRSAG2LL8L3X13J6DIBX" localSheetId="19" hidden="1">BS-non Monetary-[28]TC!$D$7:$D$7</definedName>
    <definedName name="BEx3UPMBJRSAG2LL8L3X13J6DIBX" localSheetId="17" hidden="1">BS-non Monetary-[28]TC!$D$7:$D$7</definedName>
    <definedName name="BEx3UPMBJRSAG2LL8L3X13J6DIBX" hidden="1">BS-non Monetary-[28]TC!$D$7:$D$7</definedName>
    <definedName name="BEx3V5SYL5S52VT616J59V6UO0UQ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3G8NAY23PBJFQ62G51DKW72" localSheetId="18" hidden="1">BS-[29]Monetary!$D$7:$D$7</definedName>
    <definedName name="BEx5A3G8NAY23PBJFQ62G51DKW72" localSheetId="16" hidden="1">BS-[29]Monetary!$D$7:$D$7</definedName>
    <definedName name="BEx5A3G8NAY23PBJFQ62G51DKW72" localSheetId="21" hidden="1">BS-[29]Monetary!$D$7:$D$7</definedName>
    <definedName name="BEx5A3G8NAY23PBJFQ62G51DKW72" localSheetId="19" hidden="1">BS-[29]Monetary!$D$7:$D$7</definedName>
    <definedName name="BEx5A3G8NAY23PBJFQ62G51DKW72" localSheetId="17" hidden="1">BS-[29]Monetary!$D$7:$D$7</definedName>
    <definedName name="BEx5A3G8NAY23PBJFQ62G51DKW72" hidden="1">BS-[29]Monetary!$D$7:$D$7</definedName>
    <definedName name="BEx5AZIR331WOLDRPGKBX5BXEXYE" hidden="1">#N/A</definedName>
    <definedName name="BEx5CUCNAKQ3TEEJYAMWQ5R48YF0" localSheetId="18" hidden="1">#REF!</definedName>
    <definedName name="BEx5CUCNAKQ3TEEJYAMWQ5R48YF0" localSheetId="16" hidden="1">#REF!</definedName>
    <definedName name="BEx5CUCNAKQ3TEEJYAMWQ5R48YF0" localSheetId="21" hidden="1">#REF!</definedName>
    <definedName name="BEx5CUCNAKQ3TEEJYAMWQ5R48YF0" localSheetId="19" hidden="1">#REF!</definedName>
    <definedName name="BEx5CUCNAKQ3TEEJYAMWQ5R48YF0" localSheetId="17" hidden="1">#REF!</definedName>
    <definedName name="BEx5CUCNAKQ3TEEJYAMWQ5R48YF0" hidden="1">#REF!</definedName>
    <definedName name="BEx5D2LA1AGSJA85WUAKAN0TUNM9" localSheetId="18" hidden="1">BS-non Monetary-[28]TC!$D$6:$D$6</definedName>
    <definedName name="BEx5D2LA1AGSJA85WUAKAN0TUNM9" localSheetId="16" hidden="1">BS-non Monetary-[28]TC!$D$6:$D$6</definedName>
    <definedName name="BEx5D2LA1AGSJA85WUAKAN0TUNM9" localSheetId="21" hidden="1">BS-non Monetary-[28]TC!$D$6:$D$6</definedName>
    <definedName name="BEx5D2LA1AGSJA85WUAKAN0TUNM9" localSheetId="19" hidden="1">BS-non Monetary-[28]TC!$D$6:$D$6</definedName>
    <definedName name="BEx5D2LA1AGSJA85WUAKAN0TUNM9" localSheetId="17" hidden="1">BS-non Monetary-[28]TC!$D$6:$D$6</definedName>
    <definedName name="BEx5D2LA1AGSJA85WUAKAN0TUNM9" hidden="1">BS-non Monetary-[28]TC!$D$6:$D$6</definedName>
    <definedName name="BEx5DDOJNG95M6EIP395IULIW3NM" hidden="1">#N/A</definedName>
    <definedName name="BEx5DDTZ7P94DXJRXPFE5NECGKPB" localSheetId="18" hidden="1">TB BS non Monetary [28]TC!$D$8:$D$8</definedName>
    <definedName name="BEx5DDTZ7P94DXJRXPFE5NECGKPB" localSheetId="16" hidden="1">TB BS non Monetary [28]TC!$D$8:$D$8</definedName>
    <definedName name="BEx5DDTZ7P94DXJRXPFE5NECGKPB" localSheetId="21" hidden="1">TB BS non Monetary [28]TC!$D$8:$D$8</definedName>
    <definedName name="BEx5DDTZ7P94DXJRXPFE5NECGKPB" localSheetId="19" hidden="1">TB BS non Monetary [28]TC!$D$8:$D$8</definedName>
    <definedName name="BEx5DDTZ7P94DXJRXPFE5NECGKPB" localSheetId="17" hidden="1">TB BS non Monetary [28]TC!$D$8:$D$8</definedName>
    <definedName name="BEx5DDTZ7P94DXJRXPFE5NECGKPB" hidden="1">TB BS non Monetary [28]TC!$D$8:$D$8</definedName>
    <definedName name="BEx5EOVS0M8XCT3EQ9XD3O5RLVAI" hidden="1">#N/A</definedName>
    <definedName name="BEx5FAB67AOJ5G28OPFF6WUAMGT8" hidden="1">#N/A</definedName>
    <definedName name="BEx5GQRC3LI6UW1X0ILOGTQ1URLT" localSheetId="18" hidden="1">BS-[34]Monitory!$C$17:$F$760</definedName>
    <definedName name="BEx5GQRC3LI6UW1X0ILOGTQ1URLT" localSheetId="16" hidden="1">BS-[34]Monitory!$C$17:$F$760</definedName>
    <definedName name="BEx5GQRC3LI6UW1X0ILOGTQ1URLT" localSheetId="21" hidden="1">BS-[34]Monitory!$C$17:$F$760</definedName>
    <definedName name="BEx5GQRC3LI6UW1X0ILOGTQ1URLT" localSheetId="19" hidden="1">BS-[34]Monitory!$C$17:$F$760</definedName>
    <definedName name="BEx5GQRC3LI6UW1X0ILOGTQ1URLT" localSheetId="17" hidden="1">BS-[34]Monitory!$C$17:$F$760</definedName>
    <definedName name="BEx5GQRC3LI6UW1X0ILOGTQ1URLT" hidden="1">BS-[34]Monitory!$C$17:$F$760</definedName>
    <definedName name="BEx5HBL6Q95MVYZZD5D4PPNBJ0IW" hidden="1">#N/A</definedName>
    <definedName name="BEx5HE4YPRXUW1Y7N8Y2IYAJQPYT" localSheetId="18" hidden="1">BS-Equity-[27]LC!$D$7:$D$7</definedName>
    <definedName name="BEx5HE4YPRXUW1Y7N8Y2IYAJQPYT" localSheetId="16" hidden="1">BS-Equity-[27]LC!$D$7:$D$7</definedName>
    <definedName name="BEx5HE4YPRXUW1Y7N8Y2IYAJQPYT" localSheetId="21" hidden="1">BS-Equity-[27]LC!$D$7:$D$7</definedName>
    <definedName name="BEx5HE4YPRXUW1Y7N8Y2IYAJQPYT" localSheetId="19" hidden="1">BS-Equity-[27]LC!$D$7:$D$7</definedName>
    <definedName name="BEx5HE4YPRXUW1Y7N8Y2IYAJQPYT" localSheetId="17" hidden="1">BS-Equity-[27]LC!$D$7:$D$7</definedName>
    <definedName name="BEx5HE4YPRXUW1Y7N8Y2IYAJQPYT" hidden="1">BS-Equity-[27]LC!$D$7:$D$7</definedName>
    <definedName name="BEx5HM2T1JKFFPN62RQG095M4RZ6" localSheetId="18" hidden="1">BS-Equity-[28]TC!$C$17:$AT$95</definedName>
    <definedName name="BEx5HM2T1JKFFPN62RQG095M4RZ6" localSheetId="16" hidden="1">BS-Equity-[28]TC!$C$17:$AT$95</definedName>
    <definedName name="BEx5HM2T1JKFFPN62RQG095M4RZ6" localSheetId="21" hidden="1">BS-Equity-[28]TC!$C$17:$AT$95</definedName>
    <definedName name="BEx5HM2T1JKFFPN62RQG095M4RZ6" localSheetId="19" hidden="1">BS-Equity-[28]TC!$C$17:$AT$95</definedName>
    <definedName name="BEx5HM2T1JKFFPN62RQG095M4RZ6" localSheetId="17" hidden="1">BS-Equity-[28]TC!$C$17:$AT$95</definedName>
    <definedName name="BEx5HM2T1JKFFPN62RQG095M4RZ6" hidden="1">BS-Equity-[28]TC!$C$17:$AT$95</definedName>
    <definedName name="BEx5HQ4J35ZIEPTABIBZK9TTX6HA" hidden="1">#N/A</definedName>
    <definedName name="BEx5J64AQWLL7JJ7Q9KQXCAWWYRO" localSheetId="18" hidden="1">BS-non Monetary-[27]LC!$C$17:$G$529</definedName>
    <definedName name="BEx5J64AQWLL7JJ7Q9KQXCAWWYRO" localSheetId="16" hidden="1">BS-non Monetary-[27]LC!$C$17:$G$529</definedName>
    <definedName name="BEx5J64AQWLL7JJ7Q9KQXCAWWYRO" localSheetId="21" hidden="1">BS-non Monetary-[27]LC!$C$17:$G$529</definedName>
    <definedName name="BEx5J64AQWLL7JJ7Q9KQXCAWWYRO" localSheetId="19" hidden="1">BS-non Monetary-[27]LC!$C$17:$G$529</definedName>
    <definedName name="BEx5J64AQWLL7JJ7Q9KQXCAWWYRO" localSheetId="17" hidden="1">BS-non Monetary-[27]LC!$C$17:$G$529</definedName>
    <definedName name="BEx5J64AQWLL7JJ7Q9KQXCAWWYRO" hidden="1">BS-non Monetary-[27]LC!$C$17:$G$529</definedName>
    <definedName name="BEx5JL3ZAAMQ77FHH48LCO24XAMN" localSheetId="18" hidden="1">BS-non Monetary-[27]LC!$C$17:$J$515</definedName>
    <definedName name="BEx5JL3ZAAMQ77FHH48LCO24XAMN" localSheetId="16" hidden="1">BS-non Monetary-[27]LC!$C$17:$J$515</definedName>
    <definedName name="BEx5JL3ZAAMQ77FHH48LCO24XAMN" localSheetId="21" hidden="1">BS-non Monetary-[27]LC!$C$17:$J$515</definedName>
    <definedName name="BEx5JL3ZAAMQ77FHH48LCO24XAMN" localSheetId="19" hidden="1">BS-non Monetary-[27]LC!$C$17:$J$515</definedName>
    <definedName name="BEx5JL3ZAAMQ77FHH48LCO24XAMN" localSheetId="17" hidden="1">BS-non Monetary-[27]LC!$C$17:$J$515</definedName>
    <definedName name="BEx5JL3ZAAMQ77FHH48LCO24XAMN" hidden="1">BS-non Monetary-[27]LC!$C$17:$J$515</definedName>
    <definedName name="BEx5JM5MU36ET2ST1YDS1MAJWC3M" localSheetId="18" hidden="1">BS-non Monitory-[28]TC!$D$7:$D$7</definedName>
    <definedName name="BEx5JM5MU36ET2ST1YDS1MAJWC3M" localSheetId="16" hidden="1">BS-non Monitory-[28]TC!$D$7:$D$7</definedName>
    <definedName name="BEx5JM5MU36ET2ST1YDS1MAJWC3M" localSheetId="21" hidden="1">BS-non Monitory-[28]TC!$D$7:$D$7</definedName>
    <definedName name="BEx5JM5MU36ET2ST1YDS1MAJWC3M" localSheetId="19" hidden="1">BS-non Monitory-[28]TC!$D$7:$D$7</definedName>
    <definedName name="BEx5JM5MU36ET2ST1YDS1MAJWC3M" localSheetId="17" hidden="1">BS-non Monitory-[28]TC!$D$7:$D$7</definedName>
    <definedName name="BEx5JM5MU36ET2ST1YDS1MAJWC3M" hidden="1">BS-non Monitory-[28]TC!$D$7:$D$7</definedName>
    <definedName name="BEx5JS5F890H7Y3IBNRGUWBHUKL5" localSheetId="18" hidden="1">BS-non Monetary-[27]LC!$C$13:$D$14</definedName>
    <definedName name="BEx5JS5F890H7Y3IBNRGUWBHUKL5" localSheetId="16" hidden="1">BS-non Monetary-[27]LC!$C$13:$D$14</definedName>
    <definedName name="BEx5JS5F890H7Y3IBNRGUWBHUKL5" localSheetId="21" hidden="1">BS-non Monetary-[27]LC!$C$13:$D$14</definedName>
    <definedName name="BEx5JS5F890H7Y3IBNRGUWBHUKL5" localSheetId="19" hidden="1">BS-non Monetary-[27]LC!$C$13:$D$14</definedName>
    <definedName name="BEx5JS5F890H7Y3IBNRGUWBHUKL5" localSheetId="17" hidden="1">BS-non Monetary-[27]LC!$C$13:$D$14</definedName>
    <definedName name="BEx5JS5F890H7Y3IBNRGUWBHUKL5" hidden="1">BS-non Monetary-[27]LC!$C$13:$D$14</definedName>
    <definedName name="BEx5JZCCI1I9US53KMKMTSM06W7B" localSheetId="18" hidden="1">TB BS non Monetary [31]GC!$D$6:$D$6</definedName>
    <definedName name="BEx5JZCCI1I9US53KMKMTSM06W7B" localSheetId="16" hidden="1">TB BS non Monetary [31]GC!$D$6:$D$6</definedName>
    <definedName name="BEx5JZCCI1I9US53KMKMTSM06W7B" localSheetId="21" hidden="1">TB BS non Monetary [31]GC!$D$6:$D$6</definedName>
    <definedName name="BEx5JZCCI1I9US53KMKMTSM06W7B" localSheetId="19" hidden="1">TB BS non Monetary [31]GC!$D$6:$D$6</definedName>
    <definedName name="BEx5JZCCI1I9US53KMKMTSM06W7B" localSheetId="17" hidden="1">TB BS non Monetary [31]GC!$D$6:$D$6</definedName>
    <definedName name="BEx5JZCCI1I9US53KMKMTSM06W7B" hidden="1">TB BS non Monetary [31]GC!$D$6:$D$6</definedName>
    <definedName name="BEx5KBBZ8ZQ8B0IYE67T8FMV6A6R" hidden="1">#N/A</definedName>
    <definedName name="BEx5KLTMEKV4FK8KMU18Z2XIJ6ZP" localSheetId="18" hidden="1">BS-non Monetary-[27]LC!$D$6:$D$6</definedName>
    <definedName name="BEx5KLTMEKV4FK8KMU18Z2XIJ6ZP" localSheetId="16" hidden="1">BS-non Monetary-[27]LC!$D$6:$D$6</definedName>
    <definedName name="BEx5KLTMEKV4FK8KMU18Z2XIJ6ZP" localSheetId="21" hidden="1">BS-non Monetary-[27]LC!$D$6:$D$6</definedName>
    <definedName name="BEx5KLTMEKV4FK8KMU18Z2XIJ6ZP" localSheetId="19" hidden="1">BS-non Monetary-[27]LC!$D$6:$D$6</definedName>
    <definedName name="BEx5KLTMEKV4FK8KMU18Z2XIJ6ZP" localSheetId="17" hidden="1">BS-non Monetary-[27]LC!$D$6:$D$6</definedName>
    <definedName name="BEx5KLTMEKV4FK8KMU18Z2XIJ6ZP" hidden="1">BS-non Monetary-[27]LC!$D$6:$D$6</definedName>
    <definedName name="BEx5KVK75OS2AZCNBGZJ3EMK0ZMK" hidden="1">#N/A</definedName>
    <definedName name="BEx5KWWUBPS46HFMRLH3JTCPQQ96" localSheetId="18" hidden="1">TB-[35]BS!$D$6:$D$6</definedName>
    <definedName name="BEx5KWWUBPS46HFMRLH3JTCPQQ96" localSheetId="16" hidden="1">TB-[35]BS!$D$6:$D$6</definedName>
    <definedName name="BEx5KWWUBPS46HFMRLH3JTCPQQ96" localSheetId="21" hidden="1">TB-[35]BS!$D$6:$D$6</definedName>
    <definedName name="BEx5KWWUBPS46HFMRLH3JTCPQQ96" localSheetId="19" hidden="1">TB-[35]BS!$D$6:$D$6</definedName>
    <definedName name="BEx5KWWUBPS46HFMRLH3JTCPQQ96" localSheetId="17" hidden="1">TB-[35]BS!$D$6:$D$6</definedName>
    <definedName name="BEx5KWWUBPS46HFMRLH3JTCPQQ96" hidden="1">TB-[35]BS!$D$6:$D$6</definedName>
    <definedName name="BEx5L73ICCN3WP25CWF24IZKDVF1" localSheetId="18" hidden="1">BS-non Monitory-[31]GC!$C$17:$F$416</definedName>
    <definedName name="BEx5L73ICCN3WP25CWF24IZKDVF1" localSheetId="16" hidden="1">BS-non Monitory-[31]GC!$C$17:$F$416</definedName>
    <definedName name="BEx5L73ICCN3WP25CWF24IZKDVF1" localSheetId="21" hidden="1">BS-non Monitory-[31]GC!$C$17:$F$416</definedName>
    <definedName name="BEx5L73ICCN3WP25CWF24IZKDVF1" localSheetId="19" hidden="1">BS-non Monitory-[31]GC!$C$17:$F$416</definedName>
    <definedName name="BEx5L73ICCN3WP25CWF24IZKDVF1" localSheetId="17" hidden="1">BS-non Monitory-[31]GC!$C$17:$F$416</definedName>
    <definedName name="BEx5L73ICCN3WP25CWF24IZKDVF1" hidden="1">BS-non Monitory-[31]GC!$C$17:$F$416</definedName>
    <definedName name="BEx5M729I4RLUHILVWSAVPM0NB73" hidden="1">#N/A</definedName>
    <definedName name="BEx5MDCT6PB368XYSUV5A72107UZ" hidden="1">#N/A</definedName>
    <definedName name="BEx5MDNMH8ASUEN68071R04GZZXH" localSheetId="18" hidden="1">BS-[34]Monitory!$C$13:$D$15</definedName>
    <definedName name="BEx5MDNMH8ASUEN68071R04GZZXH" localSheetId="16" hidden="1">BS-[34]Monitory!$C$13:$D$15</definedName>
    <definedName name="BEx5MDNMH8ASUEN68071R04GZZXH" localSheetId="21" hidden="1">BS-[34]Monitory!$C$13:$D$15</definedName>
    <definedName name="BEx5MDNMH8ASUEN68071R04GZZXH" localSheetId="19" hidden="1">BS-[34]Monitory!$C$13:$D$15</definedName>
    <definedName name="BEx5MDNMH8ASUEN68071R04GZZXH" localSheetId="17" hidden="1">BS-[34]Monitory!$C$13:$D$15</definedName>
    <definedName name="BEx5MDNMH8ASUEN68071R04GZZXH" hidden="1">BS-[34]Monitory!$C$13:$D$15</definedName>
    <definedName name="BEx5ME97UJJCHCZF8PAEH6VAR0FS" localSheetId="18" hidden="1">BS-non Monetary-[28]TC!$D$6:$D$6</definedName>
    <definedName name="BEx5ME97UJJCHCZF8PAEH6VAR0FS" localSheetId="16" hidden="1">BS-non Monetary-[28]TC!$D$6:$D$6</definedName>
    <definedName name="BEx5ME97UJJCHCZF8PAEH6VAR0FS" localSheetId="21" hidden="1">BS-non Monetary-[28]TC!$D$6:$D$6</definedName>
    <definedName name="BEx5ME97UJJCHCZF8PAEH6VAR0FS" localSheetId="19" hidden="1">BS-non Monetary-[28]TC!$D$6:$D$6</definedName>
    <definedName name="BEx5ME97UJJCHCZF8PAEH6VAR0FS" localSheetId="17" hidden="1">BS-non Monetary-[28]TC!$D$6:$D$6</definedName>
    <definedName name="BEx5ME97UJJCHCZF8PAEH6VAR0FS" hidden="1">BS-non Monetary-[28]TC!$D$6:$D$6</definedName>
    <definedName name="BEx5N28DGOQ7ITB72BXY6SN77VVW" hidden="1">#N/A</definedName>
    <definedName name="BEx5N28EETQOWPW1DJIHG1TST5BF" hidden="1">#N/A</definedName>
    <definedName name="BEx5NRUUQAT9DYSH5E7809NEI4A9" localSheetId="18" hidden="1">BS-non Monetary-[27]LC!$C$13:$D$14</definedName>
    <definedName name="BEx5NRUUQAT9DYSH5E7809NEI4A9" localSheetId="16" hidden="1">BS-non Monetary-[27]LC!$C$13:$D$14</definedName>
    <definedName name="BEx5NRUUQAT9DYSH5E7809NEI4A9" localSheetId="21" hidden="1">BS-non Monetary-[27]LC!$C$13:$D$14</definedName>
    <definedName name="BEx5NRUUQAT9DYSH5E7809NEI4A9" localSheetId="19" hidden="1">BS-non Monetary-[27]LC!$C$13:$D$14</definedName>
    <definedName name="BEx5NRUUQAT9DYSH5E7809NEI4A9" localSheetId="17" hidden="1">BS-non Monetary-[27]LC!$C$13:$D$14</definedName>
    <definedName name="BEx5NRUUQAT9DYSH5E7809NEI4A9" hidden="1">BS-non Monetary-[27]LC!$C$13:$D$14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5PHG1H3JW2759K02K8VUOVYJ4" localSheetId="18" hidden="1">TB BS non Monetary [28]TC!$D$8:$D$8</definedName>
    <definedName name="BEx5PHG1H3JW2759K02K8VUOVYJ4" localSheetId="16" hidden="1">TB BS non Monetary [28]TC!$D$8:$D$8</definedName>
    <definedName name="BEx5PHG1H3JW2759K02K8VUOVYJ4" localSheetId="21" hidden="1">TB BS non Monetary [28]TC!$D$8:$D$8</definedName>
    <definedName name="BEx5PHG1H3JW2759K02K8VUOVYJ4" localSheetId="19" hidden="1">TB BS non Monetary [28]TC!$D$8:$D$8</definedName>
    <definedName name="BEx5PHG1H3JW2759K02K8VUOVYJ4" localSheetId="17" hidden="1">TB BS non Monetary [28]TC!$D$8:$D$8</definedName>
    <definedName name="BEx5PHG1H3JW2759K02K8VUOVYJ4" hidden="1">TB BS non Monetary [28]TC!$D$8:$D$8</definedName>
    <definedName name="BEx74RTT2VJOJQT8SSRSUDLG8O6B" localSheetId="18" hidden="1">BS-[29]Monetary!$C$17:$I$862</definedName>
    <definedName name="BEx74RTT2VJOJQT8SSRSUDLG8O6B" localSheetId="16" hidden="1">BS-[29]Monetary!$C$17:$I$862</definedName>
    <definedName name="BEx74RTT2VJOJQT8SSRSUDLG8O6B" localSheetId="21" hidden="1">BS-[29]Monetary!$C$17:$I$862</definedName>
    <definedName name="BEx74RTT2VJOJQT8SSRSUDLG8O6B" localSheetId="19" hidden="1">BS-[29]Monetary!$C$17:$I$862</definedName>
    <definedName name="BEx74RTT2VJOJQT8SSRSUDLG8O6B" localSheetId="17" hidden="1">BS-[29]Monetary!$C$17:$I$862</definedName>
    <definedName name="BEx74RTT2VJOJQT8SSRSUDLG8O6B" hidden="1">BS-[29]Monetary!$C$17:$I$862</definedName>
    <definedName name="BEx750YYLC81F53GVLZIHW2Q062Y" localSheetId="18" hidden="1">BS-non Monetary-[27]LC!$D$8:$D$8</definedName>
    <definedName name="BEx750YYLC81F53GVLZIHW2Q062Y" localSheetId="16" hidden="1">BS-non Monetary-[27]LC!$D$8:$D$8</definedName>
    <definedName name="BEx750YYLC81F53GVLZIHW2Q062Y" localSheetId="21" hidden="1">BS-non Monetary-[27]LC!$D$8:$D$8</definedName>
    <definedName name="BEx750YYLC81F53GVLZIHW2Q062Y" localSheetId="19" hidden="1">BS-non Monetary-[27]LC!$D$8:$D$8</definedName>
    <definedName name="BEx750YYLC81F53GVLZIHW2Q062Y" localSheetId="17" hidden="1">BS-non Monetary-[27]LC!$D$8:$D$8</definedName>
    <definedName name="BEx750YYLC81F53GVLZIHW2Q062Y" hidden="1">BS-non Monetary-[27]LC!$D$8:$D$8</definedName>
    <definedName name="BEx76D2L81TQJT7CRSOPK82ZY07V" hidden="1">#N/A</definedName>
    <definedName name="BEx76QUWHFAAXB9IW08UVL43N5VE" localSheetId="18" hidden="1">BS-[29]Monetary!$C$13:$D$14</definedName>
    <definedName name="BEx76QUWHFAAXB9IW08UVL43N5VE" localSheetId="16" hidden="1">BS-[29]Monetary!$C$13:$D$14</definedName>
    <definedName name="BEx76QUWHFAAXB9IW08UVL43N5VE" localSheetId="21" hidden="1">BS-[29]Monetary!$C$13:$D$14</definedName>
    <definedName name="BEx76QUWHFAAXB9IW08UVL43N5VE" localSheetId="19" hidden="1">BS-[29]Monetary!$C$13:$D$14</definedName>
    <definedName name="BEx76QUWHFAAXB9IW08UVL43N5VE" localSheetId="17" hidden="1">BS-[29]Monetary!$C$13:$D$14</definedName>
    <definedName name="BEx76QUWHFAAXB9IW08UVL43N5VE" hidden="1">BS-[29]Monetary!$C$13:$D$14</definedName>
    <definedName name="BEx76TEJ3SXXBLXSCF90UEBI0D29" localSheetId="18" hidden="1">BS-non Monetary-[28]TC!$C$17:$F$663</definedName>
    <definedName name="BEx76TEJ3SXXBLXSCF90UEBI0D29" localSheetId="16" hidden="1">BS-non Monetary-[28]TC!$C$17:$F$663</definedName>
    <definedName name="BEx76TEJ3SXXBLXSCF90UEBI0D29" localSheetId="21" hidden="1">BS-non Monetary-[28]TC!$C$17:$F$663</definedName>
    <definedName name="BEx76TEJ3SXXBLXSCF90UEBI0D29" localSheetId="19" hidden="1">BS-non Monetary-[28]TC!$C$17:$F$663</definedName>
    <definedName name="BEx76TEJ3SXXBLXSCF90UEBI0D29" localSheetId="17" hidden="1">BS-non Monetary-[28]TC!$C$17:$F$663</definedName>
    <definedName name="BEx76TEJ3SXXBLXSCF90UEBI0D29" hidden="1">BS-non Monetary-[28]TC!$C$17:$F$663</definedName>
    <definedName name="BEx77GS684BBZRMUJWNX1U6YQ729" localSheetId="18" hidden="1">BS-non Monetary-[27]LC!$D$7:$D$7</definedName>
    <definedName name="BEx77GS684BBZRMUJWNX1U6YQ729" localSheetId="16" hidden="1">BS-non Monetary-[27]LC!$D$7:$D$7</definedName>
    <definedName name="BEx77GS684BBZRMUJWNX1U6YQ729" localSheetId="21" hidden="1">BS-non Monetary-[27]LC!$D$7:$D$7</definedName>
    <definedName name="BEx77GS684BBZRMUJWNX1U6YQ729" localSheetId="19" hidden="1">BS-non Monetary-[27]LC!$D$7:$D$7</definedName>
    <definedName name="BEx77GS684BBZRMUJWNX1U6YQ729" localSheetId="17" hidden="1">BS-non Monetary-[27]LC!$D$7:$D$7</definedName>
    <definedName name="BEx77GS684BBZRMUJWNX1U6YQ729" hidden="1">BS-non Monetary-[27]LC!$D$7:$D$7</definedName>
    <definedName name="BEx77JH9DJ0LAYVI8P72VCBMC3T3" hidden="1">#N/A</definedName>
    <definedName name="BEx787AYW7WFTQZ1TFVT8139SLCK" localSheetId="18" hidden="1">TB-[35]BS!$C$13:$D$15</definedName>
    <definedName name="BEx787AYW7WFTQZ1TFVT8139SLCK" localSheetId="16" hidden="1">TB-[35]BS!$C$13:$D$15</definedName>
    <definedName name="BEx787AYW7WFTQZ1TFVT8139SLCK" localSheetId="21" hidden="1">TB-[35]BS!$C$13:$D$15</definedName>
    <definedName name="BEx787AYW7WFTQZ1TFVT8139SLCK" localSheetId="19" hidden="1">TB-[35]BS!$C$13:$D$15</definedName>
    <definedName name="BEx787AYW7WFTQZ1TFVT8139SLCK" localSheetId="17" hidden="1">TB-[35]BS!$C$13:$D$15</definedName>
    <definedName name="BEx787AYW7WFTQZ1TFVT8139SLCK" hidden="1">TB-[35]BS!$C$13:$D$15</definedName>
    <definedName name="BEx78QXR41XZ5ZT95MJOJPSO0X7J" localSheetId="18" hidden="1">BS-non Monetary-[27]LC!$D$7:$D$7</definedName>
    <definedName name="BEx78QXR41XZ5ZT95MJOJPSO0X7J" localSheetId="16" hidden="1">BS-non Monetary-[27]LC!$D$7:$D$7</definedName>
    <definedName name="BEx78QXR41XZ5ZT95MJOJPSO0X7J" localSheetId="21" hidden="1">BS-non Monetary-[27]LC!$D$7:$D$7</definedName>
    <definedName name="BEx78QXR41XZ5ZT95MJOJPSO0X7J" localSheetId="19" hidden="1">BS-non Monetary-[27]LC!$D$7:$D$7</definedName>
    <definedName name="BEx78QXR41XZ5ZT95MJOJPSO0X7J" localSheetId="17" hidden="1">BS-non Monetary-[27]LC!$D$7:$D$7</definedName>
    <definedName name="BEx78QXR41XZ5ZT95MJOJPSO0X7J" hidden="1">BS-non Monetary-[27]LC!$D$7:$D$7</definedName>
    <definedName name="BEx791VHCJXA9GQG65468M2JZO9H" hidden="1">#N/A</definedName>
    <definedName name="BEx79L7I35HQGOM1LRQD4KUKXNCS" localSheetId="18" hidden="1">BS-[29]Monetary!$C$17:$I$189</definedName>
    <definedName name="BEx79L7I35HQGOM1LRQD4KUKXNCS" localSheetId="16" hidden="1">BS-[29]Monetary!$C$17:$I$189</definedName>
    <definedName name="BEx79L7I35HQGOM1LRQD4KUKXNCS" localSheetId="21" hidden="1">BS-[29]Monetary!$C$17:$I$189</definedName>
    <definedName name="BEx79L7I35HQGOM1LRQD4KUKXNCS" localSheetId="19" hidden="1">BS-[29]Monetary!$C$17:$I$189</definedName>
    <definedName name="BEx79L7I35HQGOM1LRQD4KUKXNCS" localSheetId="17" hidden="1">BS-[29]Monetary!$C$17:$I$189</definedName>
    <definedName name="BEx79L7I35HQGOM1LRQD4KUKXNCS" hidden="1">BS-[29]Monetary!$C$17:$I$189</definedName>
    <definedName name="BEx79WAJY6JUWLL7XLTE9U5U9KAG" localSheetId="18" hidden="1">BS-non Monetary-[27]LC!$C$17:$I$662</definedName>
    <definedName name="BEx79WAJY6JUWLL7XLTE9U5U9KAG" localSheetId="16" hidden="1">BS-non Monetary-[27]LC!$C$17:$I$662</definedName>
    <definedName name="BEx79WAJY6JUWLL7XLTE9U5U9KAG" localSheetId="21" hidden="1">BS-non Monetary-[27]LC!$C$17:$I$662</definedName>
    <definedName name="BEx79WAJY6JUWLL7XLTE9U5U9KAG" localSheetId="19" hidden="1">BS-non Monetary-[27]LC!$C$17:$I$662</definedName>
    <definedName name="BEx79WAJY6JUWLL7XLTE9U5U9KAG" localSheetId="17" hidden="1">BS-non Monetary-[27]LC!$C$17:$I$662</definedName>
    <definedName name="BEx79WAJY6JUWLL7XLTE9U5U9KAG" hidden="1">BS-non Monetary-[27]LC!$C$17:$I$662</definedName>
    <definedName name="BEx7BVBO5BKE2YLDYWWISFK3K6CX" localSheetId="18" hidden="1">BS-non Monitory-[31]GC!$D$7:$D$7</definedName>
    <definedName name="BEx7BVBO5BKE2YLDYWWISFK3K6CX" localSheetId="16" hidden="1">BS-non Monitory-[31]GC!$D$7:$D$7</definedName>
    <definedName name="BEx7BVBO5BKE2YLDYWWISFK3K6CX" localSheetId="21" hidden="1">BS-non Monitory-[31]GC!$D$7:$D$7</definedName>
    <definedName name="BEx7BVBO5BKE2YLDYWWISFK3K6CX" localSheetId="19" hidden="1">BS-non Monitory-[31]GC!$D$7:$D$7</definedName>
    <definedName name="BEx7BVBO5BKE2YLDYWWISFK3K6CX" localSheetId="17" hidden="1">BS-non Monitory-[31]GC!$D$7:$D$7</definedName>
    <definedName name="BEx7BVBO5BKE2YLDYWWISFK3K6CX" hidden="1">BS-non Monitory-[31]GC!$D$7:$D$7</definedName>
    <definedName name="BEx7BZ7Y1ZVVR8A4YD6M3Z0MA5GN" localSheetId="18" hidden="1">BS-Equity-[28]TC!$D$7:$D$7</definedName>
    <definedName name="BEx7BZ7Y1ZVVR8A4YD6M3Z0MA5GN" localSheetId="16" hidden="1">BS-Equity-[28]TC!$D$7:$D$7</definedName>
    <definedName name="BEx7BZ7Y1ZVVR8A4YD6M3Z0MA5GN" localSheetId="21" hidden="1">BS-Equity-[28]TC!$D$7:$D$7</definedName>
    <definedName name="BEx7BZ7Y1ZVVR8A4YD6M3Z0MA5GN" localSheetId="19" hidden="1">BS-Equity-[28]TC!$D$7:$D$7</definedName>
    <definedName name="BEx7BZ7Y1ZVVR8A4YD6M3Z0MA5GN" localSheetId="17" hidden="1">BS-Equity-[28]TC!$D$7:$D$7</definedName>
    <definedName name="BEx7BZ7Y1ZVVR8A4YD6M3Z0MA5GN" hidden="1">BS-Equity-[28]TC!$D$7:$D$7</definedName>
    <definedName name="BEx7C2YR1CGZK435DOFINJLQPNC7" localSheetId="18" hidden="1">BS-Equity-[27]LC!$D$8:$D$8</definedName>
    <definedName name="BEx7C2YR1CGZK435DOFINJLQPNC7" localSheetId="16" hidden="1">BS-Equity-[27]LC!$D$8:$D$8</definedName>
    <definedName name="BEx7C2YR1CGZK435DOFINJLQPNC7" localSheetId="21" hidden="1">BS-Equity-[27]LC!$D$8:$D$8</definedName>
    <definedName name="BEx7C2YR1CGZK435DOFINJLQPNC7" localSheetId="19" hidden="1">BS-Equity-[27]LC!$D$8:$D$8</definedName>
    <definedName name="BEx7C2YR1CGZK435DOFINJLQPNC7" localSheetId="17" hidden="1">BS-Equity-[27]LC!$D$8:$D$8</definedName>
    <definedName name="BEx7C2YR1CGZK435DOFINJLQPNC7" hidden="1">BS-Equity-[27]LC!$D$8:$D$8</definedName>
    <definedName name="BEx7CM5A62XR2KA9GT0Y5P719XQN" localSheetId="18" hidden="1">BS-non Monetary-[28]TC!$C$17:$O$663</definedName>
    <definedName name="BEx7CM5A62XR2KA9GT0Y5P719XQN" localSheetId="16" hidden="1">BS-non Monetary-[28]TC!$C$17:$O$663</definedName>
    <definedName name="BEx7CM5A62XR2KA9GT0Y5P719XQN" localSheetId="21" hidden="1">BS-non Monetary-[28]TC!$C$17:$O$663</definedName>
    <definedName name="BEx7CM5A62XR2KA9GT0Y5P719XQN" localSheetId="19" hidden="1">BS-non Monetary-[28]TC!$C$17:$O$663</definedName>
    <definedName name="BEx7CM5A62XR2KA9GT0Y5P719XQN" localSheetId="17" hidden="1">BS-non Monetary-[28]TC!$C$17:$O$663</definedName>
    <definedName name="BEx7CM5A62XR2KA9GT0Y5P719XQN" hidden="1">BS-non Monetary-[28]TC!$C$17:$O$663</definedName>
    <definedName name="BEx7D1A2PZPNW0QMQ6BKN16U3HEY" localSheetId="18" hidden="1">TB BS non Monetary [31]GC!$C$17:$F$416</definedName>
    <definedName name="BEx7D1A2PZPNW0QMQ6BKN16U3HEY" localSheetId="16" hidden="1">TB BS non Monetary [31]GC!$C$17:$F$416</definedName>
    <definedName name="BEx7D1A2PZPNW0QMQ6BKN16U3HEY" localSheetId="21" hidden="1">TB BS non Monetary [31]GC!$C$17:$F$416</definedName>
    <definedName name="BEx7D1A2PZPNW0QMQ6BKN16U3HEY" localSheetId="19" hidden="1">TB BS non Monetary [31]GC!$C$17:$F$416</definedName>
    <definedName name="BEx7D1A2PZPNW0QMQ6BKN16U3HEY" localSheetId="17" hidden="1">TB BS non Monetary [31]GC!$C$17:$F$416</definedName>
    <definedName name="BEx7D1A2PZPNW0QMQ6BKN16U3HEY" hidden="1">TB BS non Monetary [31]GC!$C$17:$F$416</definedName>
    <definedName name="BEx7DAVCCHRTER4K82PB7EFCCY8J" localSheetId="18" hidden="1">BS-Equity-[28]TC!$D$8:$D$8</definedName>
    <definedName name="BEx7DAVCCHRTER4K82PB7EFCCY8J" localSheetId="16" hidden="1">BS-Equity-[28]TC!$D$8:$D$8</definedName>
    <definedName name="BEx7DAVCCHRTER4K82PB7EFCCY8J" localSheetId="21" hidden="1">BS-Equity-[28]TC!$D$8:$D$8</definedName>
    <definedName name="BEx7DAVCCHRTER4K82PB7EFCCY8J" localSheetId="19" hidden="1">BS-Equity-[28]TC!$D$8:$D$8</definedName>
    <definedName name="BEx7DAVCCHRTER4K82PB7EFCCY8J" localSheetId="17" hidden="1">BS-Equity-[28]TC!$D$8:$D$8</definedName>
    <definedName name="BEx7DAVCCHRTER4K82PB7EFCCY8J" hidden="1">BS-Equity-[28]TC!$D$8:$D$8</definedName>
    <definedName name="BEx7DDPZ09A1UNKO9J4W5RLSZ48T" localSheetId="18" hidden="1">BS-non Monetary-[28]TC!$D$7:$D$7</definedName>
    <definedName name="BEx7DDPZ09A1UNKO9J4W5RLSZ48T" localSheetId="16" hidden="1">BS-non Monetary-[28]TC!$D$7:$D$7</definedName>
    <definedName name="BEx7DDPZ09A1UNKO9J4W5RLSZ48T" localSheetId="21" hidden="1">BS-non Monetary-[28]TC!$D$7:$D$7</definedName>
    <definedName name="BEx7DDPZ09A1UNKO9J4W5RLSZ48T" localSheetId="19" hidden="1">BS-non Monetary-[28]TC!$D$7:$D$7</definedName>
    <definedName name="BEx7DDPZ09A1UNKO9J4W5RLSZ48T" localSheetId="17" hidden="1">BS-non Monetary-[28]TC!$D$7:$D$7</definedName>
    <definedName name="BEx7DDPZ09A1UNKO9J4W5RLSZ48T" hidden="1">BS-non Monetary-[28]TC!$D$7:$D$7</definedName>
    <definedName name="BEx7DWG84TMHFS3HAOZ7EY2KSTI0" hidden="1">#N/A</definedName>
    <definedName name="BEx7E6N203GHSI1NBAPHG32354BE" localSheetId="18" hidden="1">BS-non Monetary-[28]TC!$C$17:$F$503</definedName>
    <definedName name="BEx7E6N203GHSI1NBAPHG32354BE" localSheetId="16" hidden="1">BS-non Monetary-[28]TC!$C$17:$F$503</definedName>
    <definedName name="BEx7E6N203GHSI1NBAPHG32354BE" localSheetId="21" hidden="1">BS-non Monetary-[28]TC!$C$17:$F$503</definedName>
    <definedName name="BEx7E6N203GHSI1NBAPHG32354BE" localSheetId="19" hidden="1">BS-non Monetary-[28]TC!$C$17:$F$503</definedName>
    <definedName name="BEx7E6N203GHSI1NBAPHG32354BE" localSheetId="17" hidden="1">BS-non Monetary-[28]TC!$C$17:$F$503</definedName>
    <definedName name="BEx7E6N203GHSI1NBAPHG32354BE" hidden="1">BS-non Monetary-[28]TC!$C$17:$F$503</definedName>
    <definedName name="BEx7EDOJ7AAQ7FAP5RCS1K9222OI" hidden="1">#N/A</definedName>
    <definedName name="BEx7EHVKTAZO01LN3J8ELIHYFY6K" localSheetId="18" hidden="1">BS-[29]Monetary!$D$8:$D$8</definedName>
    <definedName name="BEx7EHVKTAZO01LN3J8ELIHYFY6K" localSheetId="16" hidden="1">BS-[29]Monetary!$D$8:$D$8</definedName>
    <definedName name="BEx7EHVKTAZO01LN3J8ELIHYFY6K" localSheetId="21" hidden="1">BS-[29]Monetary!$D$8:$D$8</definedName>
    <definedName name="BEx7EHVKTAZO01LN3J8ELIHYFY6K" localSheetId="19" hidden="1">BS-[29]Monetary!$D$8:$D$8</definedName>
    <definedName name="BEx7EHVKTAZO01LN3J8ELIHYFY6K" localSheetId="17" hidden="1">BS-[29]Monetary!$D$8:$D$8</definedName>
    <definedName name="BEx7EHVKTAZO01LN3J8ELIHYFY6K" hidden="1">BS-[29]Monetary!$D$8:$D$8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FZ855RHDARO5MV1X1DHJV1HV" localSheetId="18" hidden="1">BS-Equity-[27]LC!$D$8:$D$8</definedName>
    <definedName name="BEx7FZ855RHDARO5MV1X1DHJV1HV" localSheetId="16" hidden="1">BS-Equity-[27]LC!$D$8:$D$8</definedName>
    <definedName name="BEx7FZ855RHDARO5MV1X1DHJV1HV" localSheetId="21" hidden="1">BS-Equity-[27]LC!$D$8:$D$8</definedName>
    <definedName name="BEx7FZ855RHDARO5MV1X1DHJV1HV" localSheetId="19" hidden="1">BS-Equity-[27]LC!$D$8:$D$8</definedName>
    <definedName name="BEx7FZ855RHDARO5MV1X1DHJV1HV" localSheetId="17" hidden="1">BS-Equity-[27]LC!$D$8:$D$8</definedName>
    <definedName name="BEx7FZ855RHDARO5MV1X1DHJV1HV" hidden="1">BS-Equity-[27]LC!$D$8:$D$8</definedName>
    <definedName name="BEx7G8NX1X59VCH0Z5U180GT0PWE" localSheetId="18" hidden="1">BS-non Monitory-[31]GC!$D$6:$D$6</definedName>
    <definedName name="BEx7G8NX1X59VCH0Z5U180GT0PWE" localSheetId="16" hidden="1">BS-non Monitory-[31]GC!$D$6:$D$6</definedName>
    <definedName name="BEx7G8NX1X59VCH0Z5U180GT0PWE" localSheetId="21" hidden="1">BS-non Monitory-[31]GC!$D$6:$D$6</definedName>
    <definedName name="BEx7G8NX1X59VCH0Z5U180GT0PWE" localSheetId="19" hidden="1">BS-non Monitory-[31]GC!$D$6:$D$6</definedName>
    <definedName name="BEx7G8NX1X59VCH0Z5U180GT0PWE" localSheetId="17" hidden="1">BS-non Monitory-[31]GC!$D$6:$D$6</definedName>
    <definedName name="BEx7G8NX1X59VCH0Z5U180GT0PWE" hidden="1">BS-non Monitory-[31]GC!$D$6:$D$6</definedName>
    <definedName name="BEx7GGB5F54VHRMX197WMEA7I06T" localSheetId="18" hidden="1">BS-non Monitory-[31]GC!$C$13:$D$15</definedName>
    <definedName name="BEx7GGB5F54VHRMX197WMEA7I06T" localSheetId="16" hidden="1">BS-non Monitory-[31]GC!$C$13:$D$15</definedName>
    <definedName name="BEx7GGB5F54VHRMX197WMEA7I06T" localSheetId="21" hidden="1">BS-non Monitory-[31]GC!$C$13:$D$15</definedName>
    <definedName name="BEx7GGB5F54VHRMX197WMEA7I06T" localSheetId="19" hidden="1">BS-non Monitory-[31]GC!$C$13:$D$15</definedName>
    <definedName name="BEx7GGB5F54VHRMX197WMEA7I06T" localSheetId="17" hidden="1">BS-non Monitory-[31]GC!$C$13:$D$15</definedName>
    <definedName name="BEx7GGB5F54VHRMX197WMEA7I06T" hidden="1">BS-non Monitory-[31]GC!$C$13:$D$15</definedName>
    <definedName name="BEx7HF831DCECFD6P4NNPY2WJZ2Z" hidden="1">#N/A</definedName>
    <definedName name="BEx7HXYC8A5X4YAMMN5JII7CZLP5" localSheetId="18" hidden="1">BS-[29]Monetary!$C$13:$D$14</definedName>
    <definedName name="BEx7HXYC8A5X4YAMMN5JII7CZLP5" localSheetId="16" hidden="1">BS-[29]Monetary!$C$13:$D$14</definedName>
    <definedName name="BEx7HXYC8A5X4YAMMN5JII7CZLP5" localSheetId="21" hidden="1">BS-[29]Monetary!$C$13:$D$14</definedName>
    <definedName name="BEx7HXYC8A5X4YAMMN5JII7CZLP5" localSheetId="19" hidden="1">BS-[29]Monetary!$C$13:$D$14</definedName>
    <definedName name="BEx7HXYC8A5X4YAMMN5JII7CZLP5" localSheetId="17" hidden="1">BS-[29]Monetary!$C$13:$D$14</definedName>
    <definedName name="BEx7HXYC8A5X4YAMMN5JII7CZLP5" hidden="1">BS-[29]Monetary!$C$13:$D$14</definedName>
    <definedName name="BEx7HY945IRK1DK5PK157GPULL9O" hidden="1">#N/A</definedName>
    <definedName name="BEx7HYJYBMJPW0QGQNL0FOZU7OCF" localSheetId="18" hidden="1">BS-[29]Monetary!$D$7:$D$7</definedName>
    <definedName name="BEx7HYJYBMJPW0QGQNL0FOZU7OCF" localSheetId="16" hidden="1">BS-[29]Monetary!$D$7:$D$7</definedName>
    <definedName name="BEx7HYJYBMJPW0QGQNL0FOZU7OCF" localSheetId="21" hidden="1">BS-[29]Monetary!$D$7:$D$7</definedName>
    <definedName name="BEx7HYJYBMJPW0QGQNL0FOZU7OCF" localSheetId="19" hidden="1">BS-[29]Monetary!$D$7:$D$7</definedName>
    <definedName name="BEx7HYJYBMJPW0QGQNL0FOZU7OCF" localSheetId="17" hidden="1">BS-[29]Monetary!$D$7:$D$7</definedName>
    <definedName name="BEx7HYJYBMJPW0QGQNL0FOZU7OCF" hidden="1">BS-[29]Monetary!$D$7:$D$7</definedName>
    <definedName name="BEx7I48XPAGXLTNTR2RTGHRZEXIK" hidden="1">#N/A</definedName>
    <definedName name="BEx7ID8L7LEZUGWWHJU1Z0DK7IDW" localSheetId="18" hidden="1">BS-non Monitory-[31]GC!$D$8:$D$8</definedName>
    <definedName name="BEx7ID8L7LEZUGWWHJU1Z0DK7IDW" localSheetId="16" hidden="1">BS-non Monitory-[31]GC!$D$8:$D$8</definedName>
    <definedName name="BEx7ID8L7LEZUGWWHJU1Z0DK7IDW" localSheetId="21" hidden="1">BS-non Monitory-[31]GC!$D$8:$D$8</definedName>
    <definedName name="BEx7ID8L7LEZUGWWHJU1Z0DK7IDW" localSheetId="19" hidden="1">BS-non Monitory-[31]GC!$D$8:$D$8</definedName>
    <definedName name="BEx7ID8L7LEZUGWWHJU1Z0DK7IDW" localSheetId="17" hidden="1">BS-non Monitory-[31]GC!$D$8:$D$8</definedName>
    <definedName name="BEx7ID8L7LEZUGWWHJU1Z0DK7IDW" hidden="1">BS-non Monitory-[31]GC!$D$8:$D$8</definedName>
    <definedName name="BEx7IORYOELCYB353OGP3RM9T8DD" hidden="1">#N/A</definedName>
    <definedName name="BEx7J9LQT8G2628MR1FTQBA0YACO" localSheetId="18" hidden="1">BS-Equity-[28]TC!$C$17:$E$97</definedName>
    <definedName name="BEx7J9LQT8G2628MR1FTQBA0YACO" localSheetId="16" hidden="1">BS-Equity-[28]TC!$C$17:$E$97</definedName>
    <definedName name="BEx7J9LQT8G2628MR1FTQBA0YACO" localSheetId="21" hidden="1">BS-Equity-[28]TC!$C$17:$E$97</definedName>
    <definedName name="BEx7J9LQT8G2628MR1FTQBA0YACO" localSheetId="19" hidden="1">BS-Equity-[28]TC!$C$17:$E$97</definedName>
    <definedName name="BEx7J9LQT8G2628MR1FTQBA0YACO" localSheetId="17" hidden="1">BS-Equity-[28]TC!$C$17:$E$97</definedName>
    <definedName name="BEx7J9LQT8G2628MR1FTQBA0YACO" hidden="1">BS-Equity-[28]TC!$C$17:$E$97</definedName>
    <definedName name="BEx7JOAEHKWGP4HBEXGDBLAYJVJB" hidden="1">#N/A</definedName>
    <definedName name="BEx7JVC20H9TQ0QMKKPU0B0TL6CS" localSheetId="18" hidden="1">Balance [33]Sheet!$C$13:$D$15</definedName>
    <definedName name="BEx7JVC20H9TQ0QMKKPU0B0TL6CS" localSheetId="16" hidden="1">Balance [33]Sheet!$C$13:$D$15</definedName>
    <definedName name="BEx7JVC20H9TQ0QMKKPU0B0TL6CS" localSheetId="21" hidden="1">Balance [33]Sheet!$C$13:$D$15</definedName>
    <definedName name="BEx7JVC20H9TQ0QMKKPU0B0TL6CS" localSheetId="19" hidden="1">Balance [33]Sheet!$C$13:$D$15</definedName>
    <definedName name="BEx7JVC20H9TQ0QMKKPU0B0TL6CS" localSheetId="17" hidden="1">Balance [33]Sheet!$C$13:$D$15</definedName>
    <definedName name="BEx7JVC20H9TQ0QMKKPU0B0TL6CS" hidden="1">Balance [33]Sheet!$C$13:$D$15</definedName>
    <definedName name="BEx7K70USD6RU7RAEKSZLTNRCYIK" localSheetId="18" hidden="1">BS-[29]Monetary!$D$8:$D$8</definedName>
    <definedName name="BEx7K70USD6RU7RAEKSZLTNRCYIK" localSheetId="16" hidden="1">BS-[29]Monetary!$D$8:$D$8</definedName>
    <definedName name="BEx7K70USD6RU7RAEKSZLTNRCYIK" localSheetId="21" hidden="1">BS-[29]Monetary!$D$8:$D$8</definedName>
    <definedName name="BEx7K70USD6RU7RAEKSZLTNRCYIK" localSheetId="19" hidden="1">BS-[29]Monetary!$D$8:$D$8</definedName>
    <definedName name="BEx7K70USD6RU7RAEKSZLTNRCYIK" localSheetId="17" hidden="1">BS-[29]Monetary!$D$8:$D$8</definedName>
    <definedName name="BEx7K70USD6RU7RAEKSZLTNRCYIK" hidden="1">BS-[29]Monetary!$D$8:$D$8</definedName>
    <definedName name="BEx7K8O3WIGGDWCN8YS2I0TG17IJ" localSheetId="18" hidden="1">BS-non Monetary-[28]TC!$C$13:$D$14</definedName>
    <definedName name="BEx7K8O3WIGGDWCN8YS2I0TG17IJ" localSheetId="16" hidden="1">BS-non Monetary-[28]TC!$C$13:$D$14</definedName>
    <definedName name="BEx7K8O3WIGGDWCN8YS2I0TG17IJ" localSheetId="21" hidden="1">BS-non Monetary-[28]TC!$C$13:$D$14</definedName>
    <definedName name="BEx7K8O3WIGGDWCN8YS2I0TG17IJ" localSheetId="19" hidden="1">BS-non Monetary-[28]TC!$C$13:$D$14</definedName>
    <definedName name="BEx7K8O3WIGGDWCN8YS2I0TG17IJ" localSheetId="17" hidden="1">BS-non Monetary-[28]TC!$C$13:$D$14</definedName>
    <definedName name="BEx7K8O3WIGGDWCN8YS2I0TG17IJ" hidden="1">BS-non Monetary-[28]TC!$C$13:$D$14</definedName>
    <definedName name="BEx7KN7HN51262YYB30YTCYNJBIX" localSheetId="18" hidden="1">BS-[29]Monetary!$D$6:$D$6</definedName>
    <definedName name="BEx7KN7HN51262YYB30YTCYNJBIX" localSheetId="16" hidden="1">BS-[29]Monetary!$D$6:$D$6</definedName>
    <definedName name="BEx7KN7HN51262YYB30YTCYNJBIX" localSheetId="21" hidden="1">BS-[29]Monetary!$D$6:$D$6</definedName>
    <definedName name="BEx7KN7HN51262YYB30YTCYNJBIX" localSheetId="19" hidden="1">BS-[29]Monetary!$D$6:$D$6</definedName>
    <definedName name="BEx7KN7HN51262YYB30YTCYNJBIX" localSheetId="17" hidden="1">BS-[29]Monetary!$D$6:$D$6</definedName>
    <definedName name="BEx7KN7HN51262YYB30YTCYNJBIX" hidden="1">BS-[29]Monetary!$D$6:$D$6</definedName>
    <definedName name="BEx7KZ1LUAUCLG8U7SKBHTN9RGAZ" localSheetId="18" hidden="1">BS-non Monetary-[28]TC!$D$8:$D$8</definedName>
    <definedName name="BEx7KZ1LUAUCLG8U7SKBHTN9RGAZ" localSheetId="16" hidden="1">BS-non Monetary-[28]TC!$D$8:$D$8</definedName>
    <definedName name="BEx7KZ1LUAUCLG8U7SKBHTN9RGAZ" localSheetId="21" hidden="1">BS-non Monetary-[28]TC!$D$8:$D$8</definedName>
    <definedName name="BEx7KZ1LUAUCLG8U7SKBHTN9RGAZ" localSheetId="19" hidden="1">BS-non Monetary-[28]TC!$D$8:$D$8</definedName>
    <definedName name="BEx7KZ1LUAUCLG8U7SKBHTN9RGAZ" localSheetId="17" hidden="1">BS-non Monetary-[28]TC!$D$8:$D$8</definedName>
    <definedName name="BEx7KZ1LUAUCLG8U7SKBHTN9RGAZ" hidden="1">BS-non Monetary-[28]TC!$D$8:$D$8</definedName>
    <definedName name="BEx7KZCEMOX8W75LKD9C410STYNK" localSheetId="18" hidden="1">TB-[35]BS!$D$7:$D$7</definedName>
    <definedName name="BEx7KZCEMOX8W75LKD9C410STYNK" localSheetId="16" hidden="1">TB-[35]BS!$D$7:$D$7</definedName>
    <definedName name="BEx7KZCEMOX8W75LKD9C410STYNK" localSheetId="21" hidden="1">TB-[35]BS!$D$7:$D$7</definedName>
    <definedName name="BEx7KZCEMOX8W75LKD9C410STYNK" localSheetId="19" hidden="1">TB-[35]BS!$D$7:$D$7</definedName>
    <definedName name="BEx7KZCEMOX8W75LKD9C410STYNK" localSheetId="17" hidden="1">TB-[35]BS!$D$7:$D$7</definedName>
    <definedName name="BEx7KZCEMOX8W75LKD9C410STYNK" hidden="1">TB-[35]BS!$D$7:$D$7</definedName>
    <definedName name="BEx7LIDG1AP6GXNKUPLR1I5SI00S" localSheetId="18" hidden="1">Balance [33]Sheet!$D$7:$D$7</definedName>
    <definedName name="BEx7LIDG1AP6GXNKUPLR1I5SI00S" localSheetId="16" hidden="1">Balance [33]Sheet!$D$7:$D$7</definedName>
    <definedName name="BEx7LIDG1AP6GXNKUPLR1I5SI00S" localSheetId="21" hidden="1">Balance [33]Sheet!$D$7:$D$7</definedName>
    <definedName name="BEx7LIDG1AP6GXNKUPLR1I5SI00S" localSheetId="19" hidden="1">Balance [33]Sheet!$D$7:$D$7</definedName>
    <definedName name="BEx7LIDG1AP6GXNKUPLR1I5SI00S" localSheetId="17" hidden="1">Balance [33]Sheet!$D$7:$D$7</definedName>
    <definedName name="BEx7LIDG1AP6GXNKUPLR1I5SI00S" hidden="1">Balance [33]Sheet!$D$7:$D$7</definedName>
    <definedName name="BEx7MLXOS7VHADWSEHTI2QMGDNJ6" localSheetId="18" hidden="1">BS-[29]Monetary!$C$13:$D$15</definedName>
    <definedName name="BEx7MLXOS7VHADWSEHTI2QMGDNJ6" localSheetId="16" hidden="1">BS-[29]Monetary!$C$13:$D$15</definedName>
    <definedName name="BEx7MLXOS7VHADWSEHTI2QMGDNJ6" localSheetId="21" hidden="1">BS-[29]Monetary!$C$13:$D$15</definedName>
    <definedName name="BEx7MLXOS7VHADWSEHTI2QMGDNJ6" localSheetId="19" hidden="1">BS-[29]Monetary!$C$13:$D$15</definedName>
    <definedName name="BEx7MLXOS7VHADWSEHTI2QMGDNJ6" localSheetId="17" hidden="1">BS-[29]Monetary!$C$13:$D$15</definedName>
    <definedName name="BEx7MLXOS7VHADWSEHTI2QMGDNJ6" hidden="1">BS-[29]Monetary!$C$13:$D$15</definedName>
    <definedName name="BEx7MS8B5G1EPX36P2QF24KAQWGG" localSheetId="18" hidden="1">BS-non Monetary-[27]LC!$D$8:$D$8</definedName>
    <definedName name="BEx7MS8B5G1EPX36P2QF24KAQWGG" localSheetId="16" hidden="1">BS-non Monetary-[27]LC!$D$8:$D$8</definedName>
    <definedName name="BEx7MS8B5G1EPX36P2QF24KAQWGG" localSheetId="21" hidden="1">BS-non Monetary-[27]LC!$D$8:$D$8</definedName>
    <definedName name="BEx7MS8B5G1EPX36P2QF24KAQWGG" localSheetId="19" hidden="1">BS-non Monetary-[27]LC!$D$8:$D$8</definedName>
    <definedName name="BEx7MS8B5G1EPX36P2QF24KAQWGG" localSheetId="17" hidden="1">BS-non Monetary-[27]LC!$D$8:$D$8</definedName>
    <definedName name="BEx7MS8B5G1EPX36P2QF24KAQWGG" hidden="1">BS-non Monetary-[27]LC!$D$8:$D$8</definedName>
    <definedName name="BEx8Z0X74F701UJMCG4TCVRIRBHI" hidden="1">#N/A</definedName>
    <definedName name="BEx8ZS71WRAYJ5U0ZZSO3C0DK4FH" hidden="1">#N/A</definedName>
    <definedName name="BEx906FH7EC6QBYKKCSK4XESR70J" hidden="1">#N/A</definedName>
    <definedName name="BEx90YR5M9WJQB6WCMSIP5JUWVCP" localSheetId="18" hidden="1">BS-non Monetary-[27]LC!$D$7:$D$7</definedName>
    <definedName name="BEx90YR5M9WJQB6WCMSIP5JUWVCP" localSheetId="16" hidden="1">BS-non Monetary-[27]LC!$D$7:$D$7</definedName>
    <definedName name="BEx90YR5M9WJQB6WCMSIP5JUWVCP" localSheetId="21" hidden="1">BS-non Monetary-[27]LC!$D$7:$D$7</definedName>
    <definedName name="BEx90YR5M9WJQB6WCMSIP5JUWVCP" localSheetId="19" hidden="1">BS-non Monetary-[27]LC!$D$7:$D$7</definedName>
    <definedName name="BEx90YR5M9WJQB6WCMSIP5JUWVCP" localSheetId="17" hidden="1">BS-non Monetary-[27]LC!$D$7:$D$7</definedName>
    <definedName name="BEx90YR5M9WJQB6WCMSIP5JUWVCP" hidden="1">BS-non Monetary-[27]LC!$D$7:$D$7</definedName>
    <definedName name="BEx916E7ON3GFPG7T8WOK9ZQQ7ZE" localSheetId="18" hidden="1">BS-[29]Monetary!$C$17:$AW$189</definedName>
    <definedName name="BEx916E7ON3GFPG7T8WOK9ZQQ7ZE" localSheetId="16" hidden="1">BS-[29]Monetary!$C$17:$AW$189</definedName>
    <definedName name="BEx916E7ON3GFPG7T8WOK9ZQQ7ZE" localSheetId="21" hidden="1">BS-[29]Monetary!$C$17:$AW$189</definedName>
    <definedName name="BEx916E7ON3GFPG7T8WOK9ZQQ7ZE" localSheetId="19" hidden="1">BS-[29]Monetary!$C$17:$AW$189</definedName>
    <definedName name="BEx916E7ON3GFPG7T8WOK9ZQQ7ZE" localSheetId="17" hidden="1">BS-[29]Monetary!$C$17:$AW$189</definedName>
    <definedName name="BEx916E7ON3GFPG7T8WOK9ZQQ7ZE" hidden="1">BS-[29]Monetary!$C$17:$AW$189</definedName>
    <definedName name="BEx91AQR941EW7LVOCVXM254LZVA" hidden="1">#N/A</definedName>
    <definedName name="BEx91MFE484HYO2L6TSN6JANZQOU" hidden="1">#N/A</definedName>
    <definedName name="BEx91UTHPPF9MKOISQEZBUWUFGQH" hidden="1">#N/A</definedName>
    <definedName name="BEx91YPXLADBRAQ38SHMWZF620B3" localSheetId="18" hidden="1">BS-non Monetary-[28]TC!$C$13:$D$14</definedName>
    <definedName name="BEx91YPXLADBRAQ38SHMWZF620B3" localSheetId="16" hidden="1">BS-non Monetary-[28]TC!$C$13:$D$14</definedName>
    <definedName name="BEx91YPXLADBRAQ38SHMWZF620B3" localSheetId="21" hidden="1">BS-non Monetary-[28]TC!$C$13:$D$14</definedName>
    <definedName name="BEx91YPXLADBRAQ38SHMWZF620B3" localSheetId="19" hidden="1">BS-non Monetary-[28]TC!$C$13:$D$14</definedName>
    <definedName name="BEx91YPXLADBRAQ38SHMWZF620B3" localSheetId="17" hidden="1">BS-non Monetary-[28]TC!$C$13:$D$14</definedName>
    <definedName name="BEx91YPXLADBRAQ38SHMWZF620B3" hidden="1">BS-non Monetary-[28]TC!$C$13:$D$14</definedName>
    <definedName name="BEx929I7A47IEBQMD4X6BHOA254X" localSheetId="18" hidden="1">TB-[35]BS!$D$7:$D$7</definedName>
    <definedName name="BEx929I7A47IEBQMD4X6BHOA254X" localSheetId="16" hidden="1">TB-[35]BS!$D$7:$D$7</definedName>
    <definedName name="BEx929I7A47IEBQMD4X6BHOA254X" localSheetId="21" hidden="1">TB-[35]BS!$D$7:$D$7</definedName>
    <definedName name="BEx929I7A47IEBQMD4X6BHOA254X" localSheetId="19" hidden="1">TB-[35]BS!$D$7:$D$7</definedName>
    <definedName name="BEx929I7A47IEBQMD4X6BHOA254X" localSheetId="17" hidden="1">TB-[35]BS!$D$7:$D$7</definedName>
    <definedName name="BEx929I7A47IEBQMD4X6BHOA254X" hidden="1">TB-[35]BS!$D$7:$D$7</definedName>
    <definedName name="BEx92BGEQMJASP96MUVX4ZNRBDL4" hidden="1">#N/A</definedName>
    <definedName name="BEx92GEDSWZWBKVXWDGMBOJIO8S2" hidden="1">#N/A</definedName>
    <definedName name="BEx92HR0A6ZCMEN9YH24J2JSOD2E" localSheetId="18" hidden="1">BS-non Monetary-[27]LC!$D$7:$D$7</definedName>
    <definedName name="BEx92HR0A6ZCMEN9YH24J2JSOD2E" localSheetId="16" hidden="1">BS-non Monetary-[27]LC!$D$7:$D$7</definedName>
    <definedName name="BEx92HR0A6ZCMEN9YH24J2JSOD2E" localSheetId="21" hidden="1">BS-non Monetary-[27]LC!$D$7:$D$7</definedName>
    <definedName name="BEx92HR0A6ZCMEN9YH24J2JSOD2E" localSheetId="19" hidden="1">BS-non Monetary-[27]LC!$D$7:$D$7</definedName>
    <definedName name="BEx92HR0A6ZCMEN9YH24J2JSOD2E" localSheetId="17" hidden="1">BS-non Monetary-[27]LC!$D$7:$D$7</definedName>
    <definedName name="BEx92HR0A6ZCMEN9YH24J2JSOD2E" hidden="1">BS-non Monetary-[27]LC!$D$7:$D$7</definedName>
    <definedName name="BEx92O6VWE0KKG3G03LMEW1VPSOM" localSheetId="18" hidden="1">BS-Equity-[27]LC!$D$8:$D$8</definedName>
    <definedName name="BEx92O6VWE0KKG3G03LMEW1VPSOM" localSheetId="16" hidden="1">BS-Equity-[27]LC!$D$8:$D$8</definedName>
    <definedName name="BEx92O6VWE0KKG3G03LMEW1VPSOM" localSheetId="21" hidden="1">BS-Equity-[27]LC!$D$8:$D$8</definedName>
    <definedName name="BEx92O6VWE0KKG3G03LMEW1VPSOM" localSheetId="19" hidden="1">BS-Equity-[27]LC!$D$8:$D$8</definedName>
    <definedName name="BEx92O6VWE0KKG3G03LMEW1VPSOM" localSheetId="17" hidden="1">BS-Equity-[27]LC!$D$8:$D$8</definedName>
    <definedName name="BEx92O6VWE0KKG3G03LMEW1VPSOM" hidden="1">BS-Equity-[27]LC!$D$8:$D$8</definedName>
    <definedName name="BEx92QFRMFZR33YI778N0P4M9W4Q" hidden="1">#N/A</definedName>
    <definedName name="BEx937YZRE6V78K58AYGNT9X9PZA" localSheetId="18" hidden="1">BS-non Monetary-[27]LC!$C$17:$G$662</definedName>
    <definedName name="BEx937YZRE6V78K58AYGNT9X9PZA" localSheetId="16" hidden="1">BS-non Monetary-[27]LC!$C$17:$G$662</definedName>
    <definedName name="BEx937YZRE6V78K58AYGNT9X9PZA" localSheetId="21" hidden="1">BS-non Monetary-[27]LC!$C$17:$G$662</definedName>
    <definedName name="BEx937YZRE6V78K58AYGNT9X9PZA" localSheetId="19" hidden="1">BS-non Monetary-[27]LC!$C$17:$G$662</definedName>
    <definedName name="BEx937YZRE6V78K58AYGNT9X9PZA" localSheetId="17" hidden="1">BS-non Monetary-[27]LC!$C$17:$G$662</definedName>
    <definedName name="BEx937YZRE6V78K58AYGNT9X9PZA" hidden="1">BS-non Monetary-[27]LC!$C$17:$G$662</definedName>
    <definedName name="BEx93E49W44GK8WS6KNXZW1BOUSI" hidden="1">#N/A</definedName>
    <definedName name="BEx93OR8MIX63BU5Z6KC2N8DM55Y" localSheetId="18" hidden="1">Trial [32]Balance!$D$6:$D$6</definedName>
    <definedName name="BEx93OR8MIX63BU5Z6KC2N8DM55Y" localSheetId="16" hidden="1">Trial [32]Balance!$D$6:$D$6</definedName>
    <definedName name="BEx93OR8MIX63BU5Z6KC2N8DM55Y" localSheetId="21" hidden="1">Trial [32]Balance!$D$6:$D$6</definedName>
    <definedName name="BEx93OR8MIX63BU5Z6KC2N8DM55Y" localSheetId="19" hidden="1">Trial [32]Balance!$D$6:$D$6</definedName>
    <definedName name="BEx93OR8MIX63BU5Z6KC2N8DM55Y" localSheetId="17" hidden="1">Trial [32]Balance!$D$6:$D$6</definedName>
    <definedName name="BEx93OR8MIX63BU5Z6KC2N8DM55Y" hidden="1">Trial [32]Balance!$D$6:$D$6</definedName>
    <definedName name="BEx93RWEIGZ2VLT6CP4M3GLEPA0I" localSheetId="18" hidden="1">BS-non Monetary-[27]LC!$D$8:$D$8</definedName>
    <definedName name="BEx93RWEIGZ2VLT6CP4M3GLEPA0I" localSheetId="16" hidden="1">BS-non Monetary-[27]LC!$D$8:$D$8</definedName>
    <definedName name="BEx93RWEIGZ2VLT6CP4M3GLEPA0I" localSheetId="21" hidden="1">BS-non Monetary-[27]LC!$D$8:$D$8</definedName>
    <definedName name="BEx93RWEIGZ2VLT6CP4M3GLEPA0I" localSheetId="19" hidden="1">BS-non Monetary-[27]LC!$D$8:$D$8</definedName>
    <definedName name="BEx93RWEIGZ2VLT6CP4M3GLEPA0I" localSheetId="17" hidden="1">BS-non Monetary-[27]LC!$D$8:$D$8</definedName>
    <definedName name="BEx93RWEIGZ2VLT6CP4M3GLEPA0I" hidden="1">BS-non Monetary-[27]LC!$D$8:$D$8</definedName>
    <definedName name="BEx93V7A9C1GD1EB3JZLEF6PJNSA" hidden="1">#N/A</definedName>
    <definedName name="BEx9458NEBNTBN0FIOPVKPVIZHAA" hidden="1">#N/A</definedName>
    <definedName name="BEx948JBSS1CM9X3TZFB81R3F3YV" localSheetId="18" hidden="1">BS-[29]Monetary!$C$17:$CM$193</definedName>
    <definedName name="BEx948JBSS1CM9X3TZFB81R3F3YV" localSheetId="16" hidden="1">BS-[29]Monetary!$C$17:$CM$193</definedName>
    <definedName name="BEx948JBSS1CM9X3TZFB81R3F3YV" localSheetId="21" hidden="1">BS-[29]Monetary!$C$17:$CM$193</definedName>
    <definedName name="BEx948JBSS1CM9X3TZFB81R3F3YV" localSheetId="19" hidden="1">BS-[29]Monetary!$C$17:$CM$193</definedName>
    <definedName name="BEx948JBSS1CM9X3TZFB81R3F3YV" localSheetId="17" hidden="1">BS-[29]Monetary!$C$17:$CM$193</definedName>
    <definedName name="BEx948JBSS1CM9X3TZFB81R3F3YV" hidden="1">BS-[29]Monetary!$C$17:$CM$193</definedName>
    <definedName name="BEx94AC3743DRC2TOHEJVIPWQO6E" localSheetId="18" hidden="1">BS-non Monetary-[28]TC!$C$17:$AO$663</definedName>
    <definedName name="BEx94AC3743DRC2TOHEJVIPWQO6E" localSheetId="16" hidden="1">BS-non Monetary-[28]TC!$C$17:$AO$663</definedName>
    <definedName name="BEx94AC3743DRC2TOHEJVIPWQO6E" localSheetId="21" hidden="1">BS-non Monetary-[28]TC!$C$17:$AO$663</definedName>
    <definedName name="BEx94AC3743DRC2TOHEJVIPWQO6E" localSheetId="19" hidden="1">BS-non Monetary-[28]TC!$C$17:$AO$663</definedName>
    <definedName name="BEx94AC3743DRC2TOHEJVIPWQO6E" localSheetId="17" hidden="1">BS-non Monetary-[28]TC!$C$17:$AO$663</definedName>
    <definedName name="BEx94AC3743DRC2TOHEJVIPWQO6E" hidden="1">BS-non Monetary-[28]TC!$C$17:$AO$663</definedName>
    <definedName name="BEx94FFHM6QE0AGYKV598MMAFSLA" hidden="1">#N/A</definedName>
    <definedName name="BEx94H2R8OMKYQNTDM49IUBKUWK4" localSheetId="18" hidden="1">BS-non Monetary-[27]LC!$D$6:$D$6</definedName>
    <definedName name="BEx94H2R8OMKYQNTDM49IUBKUWK4" localSheetId="16" hidden="1">BS-non Monetary-[27]LC!$D$6:$D$6</definedName>
    <definedName name="BEx94H2R8OMKYQNTDM49IUBKUWK4" localSheetId="21" hidden="1">BS-non Monetary-[27]LC!$D$6:$D$6</definedName>
    <definedName name="BEx94H2R8OMKYQNTDM49IUBKUWK4" localSheetId="19" hidden="1">BS-non Monetary-[27]LC!$D$6:$D$6</definedName>
    <definedName name="BEx94H2R8OMKYQNTDM49IUBKUWK4" localSheetId="17" hidden="1">BS-non Monetary-[27]LC!$D$6:$D$6</definedName>
    <definedName name="BEx94H2R8OMKYQNTDM49IUBKUWK4" hidden="1">BS-non Monetary-[27]LC!$D$6:$D$6</definedName>
    <definedName name="BEx94ZYIMD97CM6LAIMCGNW7T0U7" localSheetId="18" hidden="1">BS-[29]Monetary!$C$13:$D$14</definedName>
    <definedName name="BEx94ZYIMD97CM6LAIMCGNW7T0U7" localSheetId="16" hidden="1">BS-[29]Monetary!$C$13:$D$14</definedName>
    <definedName name="BEx94ZYIMD97CM6LAIMCGNW7T0U7" localSheetId="21" hidden="1">BS-[29]Monetary!$C$13:$D$14</definedName>
    <definedName name="BEx94ZYIMD97CM6LAIMCGNW7T0U7" localSheetId="19" hidden="1">BS-[29]Monetary!$C$13:$D$14</definedName>
    <definedName name="BEx94ZYIMD97CM6LAIMCGNW7T0U7" localSheetId="17" hidden="1">BS-[29]Monetary!$C$13:$D$14</definedName>
    <definedName name="BEx94ZYIMD97CM6LAIMCGNW7T0U7" hidden="1">BS-[29]Monetary!$C$13:$D$14</definedName>
    <definedName name="BEx95396I1OWQT5HOHHDUT659ET8" localSheetId="18" hidden="1">BS-Equity-[27]LC!$D$6:$D$6</definedName>
    <definedName name="BEx95396I1OWQT5HOHHDUT659ET8" localSheetId="16" hidden="1">BS-Equity-[27]LC!$D$6:$D$6</definedName>
    <definedName name="BEx95396I1OWQT5HOHHDUT659ET8" localSheetId="21" hidden="1">BS-Equity-[27]LC!$D$6:$D$6</definedName>
    <definedName name="BEx95396I1OWQT5HOHHDUT659ET8" localSheetId="19" hidden="1">BS-Equity-[27]LC!$D$6:$D$6</definedName>
    <definedName name="BEx95396I1OWQT5HOHHDUT659ET8" localSheetId="17" hidden="1">BS-Equity-[27]LC!$D$6:$D$6</definedName>
    <definedName name="BEx95396I1OWQT5HOHHDUT659ET8" hidden="1">BS-Equity-[27]LC!$D$6:$D$6</definedName>
    <definedName name="BEx96BRD2VNJC3QE79QZV8428BZ2" hidden="1">#N/A</definedName>
    <definedName name="BEx96JP8K1FVMB6IFD0UJUL0B4P5" hidden="1">#N/A</definedName>
    <definedName name="BEx96RHRMAJ85TC5EJ1GGI0FBUYJ" hidden="1">#N/A</definedName>
    <definedName name="BEx97DDFA5I6JFLFIAFUE6I8SVYK" localSheetId="18" hidden="1">BS-non Monetary-[27]LC!$D$7:$D$7</definedName>
    <definedName name="BEx97DDFA5I6JFLFIAFUE6I8SVYK" localSheetId="16" hidden="1">BS-non Monetary-[27]LC!$D$7:$D$7</definedName>
    <definedName name="BEx97DDFA5I6JFLFIAFUE6I8SVYK" localSheetId="21" hidden="1">BS-non Monetary-[27]LC!$D$7:$D$7</definedName>
    <definedName name="BEx97DDFA5I6JFLFIAFUE6I8SVYK" localSheetId="19" hidden="1">BS-non Monetary-[27]LC!$D$7:$D$7</definedName>
    <definedName name="BEx97DDFA5I6JFLFIAFUE6I8SVYK" localSheetId="17" hidden="1">BS-non Monetary-[27]LC!$D$7:$D$7</definedName>
    <definedName name="BEx97DDFA5I6JFLFIAFUE6I8SVYK" hidden="1">BS-non Monetary-[27]LC!$D$7:$D$7</definedName>
    <definedName name="BEx97RRAPB86GVFN7J3R4FGRM8NX" hidden="1">#N/A</definedName>
    <definedName name="BEx98KOF876XW2M9MNV6O6PKBA9A" localSheetId="18" hidden="1">BS-[29]Monetary!$D$7:$D$7</definedName>
    <definedName name="BEx98KOF876XW2M9MNV6O6PKBA9A" localSheetId="16" hidden="1">BS-[29]Monetary!$D$7:$D$7</definedName>
    <definedName name="BEx98KOF876XW2M9MNV6O6PKBA9A" localSheetId="21" hidden="1">BS-[29]Monetary!$D$7:$D$7</definedName>
    <definedName name="BEx98KOF876XW2M9MNV6O6PKBA9A" localSheetId="19" hidden="1">BS-[29]Monetary!$D$7:$D$7</definedName>
    <definedName name="BEx98KOF876XW2M9MNV6O6PKBA9A" localSheetId="17" hidden="1">BS-[29]Monetary!$D$7:$D$7</definedName>
    <definedName name="BEx98KOF876XW2M9MNV6O6PKBA9A" hidden="1">BS-[29]Monetary!$D$7:$D$7</definedName>
    <definedName name="BEx995NOC27PDJO0BI7VAKPMN1DW" hidden="1">#N/A</definedName>
    <definedName name="BEx9A5RSMZTBA79XFBJZ1M1IR9RT" localSheetId="18" hidden="1">BS-non Monetary-[28]TC!$C$17:$M$663</definedName>
    <definedName name="BEx9A5RSMZTBA79XFBJZ1M1IR9RT" localSheetId="16" hidden="1">BS-non Monetary-[28]TC!$C$17:$M$663</definedName>
    <definedName name="BEx9A5RSMZTBA79XFBJZ1M1IR9RT" localSheetId="21" hidden="1">BS-non Monetary-[28]TC!$C$17:$M$663</definedName>
    <definedName name="BEx9A5RSMZTBA79XFBJZ1M1IR9RT" localSheetId="19" hidden="1">BS-non Monetary-[28]TC!$C$17:$M$663</definedName>
    <definedName name="BEx9A5RSMZTBA79XFBJZ1M1IR9RT" localSheetId="17" hidden="1">BS-non Monetary-[28]TC!$C$17:$M$663</definedName>
    <definedName name="BEx9A5RSMZTBA79XFBJZ1M1IR9RT" hidden="1">BS-non Monetary-[28]TC!$C$17:$M$663</definedName>
    <definedName name="BEx9AONIUFL9J33KCQSFVUYKXQJ7" hidden="1">#N/A</definedName>
    <definedName name="BEx9B3SA2RF2LXHC7BIQHABRO0NC" localSheetId="18" hidden="1">BS-non Monetary-[27]LC!$D$8:$D$8</definedName>
    <definedName name="BEx9B3SA2RF2LXHC7BIQHABRO0NC" localSheetId="16" hidden="1">BS-non Monetary-[27]LC!$D$8:$D$8</definedName>
    <definedName name="BEx9B3SA2RF2LXHC7BIQHABRO0NC" localSheetId="21" hidden="1">BS-non Monetary-[27]LC!$D$8:$D$8</definedName>
    <definedName name="BEx9B3SA2RF2LXHC7BIQHABRO0NC" localSheetId="19" hidden="1">BS-non Monetary-[27]LC!$D$8:$D$8</definedName>
    <definedName name="BEx9B3SA2RF2LXHC7BIQHABRO0NC" localSheetId="17" hidden="1">BS-non Monetary-[27]LC!$D$8:$D$8</definedName>
    <definedName name="BEx9B3SA2RF2LXHC7BIQHABRO0NC" hidden="1">BS-non Monetary-[27]LC!$D$8:$D$8</definedName>
    <definedName name="BEx9BBQBP88XNJAV24SKB8O4UPH5" localSheetId="18" hidden="1">BS-non Monetary-[27]LC!$D$8:$D$8</definedName>
    <definedName name="BEx9BBQBP88XNJAV24SKB8O4UPH5" localSheetId="16" hidden="1">BS-non Monetary-[27]LC!$D$8:$D$8</definedName>
    <definedName name="BEx9BBQBP88XNJAV24SKB8O4UPH5" localSheetId="21" hidden="1">BS-non Monetary-[27]LC!$D$8:$D$8</definedName>
    <definedName name="BEx9BBQBP88XNJAV24SKB8O4UPH5" localSheetId="19" hidden="1">BS-non Monetary-[27]LC!$D$8:$D$8</definedName>
    <definedName name="BEx9BBQBP88XNJAV24SKB8O4UPH5" localSheetId="17" hidden="1">BS-non Monetary-[27]LC!$D$8:$D$8</definedName>
    <definedName name="BEx9BBQBP88XNJAV24SKB8O4UPH5" hidden="1">BS-non Monetary-[27]LC!$D$8:$D$8</definedName>
    <definedName name="BEx9BOBG5UD5AJDW3GDXR4LOG369" localSheetId="18" hidden="1">BS-[29]Monetary!$D$6:$D$6</definedName>
    <definedName name="BEx9BOBG5UD5AJDW3GDXR4LOG369" localSheetId="16" hidden="1">BS-[29]Monetary!$D$6:$D$6</definedName>
    <definedName name="BEx9BOBG5UD5AJDW3GDXR4LOG369" localSheetId="21" hidden="1">BS-[29]Monetary!$D$6:$D$6</definedName>
    <definedName name="BEx9BOBG5UD5AJDW3GDXR4LOG369" localSheetId="19" hidden="1">BS-[29]Monetary!$D$6:$D$6</definedName>
    <definedName name="BEx9BOBG5UD5AJDW3GDXR4LOG369" localSheetId="17" hidden="1">BS-[29]Monetary!$D$6:$D$6</definedName>
    <definedName name="BEx9BOBG5UD5AJDW3GDXR4LOG369" hidden="1">BS-[29]Monetary!$D$6:$D$6</definedName>
    <definedName name="BEx9BZ98OHOXIH95MJZ6010CD6WE" hidden="1">#N/A</definedName>
    <definedName name="BEx9CKJB584H9M2DMLKMS88S83K3" localSheetId="18" hidden="1">TB BS non Monetary [28]TC!$C$17:$F$418</definedName>
    <definedName name="BEx9CKJB584H9M2DMLKMS88S83K3" localSheetId="16" hidden="1">TB BS non Monetary [28]TC!$C$17:$F$418</definedName>
    <definedName name="BEx9CKJB584H9M2DMLKMS88S83K3" localSheetId="21" hidden="1">TB BS non Monetary [28]TC!$C$17:$F$418</definedName>
    <definedName name="BEx9CKJB584H9M2DMLKMS88S83K3" localSheetId="19" hidden="1">TB BS non Monetary [28]TC!$C$17:$F$418</definedName>
    <definedName name="BEx9CKJB584H9M2DMLKMS88S83K3" localSheetId="17" hidden="1">TB BS non Monetary [28]TC!$C$17:$F$418</definedName>
    <definedName name="BEx9CKJB584H9M2DMLKMS88S83K3" hidden="1">TB BS non Monetary [28]TC!$C$17:$F$418</definedName>
    <definedName name="BEx9CWTOAD6N19SYCKQZ7KM6E8F4" hidden="1">#N/A</definedName>
    <definedName name="BEx9D4GP6HGJLMYRFE0GNIB35W11" localSheetId="18" hidden="1">BS-non Monetary-[28]TC!$D$8:$D$8</definedName>
    <definedName name="BEx9D4GP6HGJLMYRFE0GNIB35W11" localSheetId="16" hidden="1">BS-non Monetary-[28]TC!$D$8:$D$8</definedName>
    <definedName name="BEx9D4GP6HGJLMYRFE0GNIB35W11" localSheetId="21" hidden="1">BS-non Monetary-[28]TC!$D$8:$D$8</definedName>
    <definedName name="BEx9D4GP6HGJLMYRFE0GNIB35W11" localSheetId="19" hidden="1">BS-non Monetary-[28]TC!$D$8:$D$8</definedName>
    <definedName name="BEx9D4GP6HGJLMYRFE0GNIB35W11" localSheetId="17" hidden="1">BS-non Monetary-[28]TC!$D$8:$D$8</definedName>
    <definedName name="BEx9D4GP6HGJLMYRFE0GNIB35W11" hidden="1">BS-non Monetary-[28]TC!$D$8:$D$8</definedName>
    <definedName name="BEx9DLJRTN0IXHQ0JZ65O1382SEU" localSheetId="18" hidden="1">BS-non Monetary-[27]LC!$C$13:$D$14</definedName>
    <definedName name="BEx9DLJRTN0IXHQ0JZ65O1382SEU" localSheetId="16" hidden="1">BS-non Monetary-[27]LC!$C$13:$D$14</definedName>
    <definedName name="BEx9DLJRTN0IXHQ0JZ65O1382SEU" localSheetId="21" hidden="1">BS-non Monetary-[27]LC!$C$13:$D$14</definedName>
    <definedName name="BEx9DLJRTN0IXHQ0JZ65O1382SEU" localSheetId="19" hidden="1">BS-non Monetary-[27]LC!$C$13:$D$14</definedName>
    <definedName name="BEx9DLJRTN0IXHQ0JZ65O1382SEU" localSheetId="17" hidden="1">BS-non Monetary-[27]LC!$C$13:$D$14</definedName>
    <definedName name="BEx9DLJRTN0IXHQ0JZ65O1382SEU" hidden="1">BS-non Monetary-[27]LC!$C$13:$D$14</definedName>
    <definedName name="BEx9DTXUE7FCJ9J8MHGW67TEF07M" localSheetId="18" hidden="1">BS-non Monetary-[28]TC!$C$17:$F$668</definedName>
    <definedName name="BEx9DTXUE7FCJ9J8MHGW67TEF07M" localSheetId="16" hidden="1">BS-non Monetary-[28]TC!$C$17:$F$668</definedName>
    <definedName name="BEx9DTXUE7FCJ9J8MHGW67TEF07M" localSheetId="21" hidden="1">BS-non Monetary-[28]TC!$C$17:$F$668</definedName>
    <definedName name="BEx9DTXUE7FCJ9J8MHGW67TEF07M" localSheetId="19" hidden="1">BS-non Monetary-[28]TC!$C$17:$F$668</definedName>
    <definedName name="BEx9DTXUE7FCJ9J8MHGW67TEF07M" localSheetId="17" hidden="1">BS-non Monetary-[28]TC!$C$17:$F$668</definedName>
    <definedName name="BEx9DTXUE7FCJ9J8MHGW67TEF07M" hidden="1">BS-non Monetary-[28]TC!$C$17:$F$668</definedName>
    <definedName name="BEx9E9DF38ZITW4EPY772ILUXSF6" localSheetId="18" hidden="1">BS-non Monetary-[27]LC!$C$17:$G$662</definedName>
    <definedName name="BEx9E9DF38ZITW4EPY772ILUXSF6" localSheetId="16" hidden="1">BS-non Monetary-[27]LC!$C$17:$G$662</definedName>
    <definedName name="BEx9E9DF38ZITW4EPY772ILUXSF6" localSheetId="21" hidden="1">BS-non Monetary-[27]LC!$C$17:$G$662</definedName>
    <definedName name="BEx9E9DF38ZITW4EPY772ILUXSF6" localSheetId="19" hidden="1">BS-non Monetary-[27]LC!$C$17:$G$662</definedName>
    <definedName name="BEx9E9DF38ZITW4EPY772ILUXSF6" localSheetId="17" hidden="1">BS-non Monetary-[27]LC!$C$17:$G$662</definedName>
    <definedName name="BEx9E9DF38ZITW4EPY772ILUXSF6" hidden="1">BS-non Monetary-[27]LC!$C$17:$G$662</definedName>
    <definedName name="BEx9EAVEH57GLNI6C5ZSLSIO3C5S" localSheetId="18" hidden="1">TB BS Monetary [30]Item!$D$7:$D$7</definedName>
    <definedName name="BEx9EAVEH57GLNI6C5ZSLSIO3C5S" localSheetId="16" hidden="1">TB BS Monetary [30]Item!$D$7:$D$7</definedName>
    <definedName name="BEx9EAVEH57GLNI6C5ZSLSIO3C5S" localSheetId="21" hidden="1">TB BS Monetary [30]Item!$D$7:$D$7</definedName>
    <definedName name="BEx9EAVEH57GLNI6C5ZSLSIO3C5S" localSheetId="19" hidden="1">TB BS Monetary [30]Item!$D$7:$D$7</definedName>
    <definedName name="BEx9EAVEH57GLNI6C5ZSLSIO3C5S" localSheetId="17" hidden="1">TB BS Monetary [30]Item!$D$7:$D$7</definedName>
    <definedName name="BEx9EAVEH57GLNI6C5ZSLSIO3C5S" hidden="1">TB BS Monetary [30]Item!$D$7:$D$7</definedName>
    <definedName name="BEx9EOIDF0VG081MBLJLEHGKOQMP" localSheetId="18" hidden="1">BS-non Monetary-[27]LC!$D$6:$D$6</definedName>
    <definedName name="BEx9EOIDF0VG081MBLJLEHGKOQMP" localSheetId="16" hidden="1">BS-non Monetary-[27]LC!$D$6:$D$6</definedName>
    <definedName name="BEx9EOIDF0VG081MBLJLEHGKOQMP" localSheetId="21" hidden="1">BS-non Monetary-[27]LC!$D$6:$D$6</definedName>
    <definedName name="BEx9EOIDF0VG081MBLJLEHGKOQMP" localSheetId="19" hidden="1">BS-non Monetary-[27]LC!$D$6:$D$6</definedName>
    <definedName name="BEx9EOIDF0VG081MBLJLEHGKOQMP" localSheetId="17" hidden="1">BS-non Monetary-[27]LC!$D$6:$D$6</definedName>
    <definedName name="BEx9EOIDF0VG081MBLJLEHGKOQMP" hidden="1">BS-non Monetary-[27]LC!$D$6:$D$6</definedName>
    <definedName name="BEx9ETWGFLCNLDYIC4JPBY4X5CSE" localSheetId="18" hidden="1">BS-non Monetary-[27]LC!$C$17:$G$502</definedName>
    <definedName name="BEx9ETWGFLCNLDYIC4JPBY4X5CSE" localSheetId="16" hidden="1">BS-non Monetary-[27]LC!$C$17:$G$502</definedName>
    <definedName name="BEx9ETWGFLCNLDYIC4JPBY4X5CSE" localSheetId="21" hidden="1">BS-non Monetary-[27]LC!$C$17:$G$502</definedName>
    <definedName name="BEx9ETWGFLCNLDYIC4JPBY4X5CSE" localSheetId="19" hidden="1">BS-non Monetary-[27]LC!$C$17:$G$502</definedName>
    <definedName name="BEx9ETWGFLCNLDYIC4JPBY4X5CSE" localSheetId="17" hidden="1">BS-non Monetary-[27]LC!$C$17:$G$502</definedName>
    <definedName name="BEx9ETWGFLCNLDYIC4JPBY4X5CSE" hidden="1">BS-non Monetary-[27]LC!$C$17:$G$502</definedName>
    <definedName name="BEx9FDOKFXJQQK240Y4N1E8DYIU6" localSheetId="18" hidden="1">BS-non Monitory-[28]TC!$C$13:$D$15</definedName>
    <definedName name="BEx9FDOKFXJQQK240Y4N1E8DYIU6" localSheetId="16" hidden="1">BS-non Monitory-[28]TC!$C$13:$D$15</definedName>
    <definedName name="BEx9FDOKFXJQQK240Y4N1E8DYIU6" localSheetId="21" hidden="1">BS-non Monitory-[28]TC!$C$13:$D$15</definedName>
    <definedName name="BEx9FDOKFXJQQK240Y4N1E8DYIU6" localSheetId="19" hidden="1">BS-non Monitory-[28]TC!$C$13:$D$15</definedName>
    <definedName name="BEx9FDOKFXJQQK240Y4N1E8DYIU6" localSheetId="17" hidden="1">BS-non Monitory-[28]TC!$C$13:$D$15</definedName>
    <definedName name="BEx9FDOKFXJQQK240Y4N1E8DYIU6" hidden="1">BS-non Monitory-[28]TC!$C$13:$D$15</definedName>
    <definedName name="BEx9FFS2QSYF0S6XD3QS63PO33GK" hidden="1">#N/A</definedName>
    <definedName name="BEx9G4SY0P9B8H44N7CFHO3I71EZ" hidden="1">#N/A</definedName>
    <definedName name="BEx9GTJ5T0439R7TEABK0P4HQY7F" localSheetId="18" hidden="1">BS-non Monetary-[28]TC!$C$17:$K$663</definedName>
    <definedName name="BEx9GTJ5T0439R7TEABK0P4HQY7F" localSheetId="16" hidden="1">BS-non Monetary-[28]TC!$C$17:$K$663</definedName>
    <definedName name="BEx9GTJ5T0439R7TEABK0P4HQY7F" localSheetId="21" hidden="1">BS-non Monetary-[28]TC!$C$17:$K$663</definedName>
    <definedName name="BEx9GTJ5T0439R7TEABK0P4HQY7F" localSheetId="19" hidden="1">BS-non Monetary-[28]TC!$C$17:$K$663</definedName>
    <definedName name="BEx9GTJ5T0439R7TEABK0P4HQY7F" localSheetId="17" hidden="1">BS-non Monetary-[28]TC!$C$17:$K$663</definedName>
    <definedName name="BEx9GTJ5T0439R7TEABK0P4HQY7F" hidden="1">BS-non Monetary-[28]TC!$C$17:$K$663</definedName>
    <definedName name="BEx9GZ81OQJ11MPN2BUB5OSQDZQY" localSheetId="18" hidden="1">BS-[29]Monetary!$D$6:$D$6</definedName>
    <definedName name="BEx9GZ81OQJ11MPN2BUB5OSQDZQY" localSheetId="16" hidden="1">BS-[29]Monetary!$D$6:$D$6</definedName>
    <definedName name="BEx9GZ81OQJ11MPN2BUB5OSQDZQY" localSheetId="21" hidden="1">BS-[29]Monetary!$D$6:$D$6</definedName>
    <definedName name="BEx9GZ81OQJ11MPN2BUB5OSQDZQY" localSheetId="19" hidden="1">BS-[29]Monetary!$D$6:$D$6</definedName>
    <definedName name="BEx9GZ81OQJ11MPN2BUB5OSQDZQY" localSheetId="17" hidden="1">BS-[29]Monetary!$D$6:$D$6</definedName>
    <definedName name="BEx9GZ81OQJ11MPN2BUB5OSQDZQY" hidden="1">BS-[29]Monetary!$D$6:$D$6</definedName>
    <definedName name="BEx9H40SDGU442F8ISCHVYCKKVJ0" localSheetId="18" hidden="1">BS-Equity-[27]LC!$C$17:$E$95</definedName>
    <definedName name="BEx9H40SDGU442F8ISCHVYCKKVJ0" localSheetId="16" hidden="1">BS-Equity-[27]LC!$C$17:$E$95</definedName>
    <definedName name="BEx9H40SDGU442F8ISCHVYCKKVJ0" localSheetId="21" hidden="1">BS-Equity-[27]LC!$C$17:$E$95</definedName>
    <definedName name="BEx9H40SDGU442F8ISCHVYCKKVJ0" localSheetId="19" hidden="1">BS-Equity-[27]LC!$C$17:$E$95</definedName>
    <definedName name="BEx9H40SDGU442F8ISCHVYCKKVJ0" localSheetId="17" hidden="1">BS-Equity-[27]LC!$C$17:$E$95</definedName>
    <definedName name="BEx9H40SDGU442F8ISCHVYCKKVJ0" hidden="1">BS-Equity-[27]LC!$C$17:$E$95</definedName>
    <definedName name="BEx9HJGEF5PFOQALZGVS1PIO97VV" localSheetId="18" hidden="1">BS-non Monitory-[28]TC!$D$6:$D$6</definedName>
    <definedName name="BEx9HJGEF5PFOQALZGVS1PIO97VV" localSheetId="16" hidden="1">BS-non Monitory-[28]TC!$D$6:$D$6</definedName>
    <definedName name="BEx9HJGEF5PFOQALZGVS1PIO97VV" localSheetId="21" hidden="1">BS-non Monitory-[28]TC!$D$6:$D$6</definedName>
    <definedName name="BEx9HJGEF5PFOQALZGVS1PIO97VV" localSheetId="19" hidden="1">BS-non Monitory-[28]TC!$D$6:$D$6</definedName>
    <definedName name="BEx9HJGEF5PFOQALZGVS1PIO97VV" localSheetId="17" hidden="1">BS-non Monitory-[28]TC!$D$6:$D$6</definedName>
    <definedName name="BEx9HJGEF5PFOQALZGVS1PIO97VV" hidden="1">BS-non Monitory-[28]TC!$D$6:$D$6</definedName>
    <definedName name="BEx9IDKP34EAWDU9PERQHFSEZ7SW" localSheetId="18" hidden="1">BS-non Monetary-[27]LC!$D$7:$D$7</definedName>
    <definedName name="BEx9IDKP34EAWDU9PERQHFSEZ7SW" localSheetId="16" hidden="1">BS-non Monetary-[27]LC!$D$7:$D$7</definedName>
    <definedName name="BEx9IDKP34EAWDU9PERQHFSEZ7SW" localSheetId="21" hidden="1">BS-non Monetary-[27]LC!$D$7:$D$7</definedName>
    <definedName name="BEx9IDKP34EAWDU9PERQHFSEZ7SW" localSheetId="19" hidden="1">BS-non Monetary-[27]LC!$D$7:$D$7</definedName>
    <definedName name="BEx9IDKP34EAWDU9PERQHFSEZ7SW" localSheetId="17" hidden="1">BS-non Monetary-[27]LC!$D$7:$D$7</definedName>
    <definedName name="BEx9IDKP34EAWDU9PERQHFSEZ7SW" hidden="1">BS-non Monetary-[27]LC!$D$7:$D$7</definedName>
    <definedName name="BEx9JAJJLXC8UFJ7JE4WHQMNJ26A" localSheetId="18" hidden="1">BS-non Monitory-[28]TC!$D$8:$D$8</definedName>
    <definedName name="BEx9JAJJLXC8UFJ7JE4WHQMNJ26A" localSheetId="16" hidden="1">BS-non Monitory-[28]TC!$D$8:$D$8</definedName>
    <definedName name="BEx9JAJJLXC8UFJ7JE4WHQMNJ26A" localSheetId="21" hidden="1">BS-non Monitory-[28]TC!$D$8:$D$8</definedName>
    <definedName name="BEx9JAJJLXC8UFJ7JE4WHQMNJ26A" localSheetId="19" hidden="1">BS-non Monitory-[28]TC!$D$8:$D$8</definedName>
    <definedName name="BEx9JAJJLXC8UFJ7JE4WHQMNJ26A" localSheetId="17" hidden="1">BS-non Monitory-[28]TC!$D$8:$D$8</definedName>
    <definedName name="BEx9JAJJLXC8UFJ7JE4WHQMNJ26A" hidden="1">BS-non Monitory-[28]TC!$D$8:$D$8</definedName>
    <definedName name="BExAVP89KVXHAU4M0L44ZGSGPMVL" localSheetId="18" hidden="1">BS-non Monetary-[27]LC!$D$7:$D$7</definedName>
    <definedName name="BExAVP89KVXHAU4M0L44ZGSGPMVL" localSheetId="16" hidden="1">BS-non Monetary-[27]LC!$D$7:$D$7</definedName>
    <definedName name="BExAVP89KVXHAU4M0L44ZGSGPMVL" localSheetId="21" hidden="1">BS-non Monetary-[27]LC!$D$7:$D$7</definedName>
    <definedName name="BExAVP89KVXHAU4M0L44ZGSGPMVL" localSheetId="19" hidden="1">BS-non Monetary-[27]LC!$D$7:$D$7</definedName>
    <definedName name="BExAVP89KVXHAU4M0L44ZGSGPMVL" localSheetId="17" hidden="1">BS-non Monetary-[27]LC!$D$7:$D$7</definedName>
    <definedName name="BExAVP89KVXHAU4M0L44ZGSGPMVL" hidden="1">BS-non Monetary-[27]LC!$D$7:$D$7</definedName>
    <definedName name="BExAVTQ3UE0MS3DPMFIRGH1X0RJC" localSheetId="18" hidden="1">BS-[29]Monetary!$D$8:$D$8</definedName>
    <definedName name="BExAVTQ3UE0MS3DPMFIRGH1X0RJC" localSheetId="16" hidden="1">BS-[29]Monetary!$D$8:$D$8</definedName>
    <definedName name="BExAVTQ3UE0MS3DPMFIRGH1X0RJC" localSheetId="21" hidden="1">BS-[29]Monetary!$D$8:$D$8</definedName>
    <definedName name="BExAVTQ3UE0MS3DPMFIRGH1X0RJC" localSheetId="19" hidden="1">BS-[29]Monetary!$D$8:$D$8</definedName>
    <definedName name="BExAVTQ3UE0MS3DPMFIRGH1X0RJC" localSheetId="17" hidden="1">BS-[29]Monetary!$D$8:$D$8</definedName>
    <definedName name="BExAVTQ3UE0MS3DPMFIRGH1X0RJC" hidden="1">BS-[29]Monetary!$D$8:$D$8</definedName>
    <definedName name="BExAWHEGJG6LSLNSYHMVWGHTTBL2" localSheetId="18" hidden="1">BS-non Monetary-[27]LC!$C$13:$D$14</definedName>
    <definedName name="BExAWHEGJG6LSLNSYHMVWGHTTBL2" localSheetId="16" hidden="1">BS-non Monetary-[27]LC!$C$13:$D$14</definedName>
    <definedName name="BExAWHEGJG6LSLNSYHMVWGHTTBL2" localSheetId="21" hidden="1">BS-non Monetary-[27]LC!$C$13:$D$14</definedName>
    <definedName name="BExAWHEGJG6LSLNSYHMVWGHTTBL2" localSheetId="19" hidden="1">BS-non Monetary-[27]LC!$C$13:$D$14</definedName>
    <definedName name="BExAWHEGJG6LSLNSYHMVWGHTTBL2" localSheetId="17" hidden="1">BS-non Monetary-[27]LC!$C$13:$D$14</definedName>
    <definedName name="BExAWHEGJG6LSLNSYHMVWGHTTBL2" hidden="1">BS-non Monetary-[27]LC!$C$13:$D$14</definedName>
    <definedName name="BExAXBO7EPGXRIXDZZAPTAZ5G8O3" localSheetId="18" hidden="1">BS-[29]Monetary!$C$13:$D$14</definedName>
    <definedName name="BExAXBO7EPGXRIXDZZAPTAZ5G8O3" localSheetId="16" hidden="1">BS-[29]Monetary!$C$13:$D$14</definedName>
    <definedName name="BExAXBO7EPGXRIXDZZAPTAZ5G8O3" localSheetId="21" hidden="1">BS-[29]Monetary!$C$13:$D$14</definedName>
    <definedName name="BExAXBO7EPGXRIXDZZAPTAZ5G8O3" localSheetId="19" hidden="1">BS-[29]Monetary!$C$13:$D$14</definedName>
    <definedName name="BExAXBO7EPGXRIXDZZAPTAZ5G8O3" localSheetId="17" hidden="1">BS-[29]Monetary!$C$13:$D$14</definedName>
    <definedName name="BExAXBO7EPGXRIXDZZAPTAZ5G8O3" hidden="1">BS-[29]Monetary!$C$13:$D$14</definedName>
    <definedName name="BExAXDBFXQ9XV0OOHNQNW110H9WV" localSheetId="18" hidden="1">BS-[29]Monetary!$C$17:$I$192</definedName>
    <definedName name="BExAXDBFXQ9XV0OOHNQNW110H9WV" localSheetId="16" hidden="1">BS-[29]Monetary!$C$17:$I$192</definedName>
    <definedName name="BExAXDBFXQ9XV0OOHNQNW110H9WV" localSheetId="21" hidden="1">BS-[29]Monetary!$C$17:$I$192</definedName>
    <definedName name="BExAXDBFXQ9XV0OOHNQNW110H9WV" localSheetId="19" hidden="1">BS-[29]Monetary!$C$17:$I$192</definedName>
    <definedName name="BExAXDBFXQ9XV0OOHNQNW110H9WV" localSheetId="17" hidden="1">BS-[29]Monetary!$C$17:$I$192</definedName>
    <definedName name="BExAXDBFXQ9XV0OOHNQNW110H9WV" hidden="1">BS-[29]Monetary!$C$17:$I$192</definedName>
    <definedName name="BExAXEO4M61ZLNXO6PB0AMK954S1" localSheetId="18" hidden="1">BS-[29]Monetary!$D$6:$D$6</definedName>
    <definedName name="BExAXEO4M61ZLNXO6PB0AMK954S1" localSheetId="16" hidden="1">BS-[29]Monetary!$D$6:$D$6</definedName>
    <definedName name="BExAXEO4M61ZLNXO6PB0AMK954S1" localSheetId="21" hidden="1">BS-[29]Monetary!$D$6:$D$6</definedName>
    <definedName name="BExAXEO4M61ZLNXO6PB0AMK954S1" localSheetId="19" hidden="1">BS-[29]Monetary!$D$6:$D$6</definedName>
    <definedName name="BExAXEO4M61ZLNXO6PB0AMK954S1" localSheetId="17" hidden="1">BS-[29]Monetary!$D$6:$D$6</definedName>
    <definedName name="BExAXEO4M61ZLNXO6PB0AMK954S1" hidden="1">BS-[29]Monetary!$D$6:$D$6</definedName>
    <definedName name="BExAXW77MAP8W0CYVWMV7PAGECTT" localSheetId="18" hidden="1">Balance [33]Sheet!$C$17:$I$1005</definedName>
    <definedName name="BExAXW77MAP8W0CYVWMV7PAGECTT" localSheetId="16" hidden="1">Balance [33]Sheet!$C$17:$I$1005</definedName>
    <definedName name="BExAXW77MAP8W0CYVWMV7PAGECTT" localSheetId="21" hidden="1">Balance [33]Sheet!$C$17:$I$1005</definedName>
    <definedName name="BExAXW77MAP8W0CYVWMV7PAGECTT" localSheetId="19" hidden="1">Balance [33]Sheet!$C$17:$I$1005</definedName>
    <definedName name="BExAXW77MAP8W0CYVWMV7PAGECTT" localSheetId="17" hidden="1">Balance [33]Sheet!$C$17:$I$1005</definedName>
    <definedName name="BExAXW77MAP8W0CYVWMV7PAGECTT" hidden="1">Balance [33]Sheet!$C$17:$I$1005</definedName>
    <definedName name="BExAY98NJKLXVCY52LYABP9IDHLW" localSheetId="18" hidden="1">BS-non Monetary-[28]TC!$C$17:$F$663</definedName>
    <definedName name="BExAY98NJKLXVCY52LYABP9IDHLW" localSheetId="16" hidden="1">BS-non Monetary-[28]TC!$C$17:$F$663</definedName>
    <definedName name="BExAY98NJKLXVCY52LYABP9IDHLW" localSheetId="21" hidden="1">BS-non Monetary-[28]TC!$C$17:$F$663</definedName>
    <definedName name="BExAY98NJKLXVCY52LYABP9IDHLW" localSheetId="19" hidden="1">BS-non Monetary-[28]TC!$C$17:$F$663</definedName>
    <definedName name="BExAY98NJKLXVCY52LYABP9IDHLW" localSheetId="17" hidden="1">BS-non Monetary-[28]TC!$C$17:$F$663</definedName>
    <definedName name="BExAY98NJKLXVCY52LYABP9IDHLW" hidden="1">BS-non Monetary-[28]TC!$C$17:$F$663</definedName>
    <definedName name="BExAYQGZU7AZ92O6HHET2H03DEZV" localSheetId="18" hidden="1">TB BS non Monetary [28]TC!$D$6:$D$6</definedName>
    <definedName name="BExAYQGZU7AZ92O6HHET2H03DEZV" localSheetId="16" hidden="1">TB BS non Monetary [28]TC!$D$6:$D$6</definedName>
    <definedName name="BExAYQGZU7AZ92O6HHET2H03DEZV" localSheetId="21" hidden="1">TB BS non Monetary [28]TC!$D$6:$D$6</definedName>
    <definedName name="BExAYQGZU7AZ92O6HHET2H03DEZV" localSheetId="19" hidden="1">TB BS non Monetary [28]TC!$D$6:$D$6</definedName>
    <definedName name="BExAYQGZU7AZ92O6HHET2H03DEZV" localSheetId="17" hidden="1">TB BS non Monetary [28]TC!$D$6:$D$6</definedName>
    <definedName name="BExAYQGZU7AZ92O6HHET2H03DEZV" hidden="1">TB BS non Monetary [28]TC!$D$6:$D$6</definedName>
    <definedName name="BExAZPU5MGHSVBMRRRYQXKJWBIY3" hidden="1">#N/A</definedName>
    <definedName name="BExB1889E5TNR8ZRCW90AEDJY78D" hidden="1">#N/A</definedName>
    <definedName name="BExB1JROTN19DI95LSIR4VWGSST4" localSheetId="18" hidden="1">Balance [33]Sheet!$D$7:$D$7</definedName>
    <definedName name="BExB1JROTN19DI95LSIR4VWGSST4" localSheetId="16" hidden="1">Balance [33]Sheet!$D$7:$D$7</definedName>
    <definedName name="BExB1JROTN19DI95LSIR4VWGSST4" localSheetId="21" hidden="1">Balance [33]Sheet!$D$7:$D$7</definedName>
    <definedName name="BExB1JROTN19DI95LSIR4VWGSST4" localSheetId="19" hidden="1">Balance [33]Sheet!$D$7:$D$7</definedName>
    <definedName name="BExB1JROTN19DI95LSIR4VWGSST4" localSheetId="17" hidden="1">Balance [33]Sheet!$D$7:$D$7</definedName>
    <definedName name="BExB1JROTN19DI95LSIR4VWGSST4" hidden="1">Balance [33]Sheet!$D$7:$D$7</definedName>
    <definedName name="BExB1W2333UU931GEPOI0BI9064S" localSheetId="18" hidden="1">BS-Equity-[28]TC!$D$7:$D$7</definedName>
    <definedName name="BExB1W2333UU931GEPOI0BI9064S" localSheetId="16" hidden="1">BS-Equity-[28]TC!$D$7:$D$7</definedName>
    <definedName name="BExB1W2333UU931GEPOI0BI9064S" localSheetId="21" hidden="1">BS-Equity-[28]TC!$D$7:$D$7</definedName>
    <definedName name="BExB1W2333UU931GEPOI0BI9064S" localSheetId="19" hidden="1">BS-Equity-[28]TC!$D$7:$D$7</definedName>
    <definedName name="BExB1W2333UU931GEPOI0BI9064S" localSheetId="17" hidden="1">BS-Equity-[28]TC!$D$7:$D$7</definedName>
    <definedName name="BExB1W2333UU931GEPOI0BI9064S" hidden="1">BS-Equity-[28]TC!$D$7:$D$7</definedName>
    <definedName name="BExB26P1JHM69YSQHW5M6LNAO40Y" hidden="1">#N/A</definedName>
    <definedName name="BExB29JNCBBQK63NYU89XXTJ5UJ6" localSheetId="18" hidden="1">TB-[35]BS!$D$6:$D$6</definedName>
    <definedName name="BExB29JNCBBQK63NYU89XXTJ5UJ6" localSheetId="16" hidden="1">TB-[35]BS!$D$6:$D$6</definedName>
    <definedName name="BExB29JNCBBQK63NYU89XXTJ5UJ6" localSheetId="21" hidden="1">TB-[35]BS!$D$6:$D$6</definedName>
    <definedName name="BExB29JNCBBQK63NYU89XXTJ5UJ6" localSheetId="19" hidden="1">TB-[35]BS!$D$6:$D$6</definedName>
    <definedName name="BExB29JNCBBQK63NYU89XXTJ5UJ6" localSheetId="17" hidden="1">TB-[35]BS!$D$6:$D$6</definedName>
    <definedName name="BExB29JNCBBQK63NYU89XXTJ5UJ6" hidden="1">TB-[35]BS!$D$6:$D$6</definedName>
    <definedName name="BExB3E5JEX76XGKCLFV1TWYLYS5W" localSheetId="18" hidden="1">BS-non Monetary-[28]TC!$D$6:$D$6</definedName>
    <definedName name="BExB3E5JEX76XGKCLFV1TWYLYS5W" localSheetId="16" hidden="1">BS-non Monetary-[28]TC!$D$6:$D$6</definedName>
    <definedName name="BExB3E5JEX76XGKCLFV1TWYLYS5W" localSheetId="21" hidden="1">BS-non Monetary-[28]TC!$D$6:$D$6</definedName>
    <definedName name="BExB3E5JEX76XGKCLFV1TWYLYS5W" localSheetId="19" hidden="1">BS-non Monetary-[28]TC!$D$6:$D$6</definedName>
    <definedName name="BExB3E5JEX76XGKCLFV1TWYLYS5W" localSheetId="17" hidden="1">BS-non Monetary-[28]TC!$D$6:$D$6</definedName>
    <definedName name="BExB3E5JEX76XGKCLFV1TWYLYS5W" hidden="1">BS-non Monetary-[28]TC!$D$6:$D$6</definedName>
    <definedName name="BExB40XKF1GX1YL6755EM167MQV7" localSheetId="18" hidden="1">BS-non Monetary-[27]LC!$D$8:$D$8</definedName>
    <definedName name="BExB40XKF1GX1YL6755EM167MQV7" localSheetId="16" hidden="1">BS-non Monetary-[27]LC!$D$8:$D$8</definedName>
    <definedName name="BExB40XKF1GX1YL6755EM167MQV7" localSheetId="21" hidden="1">BS-non Monetary-[27]LC!$D$8:$D$8</definedName>
    <definedName name="BExB40XKF1GX1YL6755EM167MQV7" localSheetId="19" hidden="1">BS-non Monetary-[27]LC!$D$8:$D$8</definedName>
    <definedName name="BExB40XKF1GX1YL6755EM167MQV7" localSheetId="17" hidden="1">BS-non Monetary-[27]LC!$D$8:$D$8</definedName>
    <definedName name="BExB40XKF1GX1YL6755EM167MQV7" hidden="1">BS-non Monetary-[27]LC!$D$8:$D$8</definedName>
    <definedName name="BExB4FM8X9BLFXMGIYXPGA61GQ2M" localSheetId="18" hidden="1">Balance [33]Sheet!$D$6:$D$6</definedName>
    <definedName name="BExB4FM8X9BLFXMGIYXPGA61GQ2M" localSheetId="16" hidden="1">Balance [33]Sheet!$D$6:$D$6</definedName>
    <definedName name="BExB4FM8X9BLFXMGIYXPGA61GQ2M" localSheetId="21" hidden="1">Balance [33]Sheet!$D$6:$D$6</definedName>
    <definedName name="BExB4FM8X9BLFXMGIYXPGA61GQ2M" localSheetId="19" hidden="1">Balance [33]Sheet!$D$6:$D$6</definedName>
    <definedName name="BExB4FM8X9BLFXMGIYXPGA61GQ2M" localSheetId="17" hidden="1">Balance [33]Sheet!$D$6:$D$6</definedName>
    <definedName name="BExB4FM8X9BLFXMGIYXPGA61GQ2M" hidden="1">Balance [33]Sheet!$D$6:$D$6</definedName>
    <definedName name="BExB4V75I7WAIJHISE78OO962RAK" hidden="1">#N/A</definedName>
    <definedName name="BExB5JRW3T2U8GG0Y9RRW909RS9O" localSheetId="18" hidden="1">TB-[35]BS!$D$6:$D$6</definedName>
    <definedName name="BExB5JRW3T2U8GG0Y9RRW909RS9O" localSheetId="16" hidden="1">TB-[35]BS!$D$6:$D$6</definedName>
    <definedName name="BExB5JRW3T2U8GG0Y9RRW909RS9O" localSheetId="21" hidden="1">TB-[35]BS!$D$6:$D$6</definedName>
    <definedName name="BExB5JRW3T2U8GG0Y9RRW909RS9O" localSheetId="19" hidden="1">TB-[35]BS!$D$6:$D$6</definedName>
    <definedName name="BExB5JRW3T2U8GG0Y9RRW909RS9O" localSheetId="17" hidden="1">TB-[35]BS!$D$6:$D$6</definedName>
    <definedName name="BExB5JRW3T2U8GG0Y9RRW909RS9O" hidden="1">TB-[35]BS!$D$6:$D$6</definedName>
    <definedName name="BExB5K2OAFN44XBM45GSHZ50R70O" localSheetId="18" hidden="1">BS-non Monetary-[28]TC!$C$13:$D$14</definedName>
    <definedName name="BExB5K2OAFN44XBM45GSHZ50R70O" localSheetId="16" hidden="1">BS-non Monetary-[28]TC!$C$13:$D$14</definedName>
    <definedName name="BExB5K2OAFN44XBM45GSHZ50R70O" localSheetId="21" hidden="1">BS-non Monetary-[28]TC!$C$13:$D$14</definedName>
    <definedName name="BExB5K2OAFN44XBM45GSHZ50R70O" localSheetId="19" hidden="1">BS-non Monetary-[28]TC!$C$13:$D$14</definedName>
    <definedName name="BExB5K2OAFN44XBM45GSHZ50R70O" localSheetId="17" hidden="1">BS-non Monetary-[28]TC!$C$13:$D$14</definedName>
    <definedName name="BExB5K2OAFN44XBM45GSHZ50R70O" hidden="1">BS-non Monetary-[28]TC!$C$13:$D$14</definedName>
    <definedName name="BExB5LQ4TC4A4NIK9LLF1SNW076S" localSheetId="18" hidden="1">BS-[29]Monetary!$D$7:$D$7</definedName>
    <definedName name="BExB5LQ4TC4A4NIK9LLF1SNW076S" localSheetId="16" hidden="1">BS-[29]Monetary!$D$7:$D$7</definedName>
    <definedName name="BExB5LQ4TC4A4NIK9LLF1SNW076S" localSheetId="21" hidden="1">BS-[29]Monetary!$D$7:$D$7</definedName>
    <definedName name="BExB5LQ4TC4A4NIK9LLF1SNW076S" localSheetId="19" hidden="1">BS-[29]Monetary!$D$7:$D$7</definedName>
    <definedName name="BExB5LQ4TC4A4NIK9LLF1SNW076S" localSheetId="17" hidden="1">BS-[29]Monetary!$D$7:$D$7</definedName>
    <definedName name="BExB5LQ4TC4A4NIK9LLF1SNW076S" hidden="1">BS-[29]Monetary!$D$7:$D$7</definedName>
    <definedName name="BExB5PGWM0GVGQUQA373K52QCQ0I" hidden="1">#N/A</definedName>
    <definedName name="BExB5S0IR3Y08EHDCL9VS9SVI9PF" localSheetId="18" hidden="1">BS-[29]Monetary!$D$7:$D$7</definedName>
    <definedName name="BExB5S0IR3Y08EHDCL9VS9SVI9PF" localSheetId="16" hidden="1">BS-[29]Monetary!$D$7:$D$7</definedName>
    <definedName name="BExB5S0IR3Y08EHDCL9VS9SVI9PF" localSheetId="21" hidden="1">BS-[29]Monetary!$D$7:$D$7</definedName>
    <definedName name="BExB5S0IR3Y08EHDCL9VS9SVI9PF" localSheetId="19" hidden="1">BS-[29]Monetary!$D$7:$D$7</definedName>
    <definedName name="BExB5S0IR3Y08EHDCL9VS9SVI9PF" localSheetId="17" hidden="1">BS-[29]Monetary!$D$7:$D$7</definedName>
    <definedName name="BExB5S0IR3Y08EHDCL9VS9SVI9PF" hidden="1">BS-[29]Monetary!$D$7:$D$7</definedName>
    <definedName name="BExB65SVGJM6S9LZ90Z7OZ2PW1H3" localSheetId="18" hidden="1">BS-non Monetary-[27]LC!$D$7:$D$7</definedName>
    <definedName name="BExB65SVGJM6S9LZ90Z7OZ2PW1H3" localSheetId="16" hidden="1">BS-non Monetary-[27]LC!$D$7:$D$7</definedName>
    <definedName name="BExB65SVGJM6S9LZ90Z7OZ2PW1H3" localSheetId="21" hidden="1">BS-non Monetary-[27]LC!$D$7:$D$7</definedName>
    <definedName name="BExB65SVGJM6S9LZ90Z7OZ2PW1H3" localSheetId="19" hidden="1">BS-non Monetary-[27]LC!$D$7:$D$7</definedName>
    <definedName name="BExB65SVGJM6S9LZ90Z7OZ2PW1H3" localSheetId="17" hidden="1">BS-non Monetary-[27]LC!$D$7:$D$7</definedName>
    <definedName name="BExB65SVGJM6S9LZ90Z7OZ2PW1H3" hidden="1">BS-non Monetary-[27]LC!$D$7:$D$7</definedName>
    <definedName name="BExB6695CNUKVNYB6QANFT0DPNK8" localSheetId="18" hidden="1">BS-non Monetary-[28]TC!$D$6:$D$6</definedName>
    <definedName name="BExB6695CNUKVNYB6QANFT0DPNK8" localSheetId="16" hidden="1">BS-non Monetary-[28]TC!$D$6:$D$6</definedName>
    <definedName name="BExB6695CNUKVNYB6QANFT0DPNK8" localSheetId="21" hidden="1">BS-non Monetary-[28]TC!$D$6:$D$6</definedName>
    <definedName name="BExB6695CNUKVNYB6QANFT0DPNK8" localSheetId="19" hidden="1">BS-non Monetary-[28]TC!$D$6:$D$6</definedName>
    <definedName name="BExB6695CNUKVNYB6QANFT0DPNK8" localSheetId="17" hidden="1">BS-non Monetary-[28]TC!$D$6:$D$6</definedName>
    <definedName name="BExB6695CNUKVNYB6QANFT0DPNK8" hidden="1">BS-non Monetary-[28]TC!$D$6:$D$6</definedName>
    <definedName name="BExB7BM3DQTQ2JH43AI8VGKYUZDR" hidden="1">#N/A</definedName>
    <definedName name="BExB7DK68UK9VC0S76ZZO74NOMU7" localSheetId="18" hidden="1">Balance [33]Sheet!$C$17:$N$710</definedName>
    <definedName name="BExB7DK68UK9VC0S76ZZO74NOMU7" localSheetId="16" hidden="1">Balance [33]Sheet!$C$17:$N$710</definedName>
    <definedName name="BExB7DK68UK9VC0S76ZZO74NOMU7" localSheetId="21" hidden="1">Balance [33]Sheet!$C$17:$N$710</definedName>
    <definedName name="BExB7DK68UK9VC0S76ZZO74NOMU7" localSheetId="19" hidden="1">Balance [33]Sheet!$C$17:$N$710</definedName>
    <definedName name="BExB7DK68UK9VC0S76ZZO74NOMU7" localSheetId="17" hidden="1">Balance [33]Sheet!$C$17:$N$710</definedName>
    <definedName name="BExB7DK68UK9VC0S76ZZO74NOMU7" hidden="1">Balance [33]Sheet!$C$17:$N$710</definedName>
    <definedName name="BExB7KWEIC7I8QE5DCUV60R8O4H3" localSheetId="18" hidden="1">BS-non Monitory-[28]TC!$D$6:$D$6</definedName>
    <definedName name="BExB7KWEIC7I8QE5DCUV60R8O4H3" localSheetId="16" hidden="1">BS-non Monitory-[28]TC!$D$6:$D$6</definedName>
    <definedName name="BExB7KWEIC7I8QE5DCUV60R8O4H3" localSheetId="21" hidden="1">BS-non Monitory-[28]TC!$D$6:$D$6</definedName>
    <definedName name="BExB7KWEIC7I8QE5DCUV60R8O4H3" localSheetId="19" hidden="1">BS-non Monitory-[28]TC!$D$6:$D$6</definedName>
    <definedName name="BExB7KWEIC7I8QE5DCUV60R8O4H3" localSheetId="17" hidden="1">BS-non Monitory-[28]TC!$D$6:$D$6</definedName>
    <definedName name="BExB7KWEIC7I8QE5DCUV60R8O4H3" hidden="1">BS-non Monitory-[28]TC!$D$6:$D$6</definedName>
    <definedName name="BExB7LHZLERY9WCLLQLTXRWEM4WY" hidden="1">#N/A</definedName>
    <definedName name="BExB7MUMZ4APC2HE3OV9JQXT7DB8" localSheetId="18" hidden="1">Balance [33]Sheet!$D$7:$D$7</definedName>
    <definedName name="BExB7MUMZ4APC2HE3OV9JQXT7DB8" localSheetId="16" hidden="1">Balance [33]Sheet!$D$7:$D$7</definedName>
    <definedName name="BExB7MUMZ4APC2HE3OV9JQXT7DB8" localSheetId="21" hidden="1">Balance [33]Sheet!$D$7:$D$7</definedName>
    <definedName name="BExB7MUMZ4APC2HE3OV9JQXT7DB8" localSheetId="19" hidden="1">Balance [33]Sheet!$D$7:$D$7</definedName>
    <definedName name="BExB7MUMZ4APC2HE3OV9JQXT7DB8" localSheetId="17" hidden="1">Balance [33]Sheet!$D$7:$D$7</definedName>
    <definedName name="BExB7MUMZ4APC2HE3OV9JQXT7DB8" hidden="1">Balance [33]Sheet!$D$7:$D$7</definedName>
    <definedName name="BExB7SOYZL41R0DCJANKGD9Y024Q" hidden="1">#N/A</definedName>
    <definedName name="BExB8C69AGMZA4L5OY1MEFUT2YJO" hidden="1">#N/A</definedName>
    <definedName name="BExB8JIIKFSUOCHYQ4K7WP9NO69K" localSheetId="18" hidden="1">BS-Equity-[27]LC!$D$6:$D$6</definedName>
    <definedName name="BExB8JIIKFSUOCHYQ4K7WP9NO69K" localSheetId="16" hidden="1">BS-Equity-[27]LC!$D$6:$D$6</definedName>
    <definedName name="BExB8JIIKFSUOCHYQ4K7WP9NO69K" localSheetId="21" hidden="1">BS-Equity-[27]LC!$D$6:$D$6</definedName>
    <definedName name="BExB8JIIKFSUOCHYQ4K7WP9NO69K" localSheetId="19" hidden="1">BS-Equity-[27]LC!$D$6:$D$6</definedName>
    <definedName name="BExB8JIIKFSUOCHYQ4K7WP9NO69K" localSheetId="17" hidden="1">BS-Equity-[27]LC!$D$6:$D$6</definedName>
    <definedName name="BExB8JIIKFSUOCHYQ4K7WP9NO69K" hidden="1">BS-Equity-[27]LC!$D$6:$D$6</definedName>
    <definedName name="BExB9R9SNZP3DK1ZHAURR20NLZXA" localSheetId="18" hidden="1">BS-[29]Monetary!$D$7:$D$7</definedName>
    <definedName name="BExB9R9SNZP3DK1ZHAURR20NLZXA" localSheetId="16" hidden="1">BS-[29]Monetary!$D$7:$D$7</definedName>
    <definedName name="BExB9R9SNZP3DK1ZHAURR20NLZXA" localSheetId="21" hidden="1">BS-[29]Monetary!$D$7:$D$7</definedName>
    <definedName name="BExB9R9SNZP3DK1ZHAURR20NLZXA" localSheetId="19" hidden="1">BS-[29]Monetary!$D$7:$D$7</definedName>
    <definedName name="BExB9R9SNZP3DK1ZHAURR20NLZXA" localSheetId="17" hidden="1">BS-[29]Monetary!$D$7:$D$7</definedName>
    <definedName name="BExB9R9SNZP3DK1ZHAURR20NLZXA" hidden="1">BS-[29]Monetary!$D$7:$D$7</definedName>
    <definedName name="BExBAAWH6003V8V7NPMNUUI4OP1E" hidden="1">#N/A</definedName>
    <definedName name="BExBABCPZHVQN681UY5AH75YUIRT" hidden="1">#N/A</definedName>
    <definedName name="BExBAF90XXSES0P1NVZSAD6YRC3T" localSheetId="18" hidden="1">BS-[29]Monetary!$C$13:$D$14</definedName>
    <definedName name="BExBAF90XXSES0P1NVZSAD6YRC3T" localSheetId="16" hidden="1">BS-[29]Monetary!$C$13:$D$14</definedName>
    <definedName name="BExBAF90XXSES0P1NVZSAD6YRC3T" localSheetId="21" hidden="1">BS-[29]Monetary!$C$13:$D$14</definedName>
    <definedName name="BExBAF90XXSES0P1NVZSAD6YRC3T" localSheetId="19" hidden="1">BS-[29]Monetary!$C$13:$D$14</definedName>
    <definedName name="BExBAF90XXSES0P1NVZSAD6YRC3T" localSheetId="17" hidden="1">BS-[29]Monetary!$C$13:$D$14</definedName>
    <definedName name="BExBAF90XXSES0P1NVZSAD6YRC3T" hidden="1">BS-[29]Monetary!$C$13:$D$14</definedName>
    <definedName name="BExBAK1MFI1LHEP3OTMQRACFDCMS" hidden="1">#N/A</definedName>
    <definedName name="BExBB0OELEX1EP00S2ZCHRT5OCVA" localSheetId="18" hidden="1">BS-[29]Monetary!$D$6:$D$6</definedName>
    <definedName name="BExBB0OELEX1EP00S2ZCHRT5OCVA" localSheetId="16" hidden="1">BS-[29]Monetary!$D$6:$D$6</definedName>
    <definedName name="BExBB0OELEX1EP00S2ZCHRT5OCVA" localSheetId="21" hidden="1">BS-[29]Monetary!$D$6:$D$6</definedName>
    <definedName name="BExBB0OELEX1EP00S2ZCHRT5OCVA" localSheetId="19" hidden="1">BS-[29]Monetary!$D$6:$D$6</definedName>
    <definedName name="BExBB0OELEX1EP00S2ZCHRT5OCVA" localSheetId="17" hidden="1">BS-[29]Monetary!$D$6:$D$6</definedName>
    <definedName name="BExBB0OELEX1EP00S2ZCHRT5OCVA" hidden="1">BS-[29]Monetary!$D$6:$D$6</definedName>
    <definedName name="BExBB5MBV9O4JU2NDY2U76WR7KZ1" localSheetId="18" hidden="1">BS-[29]Monetary!$D$6:$D$6</definedName>
    <definedName name="BExBB5MBV9O4JU2NDY2U76WR7KZ1" localSheetId="16" hidden="1">BS-[29]Monetary!$D$6:$D$6</definedName>
    <definedName name="BExBB5MBV9O4JU2NDY2U76WR7KZ1" localSheetId="21" hidden="1">BS-[29]Monetary!$D$6:$D$6</definedName>
    <definedName name="BExBB5MBV9O4JU2NDY2U76WR7KZ1" localSheetId="19" hidden="1">BS-[29]Monetary!$D$6:$D$6</definedName>
    <definedName name="BExBB5MBV9O4JU2NDY2U76WR7KZ1" localSheetId="17" hidden="1">BS-[29]Monetary!$D$6:$D$6</definedName>
    <definedName name="BExBB5MBV9O4JU2NDY2U76WR7KZ1" hidden="1">BS-[29]Monetary!$D$6:$D$6</definedName>
    <definedName name="BExBBCNY7A2DVA368GHDEL4U8389" hidden="1">#N/A</definedName>
    <definedName name="BExBBSJTC2HLZ8T3LJJP61B6DIHJ" localSheetId="18" hidden="1">BS-[29]Monetary!$D$7:$D$7</definedName>
    <definedName name="BExBBSJTC2HLZ8T3LJJP61B6DIHJ" localSheetId="16" hidden="1">BS-[29]Monetary!$D$7:$D$7</definedName>
    <definedName name="BExBBSJTC2HLZ8T3LJJP61B6DIHJ" localSheetId="21" hidden="1">BS-[29]Monetary!$D$7:$D$7</definedName>
    <definedName name="BExBBSJTC2HLZ8T3LJJP61B6DIHJ" localSheetId="19" hidden="1">BS-[29]Monetary!$D$7:$D$7</definedName>
    <definedName name="BExBBSJTC2HLZ8T3LJJP61B6DIHJ" localSheetId="17" hidden="1">BS-[29]Monetary!$D$7:$D$7</definedName>
    <definedName name="BExBBSJTC2HLZ8T3LJJP61B6DIHJ" hidden="1">BS-[29]Monetary!$D$7:$D$7</definedName>
    <definedName name="BExBBSZWQAG5N0HSUZOZ4Z65W27Q" localSheetId="18" hidden="1">BS-non Monetary-[28]TC!$C$17:$F$505</definedName>
    <definedName name="BExBBSZWQAG5N0HSUZOZ4Z65W27Q" localSheetId="16" hidden="1">BS-non Monetary-[28]TC!$C$17:$F$505</definedName>
    <definedName name="BExBBSZWQAG5N0HSUZOZ4Z65W27Q" localSheetId="21" hidden="1">BS-non Monetary-[28]TC!$C$17:$F$505</definedName>
    <definedName name="BExBBSZWQAG5N0HSUZOZ4Z65W27Q" localSheetId="19" hidden="1">BS-non Monetary-[28]TC!$C$17:$F$505</definedName>
    <definedName name="BExBBSZWQAG5N0HSUZOZ4Z65W27Q" localSheetId="17" hidden="1">BS-non Monetary-[28]TC!$C$17:$F$505</definedName>
    <definedName name="BExBBSZWQAG5N0HSUZOZ4Z65W27Q" hidden="1">BS-non Monetary-[28]TC!$C$17:$F$505</definedName>
    <definedName name="BExBBTLMBZQ0OPV9CEW3OS0OE9OM" localSheetId="18" hidden="1">BS-non Monetary-[28]TC!$D$8:$D$8</definedName>
    <definedName name="BExBBTLMBZQ0OPV9CEW3OS0OE9OM" localSheetId="16" hidden="1">BS-non Monetary-[28]TC!$D$8:$D$8</definedName>
    <definedName name="BExBBTLMBZQ0OPV9CEW3OS0OE9OM" localSheetId="21" hidden="1">BS-non Monetary-[28]TC!$D$8:$D$8</definedName>
    <definedName name="BExBBTLMBZQ0OPV9CEW3OS0OE9OM" localSheetId="19" hidden="1">BS-non Monetary-[28]TC!$D$8:$D$8</definedName>
    <definedName name="BExBBTLMBZQ0OPV9CEW3OS0OE9OM" localSheetId="17" hidden="1">BS-non Monetary-[28]TC!$D$8:$D$8</definedName>
    <definedName name="BExBBTLMBZQ0OPV9CEW3OS0OE9OM" hidden="1">BS-non Monetary-[28]TC!$D$8:$D$8</definedName>
    <definedName name="BExBC66N2CREWA5380UJ1VM1CRNX" hidden="1">#N/A</definedName>
    <definedName name="BExBCP7Q71SKYQT3E73IEFJLH478" localSheetId="18" hidden="1">BS-[29]Monetary!$C$17:$AA$189</definedName>
    <definedName name="BExBCP7Q71SKYQT3E73IEFJLH478" localSheetId="16" hidden="1">BS-[29]Monetary!$C$17:$AA$189</definedName>
    <definedName name="BExBCP7Q71SKYQT3E73IEFJLH478" localSheetId="21" hidden="1">BS-[29]Monetary!$C$17:$AA$189</definedName>
    <definedName name="BExBCP7Q71SKYQT3E73IEFJLH478" localSheetId="19" hidden="1">BS-[29]Monetary!$C$17:$AA$189</definedName>
    <definedName name="BExBCP7Q71SKYQT3E73IEFJLH478" localSheetId="17" hidden="1">BS-[29]Monetary!$C$17:$AA$189</definedName>
    <definedName name="BExBCP7Q71SKYQT3E73IEFJLH478" hidden="1">BS-[29]Monetary!$C$17:$AA$189</definedName>
    <definedName name="BExBCQPTNSB29NSEBHCUJ0R3TLCZ" hidden="1">#N/A</definedName>
    <definedName name="BExBCYYH2TQBPB8AR6ITMMP4YJTA" localSheetId="18" hidden="1">BS-[29]Monetary!$D$6:$D$6</definedName>
    <definedName name="BExBCYYH2TQBPB8AR6ITMMP4YJTA" localSheetId="16" hidden="1">BS-[29]Monetary!$D$6:$D$6</definedName>
    <definedName name="BExBCYYH2TQBPB8AR6ITMMP4YJTA" localSheetId="21" hidden="1">BS-[29]Monetary!$D$6:$D$6</definedName>
    <definedName name="BExBCYYH2TQBPB8AR6ITMMP4YJTA" localSheetId="19" hidden="1">BS-[29]Monetary!$D$6:$D$6</definedName>
    <definedName name="BExBCYYH2TQBPB8AR6ITMMP4YJTA" localSheetId="17" hidden="1">BS-[29]Monetary!$D$6:$D$6</definedName>
    <definedName name="BExBCYYH2TQBPB8AR6ITMMP4YJTA" hidden="1">BS-[29]Monetary!$D$6:$D$6</definedName>
    <definedName name="BExBDEJJE5OJ8NRB5K6MUKSEBYBM" localSheetId="18" hidden="1">BS-non Monetary-[28]TC!$D$7:$D$7</definedName>
    <definedName name="BExBDEJJE5OJ8NRB5K6MUKSEBYBM" localSheetId="16" hidden="1">BS-non Monetary-[28]TC!$D$7:$D$7</definedName>
    <definedName name="BExBDEJJE5OJ8NRB5K6MUKSEBYBM" localSheetId="21" hidden="1">BS-non Monetary-[28]TC!$D$7:$D$7</definedName>
    <definedName name="BExBDEJJE5OJ8NRB5K6MUKSEBYBM" localSheetId="19" hidden="1">BS-non Monetary-[28]TC!$D$7:$D$7</definedName>
    <definedName name="BExBDEJJE5OJ8NRB5K6MUKSEBYBM" localSheetId="17" hidden="1">BS-non Monetary-[28]TC!$D$7:$D$7</definedName>
    <definedName name="BExBDEJJE5OJ8NRB5K6MUKSEBYBM" hidden="1">BS-non Monetary-[28]TC!$D$7:$D$7</definedName>
    <definedName name="BExBDS12C7LOIM22F8EA4J9U1NPD" localSheetId="18" hidden="1">BS-Equity-[27]LC!$D$7:$D$7</definedName>
    <definedName name="BExBDS12C7LOIM22F8EA4J9U1NPD" localSheetId="16" hidden="1">BS-Equity-[27]LC!$D$7:$D$7</definedName>
    <definedName name="BExBDS12C7LOIM22F8EA4J9U1NPD" localSheetId="21" hidden="1">BS-Equity-[27]LC!$D$7:$D$7</definedName>
    <definedName name="BExBDS12C7LOIM22F8EA4J9U1NPD" localSheetId="19" hidden="1">BS-Equity-[27]LC!$D$7:$D$7</definedName>
    <definedName name="BExBDS12C7LOIM22F8EA4J9U1NPD" localSheetId="17" hidden="1">BS-Equity-[27]LC!$D$7:$D$7</definedName>
    <definedName name="BExBDS12C7LOIM22F8EA4J9U1NPD" hidden="1">BS-Equity-[27]LC!$D$7:$D$7</definedName>
    <definedName name="BExBDY0UQ5SC80IEMF69UZYWPUUJ" localSheetId="18" hidden="1">BS-non Monetary-[27]LC!$C$13:$D$14</definedName>
    <definedName name="BExBDY0UQ5SC80IEMF69UZYWPUUJ" localSheetId="16" hidden="1">BS-non Monetary-[27]LC!$C$13:$D$14</definedName>
    <definedName name="BExBDY0UQ5SC80IEMF69UZYWPUUJ" localSheetId="21" hidden="1">BS-non Monetary-[27]LC!$C$13:$D$14</definedName>
    <definedName name="BExBDY0UQ5SC80IEMF69UZYWPUUJ" localSheetId="19" hidden="1">BS-non Monetary-[27]LC!$C$13:$D$14</definedName>
    <definedName name="BExBDY0UQ5SC80IEMF69UZYWPUUJ" localSheetId="17" hidden="1">BS-non Monetary-[27]LC!$C$13:$D$14</definedName>
    <definedName name="BExBDY0UQ5SC80IEMF69UZYWPUUJ" hidden="1">BS-non Monetary-[27]LC!$C$13:$D$14</definedName>
    <definedName name="BExBE8YKXDPJIYXC0ZYFGF4N5O65" localSheetId="18" hidden="1">BS-non Monetary-[28]TC!$D$8:$D$8</definedName>
    <definedName name="BExBE8YKXDPJIYXC0ZYFGF4N5O65" localSheetId="16" hidden="1">BS-non Monetary-[28]TC!$D$8:$D$8</definedName>
    <definedName name="BExBE8YKXDPJIYXC0ZYFGF4N5O65" localSheetId="21" hidden="1">BS-non Monetary-[28]TC!$D$8:$D$8</definedName>
    <definedName name="BExBE8YKXDPJIYXC0ZYFGF4N5O65" localSheetId="19" hidden="1">BS-non Monetary-[28]TC!$D$8:$D$8</definedName>
    <definedName name="BExBE8YKXDPJIYXC0ZYFGF4N5O65" localSheetId="17" hidden="1">BS-non Monetary-[28]TC!$D$8:$D$8</definedName>
    <definedName name="BExBE8YKXDPJIYXC0ZYFGF4N5O65" hidden="1">BS-non Monetary-[28]TC!$D$8:$D$8</definedName>
    <definedName name="BExBEYFQ0ENUT2XFPNJU2U0XW4L5" hidden="1">#N/A</definedName>
    <definedName name="BExCR8MKPDPF0K2G95EJLSXGGKLZ" localSheetId="18" hidden="1">BS-[29]Monetary!$D$7:$D$7</definedName>
    <definedName name="BExCR8MKPDPF0K2G95EJLSXGGKLZ" localSheetId="16" hidden="1">BS-[29]Monetary!$D$7:$D$7</definedName>
    <definedName name="BExCR8MKPDPF0K2G95EJLSXGGKLZ" localSheetId="21" hidden="1">BS-[29]Monetary!$D$7:$D$7</definedName>
    <definedName name="BExCR8MKPDPF0K2G95EJLSXGGKLZ" localSheetId="19" hidden="1">BS-[29]Monetary!$D$7:$D$7</definedName>
    <definedName name="BExCR8MKPDPF0K2G95EJLSXGGKLZ" localSheetId="17" hidden="1">BS-[29]Monetary!$D$7:$D$7</definedName>
    <definedName name="BExCR8MKPDPF0K2G95EJLSXGGKLZ" hidden="1">BS-[29]Monetary!$D$7:$D$7</definedName>
    <definedName name="BExCRQB5HK7GMYCAS9BJH15SQII0" localSheetId="18" hidden="1">BS-non Monetary-[27]LC!$C$13:$D$14</definedName>
    <definedName name="BExCRQB5HK7GMYCAS9BJH15SQII0" localSheetId="16" hidden="1">BS-non Monetary-[27]LC!$C$13:$D$14</definedName>
    <definedName name="BExCRQB5HK7GMYCAS9BJH15SQII0" localSheetId="21" hidden="1">BS-non Monetary-[27]LC!$C$13:$D$14</definedName>
    <definedName name="BExCRQB5HK7GMYCAS9BJH15SQII0" localSheetId="19" hidden="1">BS-non Monetary-[27]LC!$C$13:$D$14</definedName>
    <definedName name="BExCRQB5HK7GMYCAS9BJH15SQII0" localSheetId="17" hidden="1">BS-non Monetary-[27]LC!$C$13:$D$14</definedName>
    <definedName name="BExCRQB5HK7GMYCAS9BJH15SQII0" hidden="1">BS-non Monetary-[27]LC!$C$13:$D$14</definedName>
    <definedName name="BExCT47K28HSYGDK4KYX5ZADB7M1" hidden="1">#N/A</definedName>
    <definedName name="BExCT7CYNNXY9SGEYMNR0HD2R6MS" localSheetId="18" hidden="1">BS-Equity-[28]TC!$D$8:$D$8</definedName>
    <definedName name="BExCT7CYNNXY9SGEYMNR0HD2R6MS" localSheetId="16" hidden="1">BS-Equity-[28]TC!$D$8:$D$8</definedName>
    <definedName name="BExCT7CYNNXY9SGEYMNR0HD2R6MS" localSheetId="21" hidden="1">BS-Equity-[28]TC!$D$8:$D$8</definedName>
    <definedName name="BExCT7CYNNXY9SGEYMNR0HD2R6MS" localSheetId="19" hidden="1">BS-Equity-[28]TC!$D$8:$D$8</definedName>
    <definedName name="BExCT7CYNNXY9SGEYMNR0HD2R6MS" localSheetId="17" hidden="1">BS-Equity-[28]TC!$D$8:$D$8</definedName>
    <definedName name="BExCT7CYNNXY9SGEYMNR0HD2R6MS" hidden="1">BS-Equity-[28]TC!$D$8:$D$8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U0QADL4F89A5KQG89TSD3YTO" localSheetId="18" hidden="1">BS-[29]Monetary!$C$13:$D$14</definedName>
    <definedName name="BExCU0QADL4F89A5KQG89TSD3YTO" localSheetId="16" hidden="1">BS-[29]Monetary!$C$13:$D$14</definedName>
    <definedName name="BExCU0QADL4F89A5KQG89TSD3YTO" localSheetId="21" hidden="1">BS-[29]Monetary!$C$13:$D$14</definedName>
    <definedName name="BExCU0QADL4F89A5KQG89TSD3YTO" localSheetId="19" hidden="1">BS-[29]Monetary!$C$13:$D$14</definedName>
    <definedName name="BExCU0QADL4F89A5KQG89TSD3YTO" localSheetId="17" hidden="1">BS-[29]Monetary!$C$13:$D$14</definedName>
    <definedName name="BExCU0QADL4F89A5KQG89TSD3YTO" hidden="1">BS-[29]Monetary!$C$13:$D$14</definedName>
    <definedName name="BExCU1S08T24JT61PX8EQNJOUM9H" localSheetId="18" hidden="1">BS-non Monetary-[27]LC!$C$17:$R$662</definedName>
    <definedName name="BExCU1S08T24JT61PX8EQNJOUM9H" localSheetId="16" hidden="1">BS-non Monetary-[27]LC!$C$17:$R$662</definedName>
    <definedName name="BExCU1S08T24JT61PX8EQNJOUM9H" localSheetId="21" hidden="1">BS-non Monetary-[27]LC!$C$17:$R$662</definedName>
    <definedName name="BExCU1S08T24JT61PX8EQNJOUM9H" localSheetId="19" hidden="1">BS-non Monetary-[27]LC!$C$17:$R$662</definedName>
    <definedName name="BExCU1S08T24JT61PX8EQNJOUM9H" localSheetId="17" hidden="1">BS-non Monetary-[27]LC!$C$17:$R$662</definedName>
    <definedName name="BExCU1S08T24JT61PX8EQNJOUM9H" hidden="1">BS-non Monetary-[27]LC!$C$17:$R$662</definedName>
    <definedName name="BExCU766UPZ34PNFN8XHAAVPH9QV" localSheetId="18" hidden="1">BS-non Monetary-[27]LC!$D$6:$D$6</definedName>
    <definedName name="BExCU766UPZ34PNFN8XHAAVPH9QV" localSheetId="16" hidden="1">BS-non Monetary-[27]LC!$D$6:$D$6</definedName>
    <definedName name="BExCU766UPZ34PNFN8XHAAVPH9QV" localSheetId="21" hidden="1">BS-non Monetary-[27]LC!$D$6:$D$6</definedName>
    <definedName name="BExCU766UPZ34PNFN8XHAAVPH9QV" localSheetId="19" hidden="1">BS-non Monetary-[27]LC!$D$6:$D$6</definedName>
    <definedName name="BExCU766UPZ34PNFN8XHAAVPH9QV" localSheetId="17" hidden="1">BS-non Monetary-[27]LC!$D$6:$D$6</definedName>
    <definedName name="BExCU766UPZ34PNFN8XHAAVPH9QV" hidden="1">BS-non Monetary-[27]LC!$D$6:$D$6</definedName>
    <definedName name="BExCUG5W1MDULPS62DASO4QA6R3B" localSheetId="18" hidden="1">BS-[34]Monitory!$D$6:$D$6</definedName>
    <definedName name="BExCUG5W1MDULPS62DASO4QA6R3B" localSheetId="16" hidden="1">BS-[34]Monitory!$D$6:$D$6</definedName>
    <definedName name="BExCUG5W1MDULPS62DASO4QA6R3B" localSheetId="21" hidden="1">BS-[34]Monitory!$D$6:$D$6</definedName>
    <definedName name="BExCUG5W1MDULPS62DASO4QA6R3B" localSheetId="19" hidden="1">BS-[34]Monitory!$D$6:$D$6</definedName>
    <definedName name="BExCUG5W1MDULPS62DASO4QA6R3B" localSheetId="17" hidden="1">BS-[34]Monitory!$D$6:$D$6</definedName>
    <definedName name="BExCUG5W1MDULPS62DASO4QA6R3B" hidden="1">BS-[34]Monitory!$D$6:$D$6</definedName>
    <definedName name="BExCUNNMVYVE9F0AMVAASHY0XXPQ" localSheetId="18" hidden="1">BS-non Monetary-[27]LC!$C$17:$G$667</definedName>
    <definedName name="BExCUNNMVYVE9F0AMVAASHY0XXPQ" localSheetId="16" hidden="1">BS-non Monetary-[27]LC!$C$17:$G$667</definedName>
    <definedName name="BExCUNNMVYVE9F0AMVAASHY0XXPQ" localSheetId="21" hidden="1">BS-non Monetary-[27]LC!$C$17:$G$667</definedName>
    <definedName name="BExCUNNMVYVE9F0AMVAASHY0XXPQ" localSheetId="19" hidden="1">BS-non Monetary-[27]LC!$C$17:$G$667</definedName>
    <definedName name="BExCUNNMVYVE9F0AMVAASHY0XXPQ" localSheetId="17" hidden="1">BS-non Monetary-[27]LC!$C$17:$G$667</definedName>
    <definedName name="BExCUNNMVYVE9F0AMVAASHY0XXPQ" hidden="1">BS-non Monetary-[27]LC!$C$17:$G$667</definedName>
    <definedName name="BExCV9DSZVVQLP3JW3UARQLEIS0R" localSheetId="18" hidden="1">BS-Equity-[27]LC!$C$17:$E$93</definedName>
    <definedName name="BExCV9DSZVVQLP3JW3UARQLEIS0R" localSheetId="16" hidden="1">BS-Equity-[27]LC!$C$17:$E$93</definedName>
    <definedName name="BExCV9DSZVVQLP3JW3UARQLEIS0R" localSheetId="21" hidden="1">BS-Equity-[27]LC!$C$17:$E$93</definedName>
    <definedName name="BExCV9DSZVVQLP3JW3UARQLEIS0R" localSheetId="19" hidden="1">BS-Equity-[27]LC!$C$17:$E$93</definedName>
    <definedName name="BExCV9DSZVVQLP3JW3UARQLEIS0R" localSheetId="17" hidden="1">BS-Equity-[27]LC!$C$17:$E$93</definedName>
    <definedName name="BExCV9DSZVVQLP3JW3UARQLEIS0R" hidden="1">BS-Equity-[27]LC!$C$17:$E$93</definedName>
    <definedName name="BExCVPV92MIGQMLVCRE7NOA37NYY" localSheetId="18" hidden="1">BS-non Monetary-[27]LC!$D$6:$D$6</definedName>
    <definedName name="BExCVPV92MIGQMLVCRE7NOA37NYY" localSheetId="16" hidden="1">BS-non Monetary-[27]LC!$D$6:$D$6</definedName>
    <definedName name="BExCVPV92MIGQMLVCRE7NOA37NYY" localSheetId="21" hidden="1">BS-non Monetary-[27]LC!$D$6:$D$6</definedName>
    <definedName name="BExCVPV92MIGQMLVCRE7NOA37NYY" localSheetId="19" hidden="1">BS-non Monetary-[27]LC!$D$6:$D$6</definedName>
    <definedName name="BExCVPV92MIGQMLVCRE7NOA37NYY" localSheetId="17" hidden="1">BS-non Monetary-[27]LC!$D$6:$D$6</definedName>
    <definedName name="BExCVPV92MIGQMLVCRE7NOA37NYY" hidden="1">BS-non Monetary-[27]LC!$D$6:$D$6</definedName>
    <definedName name="BExCWWVGVYT7IV2TTVJGJSGTB98N" hidden="1">#N/A</definedName>
    <definedName name="BExCWYYZHIARB72FK3B7V8C7558Q" localSheetId="18" hidden="1">BS-non Monetary-[27]LC!$D$8:$D$8</definedName>
    <definedName name="BExCWYYZHIARB72FK3B7V8C7558Q" localSheetId="16" hidden="1">BS-non Monetary-[27]LC!$D$8:$D$8</definedName>
    <definedName name="BExCWYYZHIARB72FK3B7V8C7558Q" localSheetId="21" hidden="1">BS-non Monetary-[27]LC!$D$8:$D$8</definedName>
    <definedName name="BExCWYYZHIARB72FK3B7V8C7558Q" localSheetId="19" hidden="1">BS-non Monetary-[27]LC!$D$8:$D$8</definedName>
    <definedName name="BExCWYYZHIARB72FK3B7V8C7558Q" localSheetId="17" hidden="1">BS-non Monetary-[27]LC!$D$8:$D$8</definedName>
    <definedName name="BExCWYYZHIARB72FK3B7V8C7558Q" hidden="1">BS-non Monetary-[27]LC!$D$8:$D$8</definedName>
    <definedName name="BExCXUL80YH9SPJ6AL9PAN0F53IA" hidden="1">#N/A</definedName>
    <definedName name="BExCXZJBQKODPMBKNAVVADYEL7PD" localSheetId="18" hidden="1">BS-non Monetary-[27]LC!$D$7:$D$7</definedName>
    <definedName name="BExCXZJBQKODPMBKNAVVADYEL7PD" localSheetId="16" hidden="1">BS-non Monetary-[27]LC!$D$7:$D$7</definedName>
    <definedName name="BExCXZJBQKODPMBKNAVVADYEL7PD" localSheetId="21" hidden="1">BS-non Monetary-[27]LC!$D$7:$D$7</definedName>
    <definedName name="BExCXZJBQKODPMBKNAVVADYEL7PD" localSheetId="19" hidden="1">BS-non Monetary-[27]LC!$D$7:$D$7</definedName>
    <definedName name="BExCXZJBQKODPMBKNAVVADYEL7PD" localSheetId="17" hidden="1">BS-non Monetary-[27]LC!$D$7:$D$7</definedName>
    <definedName name="BExCXZJBQKODPMBKNAVVADYEL7PD" hidden="1">BS-non Monetary-[27]LC!$D$7:$D$7</definedName>
    <definedName name="BExCY5OFD6MRG6L59PXB9LXOMRD5" hidden="1">#N/A</definedName>
    <definedName name="BExCY6FHU82O0TT1TD7FJ2VT9VI3" localSheetId="18" hidden="1">BS-[29]Monetary!$C$13:$D$14</definedName>
    <definedName name="BExCY6FHU82O0TT1TD7FJ2VT9VI3" localSheetId="16" hidden="1">BS-[29]Monetary!$C$13:$D$14</definedName>
    <definedName name="BExCY6FHU82O0TT1TD7FJ2VT9VI3" localSheetId="21" hidden="1">BS-[29]Monetary!$C$13:$D$14</definedName>
    <definedName name="BExCY6FHU82O0TT1TD7FJ2VT9VI3" localSheetId="19" hidden="1">BS-[29]Monetary!$C$13:$D$14</definedName>
    <definedName name="BExCY6FHU82O0TT1TD7FJ2VT9VI3" localSheetId="17" hidden="1">BS-[29]Monetary!$C$13:$D$14</definedName>
    <definedName name="BExCY6FHU82O0TT1TD7FJ2VT9VI3" hidden="1">BS-[29]Monetary!$C$13:$D$14</definedName>
    <definedName name="BExCYLEYSVSSJWF1QMUQADFB1MU0" hidden="1">#N/A</definedName>
    <definedName name="BExCYM0EL5Q5TXUFWBIGH04TS0UP" localSheetId="18" hidden="1">BS-[29]Monetary!$D$7:$D$7</definedName>
    <definedName name="BExCYM0EL5Q5TXUFWBIGH04TS0UP" localSheetId="16" hidden="1">BS-[29]Monetary!$D$7:$D$7</definedName>
    <definedName name="BExCYM0EL5Q5TXUFWBIGH04TS0UP" localSheetId="21" hidden="1">BS-[29]Monetary!$D$7:$D$7</definedName>
    <definedName name="BExCYM0EL5Q5TXUFWBIGH04TS0UP" localSheetId="19" hidden="1">BS-[29]Monetary!$D$7:$D$7</definedName>
    <definedName name="BExCYM0EL5Q5TXUFWBIGH04TS0UP" localSheetId="17" hidden="1">BS-[29]Monetary!$D$7:$D$7</definedName>
    <definedName name="BExCYM0EL5Q5TXUFWBIGH04TS0UP" hidden="1">BS-[29]Monetary!$D$7:$D$7</definedName>
    <definedName name="BExCYWCPHLLNJAUQUP7EOZWMDBEF" localSheetId="18" hidden="1">BS-[29]Monetary!$D$7:$D$7</definedName>
    <definedName name="BExCYWCPHLLNJAUQUP7EOZWMDBEF" localSheetId="16" hidden="1">BS-[29]Monetary!$D$7:$D$7</definedName>
    <definedName name="BExCYWCPHLLNJAUQUP7EOZWMDBEF" localSheetId="21" hidden="1">BS-[29]Monetary!$D$7:$D$7</definedName>
    <definedName name="BExCYWCPHLLNJAUQUP7EOZWMDBEF" localSheetId="19" hidden="1">BS-[29]Monetary!$D$7:$D$7</definedName>
    <definedName name="BExCYWCPHLLNJAUQUP7EOZWMDBEF" localSheetId="17" hidden="1">BS-[29]Monetary!$D$7:$D$7</definedName>
    <definedName name="BExCYWCPHLLNJAUQUP7EOZWMDBEF" hidden="1">BS-[29]Monetary!$D$7:$D$7</definedName>
    <definedName name="BExCZYEUKJ3NK67IHX3LX6VCP8T6" localSheetId="18" hidden="1">BS Equity [30]Item!$C$23:$T$63</definedName>
    <definedName name="BExCZYEUKJ3NK67IHX3LX6VCP8T6" localSheetId="16" hidden="1">BS Equity [30]Item!$C$23:$T$63</definedName>
    <definedName name="BExCZYEUKJ3NK67IHX3LX6VCP8T6" localSheetId="21" hidden="1">BS Equity [30]Item!$C$23:$T$63</definedName>
    <definedName name="BExCZYEUKJ3NK67IHX3LX6VCP8T6" localSheetId="19" hidden="1">BS Equity [30]Item!$C$23:$T$63</definedName>
    <definedName name="BExCZYEUKJ3NK67IHX3LX6VCP8T6" localSheetId="17" hidden="1">BS Equity [30]Item!$C$23:$T$63</definedName>
    <definedName name="BExCZYEUKJ3NK67IHX3LX6VCP8T6" hidden="1">BS Equity [30]Item!$C$23:$T$63</definedName>
    <definedName name="BExD0CY8FUNNNJIH1QX5G3EJURBA" localSheetId="18" hidden="1">BS-non Monetary-[28]TC!$C$13:$D$14</definedName>
    <definedName name="BExD0CY8FUNNNJIH1QX5G3EJURBA" localSheetId="16" hidden="1">BS-non Monetary-[28]TC!$C$13:$D$14</definedName>
    <definedName name="BExD0CY8FUNNNJIH1QX5G3EJURBA" localSheetId="21" hidden="1">BS-non Monetary-[28]TC!$C$13:$D$14</definedName>
    <definedName name="BExD0CY8FUNNNJIH1QX5G3EJURBA" localSheetId="19" hidden="1">BS-non Monetary-[28]TC!$C$13:$D$14</definedName>
    <definedName name="BExD0CY8FUNNNJIH1QX5G3EJURBA" localSheetId="17" hidden="1">BS-non Monetary-[28]TC!$C$13:$D$14</definedName>
    <definedName name="BExD0CY8FUNNNJIH1QX5G3EJURBA" hidden="1">BS-non Monetary-[28]TC!$C$13:$D$14</definedName>
    <definedName name="BExD0SJ3VMS9455XS8GSHPLYZLZX" localSheetId="18" hidden="1">BS-non Monitory-[28]TC!$C$13:$D$15</definedName>
    <definedName name="BExD0SJ3VMS9455XS8GSHPLYZLZX" localSheetId="16" hidden="1">BS-non Monitory-[28]TC!$C$13:$D$15</definedName>
    <definedName name="BExD0SJ3VMS9455XS8GSHPLYZLZX" localSheetId="21" hidden="1">BS-non Monitory-[28]TC!$C$13:$D$15</definedName>
    <definedName name="BExD0SJ3VMS9455XS8GSHPLYZLZX" localSheetId="19" hidden="1">BS-non Monitory-[28]TC!$C$13:$D$15</definedName>
    <definedName name="BExD0SJ3VMS9455XS8GSHPLYZLZX" localSheetId="17" hidden="1">BS-non Monitory-[28]TC!$C$13:$D$15</definedName>
    <definedName name="BExD0SJ3VMS9455XS8GSHPLYZLZX" hidden="1">BS-non Monitory-[28]TC!$C$13:$D$15</definedName>
    <definedName name="BExD11TMC7G974WHXC60VTAU5UOJ" hidden="1">#N/A</definedName>
    <definedName name="BExD1KK175566PDWHFSVQS1WL1X5" localSheetId="18" hidden="1">Trial [32]Balance!$D$8:$D$8</definedName>
    <definedName name="BExD1KK175566PDWHFSVQS1WL1X5" localSheetId="16" hidden="1">Trial [32]Balance!$D$8:$D$8</definedName>
    <definedName name="BExD1KK175566PDWHFSVQS1WL1X5" localSheetId="21" hidden="1">Trial [32]Balance!$D$8:$D$8</definedName>
    <definedName name="BExD1KK175566PDWHFSVQS1WL1X5" localSheetId="19" hidden="1">Trial [32]Balance!$D$8:$D$8</definedName>
    <definedName name="BExD1KK175566PDWHFSVQS1WL1X5" localSheetId="17" hidden="1">Trial [32]Balance!$D$8:$D$8</definedName>
    <definedName name="BExD1KK175566PDWHFSVQS1WL1X5" hidden="1">Trial [32]Balance!$D$8:$D$8</definedName>
    <definedName name="BExD1SY4HJ0WH4OF2K6ELBMD9JNF" hidden="1">#N/A</definedName>
    <definedName name="BExD2IF3U6LM3NVULRQ0HY91LE7S" hidden="1">#N/A</definedName>
    <definedName name="BExD2LPS4DCFSKKQH9XHB8EPNYNB" localSheetId="18" hidden="1">BS Equity [30]Item!$D$7:$D$7</definedName>
    <definedName name="BExD2LPS4DCFSKKQH9XHB8EPNYNB" localSheetId="16" hidden="1">BS Equity [30]Item!$D$7:$D$7</definedName>
    <definedName name="BExD2LPS4DCFSKKQH9XHB8EPNYNB" localSheetId="21" hidden="1">BS Equity [30]Item!$D$7:$D$7</definedName>
    <definedName name="BExD2LPS4DCFSKKQH9XHB8EPNYNB" localSheetId="19" hidden="1">BS Equity [30]Item!$D$7:$D$7</definedName>
    <definedName name="BExD2LPS4DCFSKKQH9XHB8EPNYNB" localSheetId="17" hidden="1">BS Equity [30]Item!$D$7:$D$7</definedName>
    <definedName name="BExD2LPS4DCFSKKQH9XHB8EPNYNB" hidden="1">BS Equity [30]Item!$D$7:$D$7</definedName>
    <definedName name="BExD2NTC1HSCW10RXV39QCAQS2Z5" localSheetId="18" hidden="1">BS-non Monetary-[28]TC!$C$17:$F$663</definedName>
    <definedName name="BExD2NTC1HSCW10RXV39QCAQS2Z5" localSheetId="16" hidden="1">BS-non Monetary-[28]TC!$C$17:$F$663</definedName>
    <definedName name="BExD2NTC1HSCW10RXV39QCAQS2Z5" localSheetId="21" hidden="1">BS-non Monetary-[28]TC!$C$17:$F$663</definedName>
    <definedName name="BExD2NTC1HSCW10RXV39QCAQS2Z5" localSheetId="19" hidden="1">BS-non Monetary-[28]TC!$C$17:$F$663</definedName>
    <definedName name="BExD2NTC1HSCW10RXV39QCAQS2Z5" localSheetId="17" hidden="1">BS-non Monetary-[28]TC!$C$17:$F$663</definedName>
    <definedName name="BExD2NTC1HSCW10RXV39QCAQS2Z5" hidden="1">BS-non Monetary-[28]TC!$C$17:$F$663</definedName>
    <definedName name="BExD2PM28II2H5FN62JU85C70UEU" localSheetId="18" hidden="1">BS-[29]Monetary!$C$17:$I$192</definedName>
    <definedName name="BExD2PM28II2H5FN62JU85C70UEU" localSheetId="16" hidden="1">BS-[29]Monetary!$C$17:$I$192</definedName>
    <definedName name="BExD2PM28II2H5FN62JU85C70UEU" localSheetId="21" hidden="1">BS-[29]Monetary!$C$17:$I$192</definedName>
    <definedName name="BExD2PM28II2H5FN62JU85C70UEU" localSheetId="19" hidden="1">BS-[29]Monetary!$C$17:$I$192</definedName>
    <definedName name="BExD2PM28II2H5FN62JU85C70UEU" localSheetId="17" hidden="1">BS-[29]Monetary!$C$17:$I$192</definedName>
    <definedName name="BExD2PM28II2H5FN62JU85C70UEU" hidden="1">BS-[29]Monetary!$C$17:$I$192</definedName>
    <definedName name="BExD34R0UJ2ZB3R091R58SCGVLY3" localSheetId="18" hidden="1">BS-non Monetary-[27]LC!$D$7:$D$7</definedName>
    <definedName name="BExD34R0UJ2ZB3R091R58SCGVLY3" localSheetId="16" hidden="1">BS-non Monetary-[27]LC!$D$7:$D$7</definedName>
    <definedName name="BExD34R0UJ2ZB3R091R58SCGVLY3" localSheetId="21" hidden="1">BS-non Monetary-[27]LC!$D$7:$D$7</definedName>
    <definedName name="BExD34R0UJ2ZB3R091R58SCGVLY3" localSheetId="19" hidden="1">BS-non Monetary-[27]LC!$D$7:$D$7</definedName>
    <definedName name="BExD34R0UJ2ZB3R091R58SCGVLY3" localSheetId="17" hidden="1">BS-non Monetary-[27]LC!$D$7:$D$7</definedName>
    <definedName name="BExD34R0UJ2ZB3R091R58SCGVLY3" hidden="1">BS-non Monetary-[27]LC!$D$7:$D$7</definedName>
    <definedName name="BExD3MA49DRGNYD7ATUJ27MUFLJB" hidden="1">#N/A</definedName>
    <definedName name="BExD3MA4T84AA8L2Q54YM4VDECQ3" localSheetId="18" hidden="1">BS-[34]Monitory!$C$17:$F$760</definedName>
    <definedName name="BExD3MA4T84AA8L2Q54YM4VDECQ3" localSheetId="16" hidden="1">BS-[34]Monitory!$C$17:$F$760</definedName>
    <definedName name="BExD3MA4T84AA8L2Q54YM4VDECQ3" localSheetId="21" hidden="1">BS-[34]Monitory!$C$17:$F$760</definedName>
    <definedName name="BExD3MA4T84AA8L2Q54YM4VDECQ3" localSheetId="19" hidden="1">BS-[34]Monitory!$C$17:$F$760</definedName>
    <definedName name="BExD3MA4T84AA8L2Q54YM4VDECQ3" localSheetId="17" hidden="1">BS-[34]Monitory!$C$17:$F$760</definedName>
    <definedName name="BExD3MA4T84AA8L2Q54YM4VDECQ3" hidden="1">BS-[34]Monitory!$C$17:$F$760</definedName>
    <definedName name="BExD3SVIR3P28GY02GJ3ZAKUQM3Q" localSheetId="18" hidden="1">Balance [33]Sheet!$D$8:$D$8</definedName>
    <definedName name="BExD3SVIR3P28GY02GJ3ZAKUQM3Q" localSheetId="16" hidden="1">Balance [33]Sheet!$D$8:$D$8</definedName>
    <definedName name="BExD3SVIR3P28GY02GJ3ZAKUQM3Q" localSheetId="21" hidden="1">Balance [33]Sheet!$D$8:$D$8</definedName>
    <definedName name="BExD3SVIR3P28GY02GJ3ZAKUQM3Q" localSheetId="19" hidden="1">Balance [33]Sheet!$D$8:$D$8</definedName>
    <definedName name="BExD3SVIR3P28GY02GJ3ZAKUQM3Q" localSheetId="17" hidden="1">Balance [33]Sheet!$D$8:$D$8</definedName>
    <definedName name="BExD3SVIR3P28GY02GJ3ZAKUQM3Q" hidden="1">Balance [33]Sheet!$D$8:$D$8</definedName>
    <definedName name="BExD41POCG4G30PKB3P8XUV1VG2V" localSheetId="18" hidden="1">BS-non Monetary-[28]TC!$C$13:$D$14</definedName>
    <definedName name="BExD41POCG4G30PKB3P8XUV1VG2V" localSheetId="16" hidden="1">BS-non Monetary-[28]TC!$C$13:$D$14</definedName>
    <definedName name="BExD41POCG4G30PKB3P8XUV1VG2V" localSheetId="21" hidden="1">BS-non Monetary-[28]TC!$C$13:$D$14</definedName>
    <definedName name="BExD41POCG4G30PKB3P8XUV1VG2V" localSheetId="19" hidden="1">BS-non Monetary-[28]TC!$C$13:$D$14</definedName>
    <definedName name="BExD41POCG4G30PKB3P8XUV1VG2V" localSheetId="17" hidden="1">BS-non Monetary-[28]TC!$C$13:$D$14</definedName>
    <definedName name="BExD41POCG4G30PKB3P8XUV1VG2V" hidden="1">BS-non Monetary-[28]TC!$C$13:$D$14</definedName>
    <definedName name="BExD479FPIV5434YHMJZ5CCUN3OU" localSheetId="18" hidden="1">BS-non Monetary-[27]LC!$D$7:$D$7</definedName>
    <definedName name="BExD479FPIV5434YHMJZ5CCUN3OU" localSheetId="16" hidden="1">BS-non Monetary-[27]LC!$D$7:$D$7</definedName>
    <definedName name="BExD479FPIV5434YHMJZ5CCUN3OU" localSheetId="21" hidden="1">BS-non Monetary-[27]LC!$D$7:$D$7</definedName>
    <definedName name="BExD479FPIV5434YHMJZ5CCUN3OU" localSheetId="19" hidden="1">BS-non Monetary-[27]LC!$D$7:$D$7</definedName>
    <definedName name="BExD479FPIV5434YHMJZ5CCUN3OU" localSheetId="17" hidden="1">BS-non Monetary-[27]LC!$D$7:$D$7</definedName>
    <definedName name="BExD479FPIV5434YHMJZ5CCUN3OU" hidden="1">BS-non Monetary-[27]LC!$D$7:$D$7</definedName>
    <definedName name="BExD4FCPYK2NFYT1TRXNIX3D7I7K" localSheetId="18" hidden="1">BS-[29]Monetary!$D$8:$D$8</definedName>
    <definedName name="BExD4FCPYK2NFYT1TRXNIX3D7I7K" localSheetId="16" hidden="1">BS-[29]Monetary!$D$8:$D$8</definedName>
    <definedName name="BExD4FCPYK2NFYT1TRXNIX3D7I7K" localSheetId="21" hidden="1">BS-[29]Monetary!$D$8:$D$8</definedName>
    <definedName name="BExD4FCPYK2NFYT1TRXNIX3D7I7K" localSheetId="19" hidden="1">BS-[29]Monetary!$D$8:$D$8</definedName>
    <definedName name="BExD4FCPYK2NFYT1TRXNIX3D7I7K" localSheetId="17" hidden="1">BS-[29]Monetary!$D$8:$D$8</definedName>
    <definedName name="BExD4FCPYK2NFYT1TRXNIX3D7I7K" hidden="1">BS-[29]Monetary!$D$8:$D$8</definedName>
    <definedName name="BExD51Z8H8FNA5YCENNARQX9QFYO" hidden="1">#N/A</definedName>
    <definedName name="BExD5QK13KWZWPNMDPLPPK0XKPQ5" hidden="1">#N/A</definedName>
    <definedName name="BExD5XG6IHB3U3F31V2QBIT80Q6L" localSheetId="18" hidden="1">BS-[29]Monetary!$D$7:$D$7</definedName>
    <definedName name="BExD5XG6IHB3U3F31V2QBIT80Q6L" localSheetId="16" hidden="1">BS-[29]Monetary!$D$7:$D$7</definedName>
    <definedName name="BExD5XG6IHB3U3F31V2QBIT80Q6L" localSheetId="21" hidden="1">BS-[29]Monetary!$D$7:$D$7</definedName>
    <definedName name="BExD5XG6IHB3U3F31V2QBIT80Q6L" localSheetId="19" hidden="1">BS-[29]Monetary!$D$7:$D$7</definedName>
    <definedName name="BExD5XG6IHB3U3F31V2QBIT80Q6L" localSheetId="17" hidden="1">BS-[29]Monetary!$D$7:$D$7</definedName>
    <definedName name="BExD5XG6IHB3U3F31V2QBIT80Q6L" hidden="1">BS-[29]Monetary!$D$7:$D$7</definedName>
    <definedName name="BExD6SMBHB2BNCN96SV00A29ENMI" hidden="1">#N/A</definedName>
    <definedName name="BExD7OZEVSCE94HGFDNO2DMBEZWG" localSheetId="18" hidden="1">BS-non Monetary-[27]LC!$D$7:$D$7</definedName>
    <definedName name="BExD7OZEVSCE94HGFDNO2DMBEZWG" localSheetId="16" hidden="1">BS-non Monetary-[27]LC!$D$7:$D$7</definedName>
    <definedName name="BExD7OZEVSCE94HGFDNO2DMBEZWG" localSheetId="21" hidden="1">BS-non Monetary-[27]LC!$D$7:$D$7</definedName>
    <definedName name="BExD7OZEVSCE94HGFDNO2DMBEZWG" localSheetId="19" hidden="1">BS-non Monetary-[27]LC!$D$7:$D$7</definedName>
    <definedName name="BExD7OZEVSCE94HGFDNO2DMBEZWG" localSheetId="17" hidden="1">BS-non Monetary-[27]LC!$D$7:$D$7</definedName>
    <definedName name="BExD7OZEVSCE94HGFDNO2DMBEZWG" hidden="1">BS-non Monetary-[27]LC!$D$7:$D$7</definedName>
    <definedName name="BExD7UZ7R8ECF7TWJYHT4A37BB8O" hidden="1">#N/A</definedName>
    <definedName name="BExD85BJGH7ZPLDGRFLL78VMUZCL" localSheetId="18" hidden="1">TB BS Monetary [30]Item!$D$7:$D$7</definedName>
    <definedName name="BExD85BJGH7ZPLDGRFLL78VMUZCL" localSheetId="16" hidden="1">TB BS Monetary [30]Item!$D$7:$D$7</definedName>
    <definedName name="BExD85BJGH7ZPLDGRFLL78VMUZCL" localSheetId="21" hidden="1">TB BS Monetary [30]Item!$D$7:$D$7</definedName>
    <definedName name="BExD85BJGH7ZPLDGRFLL78VMUZCL" localSheetId="19" hidden="1">TB BS Monetary [30]Item!$D$7:$D$7</definedName>
    <definedName name="BExD85BJGH7ZPLDGRFLL78VMUZCL" localSheetId="17" hidden="1">TB BS Monetary [30]Item!$D$7:$D$7</definedName>
    <definedName name="BExD85BJGH7ZPLDGRFLL78VMUZCL" hidden="1">TB BS Monetary [30]Item!$D$7:$D$7</definedName>
    <definedName name="BExD862FVU568QEGFXXGOJGYFPHJ" localSheetId="18" hidden="1">Balance [33]Sheet!$C$13:$D$15</definedName>
    <definedName name="BExD862FVU568QEGFXXGOJGYFPHJ" localSheetId="16" hidden="1">Balance [33]Sheet!$C$13:$D$15</definedName>
    <definedName name="BExD862FVU568QEGFXXGOJGYFPHJ" localSheetId="21" hidden="1">Balance [33]Sheet!$C$13:$D$15</definedName>
    <definedName name="BExD862FVU568QEGFXXGOJGYFPHJ" localSheetId="19" hidden="1">Balance [33]Sheet!$C$13:$D$15</definedName>
    <definedName name="BExD862FVU568QEGFXXGOJGYFPHJ" localSheetId="17" hidden="1">Balance [33]Sheet!$C$13:$D$15</definedName>
    <definedName name="BExD862FVU568QEGFXXGOJGYFPHJ" hidden="1">Balance [33]Sheet!$C$13:$D$15</definedName>
    <definedName name="BExD8M3LC7S0ZTW0GNFM2DKT5431" localSheetId="18" hidden="1">BS-non Monetary-[28]TC!$D$7:$D$7</definedName>
    <definedName name="BExD8M3LC7S0ZTW0GNFM2DKT5431" localSheetId="16" hidden="1">BS-non Monetary-[28]TC!$D$7:$D$7</definedName>
    <definedName name="BExD8M3LC7S0ZTW0GNFM2DKT5431" localSheetId="21" hidden="1">BS-non Monetary-[28]TC!$D$7:$D$7</definedName>
    <definedName name="BExD8M3LC7S0ZTW0GNFM2DKT5431" localSheetId="19" hidden="1">BS-non Monetary-[28]TC!$D$7:$D$7</definedName>
    <definedName name="BExD8M3LC7S0ZTW0GNFM2DKT5431" localSheetId="17" hidden="1">BS-non Monetary-[28]TC!$D$7:$D$7</definedName>
    <definedName name="BExD8M3LC7S0ZTW0GNFM2DKT5431" hidden="1">BS-non Monetary-[28]TC!$D$7:$D$7</definedName>
    <definedName name="BExD8WFW6Y6WQC509UWWHTFLPGH5" localSheetId="18" hidden="1">BS-non Monetary-[27]LC!$D$8:$D$8</definedName>
    <definedName name="BExD8WFW6Y6WQC509UWWHTFLPGH5" localSheetId="16" hidden="1">BS-non Monetary-[27]LC!$D$8:$D$8</definedName>
    <definedName name="BExD8WFW6Y6WQC509UWWHTFLPGH5" localSheetId="21" hidden="1">BS-non Monetary-[27]LC!$D$8:$D$8</definedName>
    <definedName name="BExD8WFW6Y6WQC509UWWHTFLPGH5" localSheetId="19" hidden="1">BS-non Monetary-[27]LC!$D$8:$D$8</definedName>
    <definedName name="BExD8WFW6Y6WQC509UWWHTFLPGH5" localSheetId="17" hidden="1">BS-non Monetary-[27]LC!$D$8:$D$8</definedName>
    <definedName name="BExD8WFW6Y6WQC509UWWHTFLPGH5" hidden="1">BS-non Monetary-[27]LC!$D$8:$D$8</definedName>
    <definedName name="BExD9PYLV1J7VGQ4G5PL0F4NNXK4" hidden="1">#N/A</definedName>
    <definedName name="BExDAACB05QKX061YJR72BFRCYHN" hidden="1">#N/A</definedName>
    <definedName name="BExDAP6BXPMSQOE0DKQJKUA8DLYJ" hidden="1">#N/A</definedName>
    <definedName name="BExDATYWW2KFXC11M125RX8XTXP6" localSheetId="18" hidden="1">BS-non Monetary-[27]LC!$D$6:$D$6</definedName>
    <definedName name="BExDATYWW2KFXC11M125RX8XTXP6" localSheetId="16" hidden="1">BS-non Monetary-[27]LC!$D$6:$D$6</definedName>
    <definedName name="BExDATYWW2KFXC11M125RX8XTXP6" localSheetId="21" hidden="1">BS-non Monetary-[27]LC!$D$6:$D$6</definedName>
    <definedName name="BExDATYWW2KFXC11M125RX8XTXP6" localSheetId="19" hidden="1">BS-non Monetary-[27]LC!$D$6:$D$6</definedName>
    <definedName name="BExDATYWW2KFXC11M125RX8XTXP6" localSheetId="17" hidden="1">BS-non Monetary-[27]LC!$D$6:$D$6</definedName>
    <definedName name="BExDATYWW2KFXC11M125RX8XTXP6" hidden="1">BS-non Monetary-[27]LC!$D$6:$D$6</definedName>
    <definedName name="BExEO6TOLQU8ANMWWZAUJO0NSHV0" localSheetId="18" hidden="1">BS-Equity-[28]TC!$C$13:$D$14</definedName>
    <definedName name="BExEO6TOLQU8ANMWWZAUJO0NSHV0" localSheetId="16" hidden="1">BS-Equity-[28]TC!$C$13:$D$14</definedName>
    <definedName name="BExEO6TOLQU8ANMWWZAUJO0NSHV0" localSheetId="21" hidden="1">BS-Equity-[28]TC!$C$13:$D$14</definedName>
    <definedName name="BExEO6TOLQU8ANMWWZAUJO0NSHV0" localSheetId="19" hidden="1">BS-Equity-[28]TC!$C$13:$D$14</definedName>
    <definedName name="BExEO6TOLQU8ANMWWZAUJO0NSHV0" localSheetId="17" hidden="1">BS-Equity-[28]TC!$C$13:$D$14</definedName>
    <definedName name="BExEO6TOLQU8ANMWWZAUJO0NSHV0" hidden="1">BS-Equity-[28]TC!$C$13:$D$14</definedName>
    <definedName name="BExEOV3MYSBF5QLBUFL3GMB8VO83" hidden="1">#N/A</definedName>
    <definedName name="BExEOYP4DQNK1DGYBPGOPRAAVF7T" localSheetId="18" hidden="1">BS-non Monetary-[28]TC!$D$6:$D$6</definedName>
    <definedName name="BExEOYP4DQNK1DGYBPGOPRAAVF7T" localSheetId="16" hidden="1">BS-non Monetary-[28]TC!$D$6:$D$6</definedName>
    <definedName name="BExEOYP4DQNK1DGYBPGOPRAAVF7T" localSheetId="21" hidden="1">BS-non Monetary-[28]TC!$D$6:$D$6</definedName>
    <definedName name="BExEOYP4DQNK1DGYBPGOPRAAVF7T" localSheetId="19" hidden="1">BS-non Monetary-[28]TC!$D$6:$D$6</definedName>
    <definedName name="BExEOYP4DQNK1DGYBPGOPRAAVF7T" localSheetId="17" hidden="1">BS-non Monetary-[28]TC!$D$6:$D$6</definedName>
    <definedName name="BExEOYP4DQNK1DGYBPGOPRAAVF7T" hidden="1">BS-non Monetary-[28]TC!$D$6:$D$6</definedName>
    <definedName name="BExEP9HK8QB4H2QG69I7UPXIRD0I" localSheetId="18" hidden="1">BS-non Monetary-[27]LC!$D$6:$D$6</definedName>
    <definedName name="BExEP9HK8QB4H2QG69I7UPXIRD0I" localSheetId="16" hidden="1">BS-non Monetary-[27]LC!$D$6:$D$6</definedName>
    <definedName name="BExEP9HK8QB4H2QG69I7UPXIRD0I" localSheetId="21" hidden="1">BS-non Monetary-[27]LC!$D$6:$D$6</definedName>
    <definedName name="BExEP9HK8QB4H2QG69I7UPXIRD0I" localSheetId="19" hidden="1">BS-non Monetary-[27]LC!$D$6:$D$6</definedName>
    <definedName name="BExEP9HK8QB4H2QG69I7UPXIRD0I" localSheetId="17" hidden="1">BS-non Monetary-[27]LC!$D$6:$D$6</definedName>
    <definedName name="BExEP9HK8QB4H2QG69I7UPXIRD0I" hidden="1">BS-non Monetary-[27]LC!$D$6:$D$6</definedName>
    <definedName name="BExEQSS43Y9LSBOEG8YSNJWQBJ9R" hidden="1">#N/A</definedName>
    <definedName name="BExEQVBXAD0P53GKIAMIUB3GGMB9" localSheetId="18" hidden="1">BS-non Monetary-[27]LC!$D$7:$D$7</definedName>
    <definedName name="BExEQVBXAD0P53GKIAMIUB3GGMB9" localSheetId="16" hidden="1">BS-non Monetary-[27]LC!$D$7:$D$7</definedName>
    <definedName name="BExEQVBXAD0P53GKIAMIUB3GGMB9" localSheetId="21" hidden="1">BS-non Monetary-[27]LC!$D$7:$D$7</definedName>
    <definedName name="BExEQVBXAD0P53GKIAMIUB3GGMB9" localSheetId="19" hidden="1">BS-non Monetary-[27]LC!$D$7:$D$7</definedName>
    <definedName name="BExEQVBXAD0P53GKIAMIUB3GGMB9" localSheetId="17" hidden="1">BS-non Monetary-[27]LC!$D$7:$D$7</definedName>
    <definedName name="BExEQVBXAD0P53GKIAMIUB3GGMB9" hidden="1">BS-non Monetary-[27]LC!$D$7:$D$7</definedName>
    <definedName name="BExER10SWPFZGIBEI2CJZNCEWRBB" localSheetId="18" hidden="1">BS-non Monetary-[28]TC!$D$6:$D$6</definedName>
    <definedName name="BExER10SWPFZGIBEI2CJZNCEWRBB" localSheetId="16" hidden="1">BS-non Monetary-[28]TC!$D$6:$D$6</definedName>
    <definedName name="BExER10SWPFZGIBEI2CJZNCEWRBB" localSheetId="21" hidden="1">BS-non Monetary-[28]TC!$D$6:$D$6</definedName>
    <definedName name="BExER10SWPFZGIBEI2CJZNCEWRBB" localSheetId="19" hidden="1">BS-non Monetary-[28]TC!$D$6:$D$6</definedName>
    <definedName name="BExER10SWPFZGIBEI2CJZNCEWRBB" localSheetId="17" hidden="1">BS-non Monetary-[28]TC!$D$6:$D$6</definedName>
    <definedName name="BExER10SWPFZGIBEI2CJZNCEWRBB" hidden="1">BS-non Monetary-[28]TC!$D$6:$D$6</definedName>
    <definedName name="BExES3DUWKQFK4YEM14TVU93OW77" localSheetId="18" hidden="1">BS-non Monetary-[27]LC!$D$7:$D$7</definedName>
    <definedName name="BExES3DUWKQFK4YEM14TVU93OW77" localSheetId="16" hidden="1">BS-non Monetary-[27]LC!$D$7:$D$7</definedName>
    <definedName name="BExES3DUWKQFK4YEM14TVU93OW77" localSheetId="21" hidden="1">BS-non Monetary-[27]LC!$D$7:$D$7</definedName>
    <definedName name="BExES3DUWKQFK4YEM14TVU93OW77" localSheetId="19" hidden="1">BS-non Monetary-[27]LC!$D$7:$D$7</definedName>
    <definedName name="BExES3DUWKQFK4YEM14TVU93OW77" localSheetId="17" hidden="1">BS-non Monetary-[27]LC!$D$7:$D$7</definedName>
    <definedName name="BExES3DUWKQFK4YEM14TVU93OW77" hidden="1">BS-non Monetary-[27]LC!$D$7:$D$7</definedName>
    <definedName name="BExES56LF48TPIYT7FCI07TXEDGP" localSheetId="18" hidden="1">BS-[29]Monetary!$C$13:$D$14</definedName>
    <definedName name="BExES56LF48TPIYT7FCI07TXEDGP" localSheetId="16" hidden="1">BS-[29]Monetary!$C$13:$D$14</definedName>
    <definedName name="BExES56LF48TPIYT7FCI07TXEDGP" localSheetId="21" hidden="1">BS-[29]Monetary!$C$13:$D$14</definedName>
    <definedName name="BExES56LF48TPIYT7FCI07TXEDGP" localSheetId="19" hidden="1">BS-[29]Monetary!$C$13:$D$14</definedName>
    <definedName name="BExES56LF48TPIYT7FCI07TXEDGP" localSheetId="17" hidden="1">BS-[29]Monetary!$C$13:$D$14</definedName>
    <definedName name="BExES56LF48TPIYT7FCI07TXEDGP" hidden="1">BS-[29]Monetary!$C$13:$D$14</definedName>
    <definedName name="BExESDF8VV3TTJBBKTBKLGONTDJ4" hidden="1">#N/A</definedName>
    <definedName name="BExESDVIJG2DTKABJ74XFWCE5A7Z" localSheetId="18" hidden="1">BS-non Monetary-[27]LC!$C$17:$K$662</definedName>
    <definedName name="BExESDVIJG2DTKABJ74XFWCE5A7Z" localSheetId="16" hidden="1">BS-non Monetary-[27]LC!$C$17:$K$662</definedName>
    <definedName name="BExESDVIJG2DTKABJ74XFWCE5A7Z" localSheetId="21" hidden="1">BS-non Monetary-[27]LC!$C$17:$K$662</definedName>
    <definedName name="BExESDVIJG2DTKABJ74XFWCE5A7Z" localSheetId="19" hidden="1">BS-non Monetary-[27]LC!$C$17:$K$662</definedName>
    <definedName name="BExESDVIJG2DTKABJ74XFWCE5A7Z" localSheetId="17" hidden="1">BS-non Monetary-[27]LC!$C$17:$K$662</definedName>
    <definedName name="BExESDVIJG2DTKABJ74XFWCE5A7Z" hidden="1">BS-non Monetary-[27]LC!$C$17:$K$662</definedName>
    <definedName name="BExESFO8G834NVIKU0PW3PSY7JLI" hidden="1">#N/A</definedName>
    <definedName name="BExEU0M3SQ5ZMU9NCL0GO3LT1KP9" localSheetId="18" hidden="1">TB BS Monetary [30]Item!$D$6:$D$6</definedName>
    <definedName name="BExEU0M3SQ5ZMU9NCL0GO3LT1KP9" localSheetId="16" hidden="1">TB BS Monetary [30]Item!$D$6:$D$6</definedName>
    <definedName name="BExEU0M3SQ5ZMU9NCL0GO3LT1KP9" localSheetId="21" hidden="1">TB BS Monetary [30]Item!$D$6:$D$6</definedName>
    <definedName name="BExEU0M3SQ5ZMU9NCL0GO3LT1KP9" localSheetId="19" hidden="1">TB BS Monetary [30]Item!$D$6:$D$6</definedName>
    <definedName name="BExEU0M3SQ5ZMU9NCL0GO3LT1KP9" localSheetId="17" hidden="1">TB BS Monetary [30]Item!$D$6:$D$6</definedName>
    <definedName name="BExEU0M3SQ5ZMU9NCL0GO3LT1KP9" hidden="1">TB BS Monetary [30]Item!$D$6:$D$6</definedName>
    <definedName name="BExEUTOP7NRZ0C5CB8B1QW2M8YXX" localSheetId="18" hidden="1">BS-[34]Monitory!$C$17:$F$760</definedName>
    <definedName name="BExEUTOP7NRZ0C5CB8B1QW2M8YXX" localSheetId="16" hidden="1">BS-[34]Monitory!$C$17:$F$760</definedName>
    <definedName name="BExEUTOP7NRZ0C5CB8B1QW2M8YXX" localSheetId="21" hidden="1">BS-[34]Monitory!$C$17:$F$760</definedName>
    <definedName name="BExEUTOP7NRZ0C5CB8B1QW2M8YXX" localSheetId="19" hidden="1">BS-[34]Monitory!$C$17:$F$760</definedName>
    <definedName name="BExEUTOP7NRZ0C5CB8B1QW2M8YXX" localSheetId="17" hidden="1">BS-[34]Monitory!$C$17:$F$760</definedName>
    <definedName name="BExEUTOP7NRZ0C5CB8B1QW2M8YXX" hidden="1">BS-[34]Monitory!$C$17:$F$760</definedName>
    <definedName name="BExEVMB1U5VUGQDT9387DRHS0SHY" localSheetId="18" hidden="1">BS-non Monetary-[27]LC!$C$13:$D$14</definedName>
    <definedName name="BExEVMB1U5VUGQDT9387DRHS0SHY" localSheetId="16" hidden="1">BS-non Monetary-[27]LC!$C$13:$D$14</definedName>
    <definedName name="BExEVMB1U5VUGQDT9387DRHS0SHY" localSheetId="21" hidden="1">BS-non Monetary-[27]LC!$C$13:$D$14</definedName>
    <definedName name="BExEVMB1U5VUGQDT9387DRHS0SHY" localSheetId="19" hidden="1">BS-non Monetary-[27]LC!$C$13:$D$14</definedName>
    <definedName name="BExEVMB1U5VUGQDT9387DRHS0SHY" localSheetId="17" hidden="1">BS-non Monetary-[27]LC!$C$13:$D$14</definedName>
    <definedName name="BExEVMB1U5VUGQDT9387DRHS0SHY" hidden="1">BS-non Monetary-[27]LC!$C$13:$D$14</definedName>
    <definedName name="BExEVZY1T646XUXV2IZKDBRZOXSI" localSheetId="18" hidden="1">BS-non Monetary-[27]LC!$D$6:$D$6</definedName>
    <definedName name="BExEVZY1T646XUXV2IZKDBRZOXSI" localSheetId="16" hidden="1">BS-non Monetary-[27]LC!$D$6:$D$6</definedName>
    <definedName name="BExEVZY1T646XUXV2IZKDBRZOXSI" localSheetId="21" hidden="1">BS-non Monetary-[27]LC!$D$6:$D$6</definedName>
    <definedName name="BExEVZY1T646XUXV2IZKDBRZOXSI" localSheetId="19" hidden="1">BS-non Monetary-[27]LC!$D$6:$D$6</definedName>
    <definedName name="BExEVZY1T646XUXV2IZKDBRZOXSI" localSheetId="17" hidden="1">BS-non Monetary-[27]LC!$D$6:$D$6</definedName>
    <definedName name="BExEVZY1T646XUXV2IZKDBRZOXSI" hidden="1">BS-non Monetary-[27]LC!$D$6:$D$6</definedName>
    <definedName name="BExEWFOFJZOL54SOGW9DDAN418BW" localSheetId="18" hidden="1">BS-[29]Monetary!$D$7:$D$7</definedName>
    <definedName name="BExEWFOFJZOL54SOGW9DDAN418BW" localSheetId="16" hidden="1">BS-[29]Monetary!$D$7:$D$7</definedName>
    <definedName name="BExEWFOFJZOL54SOGW9DDAN418BW" localSheetId="21" hidden="1">BS-[29]Monetary!$D$7:$D$7</definedName>
    <definedName name="BExEWFOFJZOL54SOGW9DDAN418BW" localSheetId="19" hidden="1">BS-[29]Monetary!$D$7:$D$7</definedName>
    <definedName name="BExEWFOFJZOL54SOGW9DDAN418BW" localSheetId="17" hidden="1">BS-[29]Monetary!$D$7:$D$7</definedName>
    <definedName name="BExEWFOFJZOL54SOGW9DDAN418BW" hidden="1">BS-[29]Monetary!$D$7:$D$7</definedName>
    <definedName name="BExEWGKRI3UP3XZZC4LCMWVAFY3F" localSheetId="18" hidden="1">BS-non Monetary-[27]LC!$C$17:$G$662</definedName>
    <definedName name="BExEWGKRI3UP3XZZC4LCMWVAFY3F" localSheetId="16" hidden="1">BS-non Monetary-[27]LC!$C$17:$G$662</definedName>
    <definedName name="BExEWGKRI3UP3XZZC4LCMWVAFY3F" localSheetId="21" hidden="1">BS-non Monetary-[27]LC!$C$17:$G$662</definedName>
    <definedName name="BExEWGKRI3UP3XZZC4LCMWVAFY3F" localSheetId="19" hidden="1">BS-non Monetary-[27]LC!$C$17:$G$662</definedName>
    <definedName name="BExEWGKRI3UP3XZZC4LCMWVAFY3F" localSheetId="17" hidden="1">BS-non Monetary-[27]LC!$C$17:$G$662</definedName>
    <definedName name="BExEWGKRI3UP3XZZC4LCMWVAFY3F" hidden="1">BS-non Monetary-[27]LC!$C$17:$G$662</definedName>
    <definedName name="BExEX4P98X1QB7T7L4XBUG2XPXWX" localSheetId="18" hidden="1">BS-Equity-[27]LC!$D$6:$D$6</definedName>
    <definedName name="BExEX4P98X1QB7T7L4XBUG2XPXWX" localSheetId="16" hidden="1">BS-Equity-[27]LC!$D$6:$D$6</definedName>
    <definedName name="BExEX4P98X1QB7T7L4XBUG2XPXWX" localSheetId="21" hidden="1">BS-Equity-[27]LC!$D$6:$D$6</definedName>
    <definedName name="BExEX4P98X1QB7T7L4XBUG2XPXWX" localSheetId="19" hidden="1">BS-Equity-[27]LC!$D$6:$D$6</definedName>
    <definedName name="BExEX4P98X1QB7T7L4XBUG2XPXWX" localSheetId="17" hidden="1">BS-Equity-[27]LC!$D$6:$D$6</definedName>
    <definedName name="BExEX4P98X1QB7T7L4XBUG2XPXWX" hidden="1">BS-Equity-[27]LC!$D$6:$D$6</definedName>
    <definedName name="BExEX7UMW7JGTN9FCK5XMPVS9353" localSheetId="18" hidden="1">BS-[29]Monetary!$D$7:$D$7</definedName>
    <definedName name="BExEX7UMW7JGTN9FCK5XMPVS9353" localSheetId="16" hidden="1">BS-[29]Monetary!$D$7:$D$7</definedName>
    <definedName name="BExEX7UMW7JGTN9FCK5XMPVS9353" localSheetId="21" hidden="1">BS-[29]Monetary!$D$7:$D$7</definedName>
    <definedName name="BExEX7UMW7JGTN9FCK5XMPVS9353" localSheetId="19" hidden="1">BS-[29]Monetary!$D$7:$D$7</definedName>
    <definedName name="BExEX7UMW7JGTN9FCK5XMPVS9353" localSheetId="17" hidden="1">BS-[29]Monetary!$D$7:$D$7</definedName>
    <definedName name="BExEX7UMW7JGTN9FCK5XMPVS9353" hidden="1">BS-[29]Monetary!$D$7:$D$7</definedName>
    <definedName name="BExEX9Y4KOEZNF3EUA2TV738NOJR" localSheetId="18" hidden="1">BS-[29]Monetary!$D$7:$D$7</definedName>
    <definedName name="BExEX9Y4KOEZNF3EUA2TV738NOJR" localSheetId="16" hidden="1">BS-[29]Monetary!$D$7:$D$7</definedName>
    <definedName name="BExEX9Y4KOEZNF3EUA2TV738NOJR" localSheetId="21" hidden="1">BS-[29]Monetary!$D$7:$D$7</definedName>
    <definedName name="BExEX9Y4KOEZNF3EUA2TV738NOJR" localSheetId="19" hidden="1">BS-[29]Monetary!$D$7:$D$7</definedName>
    <definedName name="BExEX9Y4KOEZNF3EUA2TV738NOJR" localSheetId="17" hidden="1">BS-[29]Monetary!$D$7:$D$7</definedName>
    <definedName name="BExEX9Y4KOEZNF3EUA2TV738NOJR" hidden="1">BS-[29]Monetary!$D$7:$D$7</definedName>
    <definedName name="BExEXG391ST02VQF24G2I2OUL9CV" localSheetId="18" hidden="1">BS-Equity-[28]TC!$C$13:$D$14</definedName>
    <definedName name="BExEXG391ST02VQF24G2I2OUL9CV" localSheetId="16" hidden="1">BS-Equity-[28]TC!$C$13:$D$14</definedName>
    <definedName name="BExEXG391ST02VQF24G2I2OUL9CV" localSheetId="21" hidden="1">BS-Equity-[28]TC!$C$13:$D$14</definedName>
    <definedName name="BExEXG391ST02VQF24G2I2OUL9CV" localSheetId="19" hidden="1">BS-Equity-[28]TC!$C$13:$D$14</definedName>
    <definedName name="BExEXG391ST02VQF24G2I2OUL9CV" localSheetId="17" hidden="1">BS-Equity-[28]TC!$C$13:$D$14</definedName>
    <definedName name="BExEXG391ST02VQF24G2I2OUL9CV" hidden="1">BS-Equity-[28]TC!$C$13:$D$14</definedName>
    <definedName name="BExEXIXVC4EQ9QM9DLL1WU3KAPOO" hidden="1">#N/A</definedName>
    <definedName name="BExEXNQCJSW20396HJI51OATYKAN" localSheetId="18" hidden="1">BS-Equity-[27]LC!$D$7:$D$7</definedName>
    <definedName name="BExEXNQCJSW20396HJI51OATYKAN" localSheetId="16" hidden="1">BS-Equity-[27]LC!$D$7:$D$7</definedName>
    <definedName name="BExEXNQCJSW20396HJI51OATYKAN" localSheetId="21" hidden="1">BS-Equity-[27]LC!$D$7:$D$7</definedName>
    <definedName name="BExEXNQCJSW20396HJI51OATYKAN" localSheetId="19" hidden="1">BS-Equity-[27]LC!$D$7:$D$7</definedName>
    <definedName name="BExEXNQCJSW20396HJI51OATYKAN" localSheetId="17" hidden="1">BS-Equity-[27]LC!$D$7:$D$7</definedName>
    <definedName name="BExEXNQCJSW20396HJI51OATYKAN" hidden="1">BS-Equity-[27]LC!$D$7:$D$7</definedName>
    <definedName name="BExEXO15A9T0TBFMVBYNC3U3J97X" hidden="1">#N/A</definedName>
    <definedName name="BExEXO6LDQ46YBVNNAVEV4C08VBH" hidden="1">#N/A</definedName>
    <definedName name="BExEXWKOOYPFTL0I8JD0N4ZNE7JY" localSheetId="18" hidden="1">BS-non Monetary-[28]TC!$D$8:$D$8</definedName>
    <definedName name="BExEXWKOOYPFTL0I8JD0N4ZNE7JY" localSheetId="16" hidden="1">BS-non Monetary-[28]TC!$D$8:$D$8</definedName>
    <definedName name="BExEXWKOOYPFTL0I8JD0N4ZNE7JY" localSheetId="21" hidden="1">BS-non Monetary-[28]TC!$D$8:$D$8</definedName>
    <definedName name="BExEXWKOOYPFTL0I8JD0N4ZNE7JY" localSheetId="19" hidden="1">BS-non Monetary-[28]TC!$D$8:$D$8</definedName>
    <definedName name="BExEXWKOOYPFTL0I8JD0N4ZNE7JY" localSheetId="17" hidden="1">BS-non Monetary-[28]TC!$D$8:$D$8</definedName>
    <definedName name="BExEXWKOOYPFTL0I8JD0N4ZNE7JY" hidden="1">BS-non Monetary-[28]TC!$D$8:$D$8</definedName>
    <definedName name="BExEXZVE7BI000ECNCFY6862FB6Y" localSheetId="18" hidden="1">BS-non Monetary-[27]LC!$C$13:$D$14</definedName>
    <definedName name="BExEXZVE7BI000ECNCFY6862FB6Y" localSheetId="16" hidden="1">BS-non Monetary-[27]LC!$C$13:$D$14</definedName>
    <definedName name="BExEXZVE7BI000ECNCFY6862FB6Y" localSheetId="21" hidden="1">BS-non Monetary-[27]LC!$C$13:$D$14</definedName>
    <definedName name="BExEXZVE7BI000ECNCFY6862FB6Y" localSheetId="19" hidden="1">BS-non Monetary-[27]LC!$C$13:$D$14</definedName>
    <definedName name="BExEXZVE7BI000ECNCFY6862FB6Y" localSheetId="17" hidden="1">BS-non Monetary-[27]LC!$C$13:$D$14</definedName>
    <definedName name="BExEXZVE7BI000ECNCFY6862FB6Y" hidden="1">BS-non Monetary-[27]LC!$C$13:$D$14</definedName>
    <definedName name="BExEYYMZV2HNH63DZAKVIFWG70XF" localSheetId="18" hidden="1">BS-non Monetary-[27]LC!$D$7:$D$7</definedName>
    <definedName name="BExEYYMZV2HNH63DZAKVIFWG70XF" localSheetId="16" hidden="1">BS-non Monetary-[27]LC!$D$7:$D$7</definedName>
    <definedName name="BExEYYMZV2HNH63DZAKVIFWG70XF" localSheetId="21" hidden="1">BS-non Monetary-[27]LC!$D$7:$D$7</definedName>
    <definedName name="BExEYYMZV2HNH63DZAKVIFWG70XF" localSheetId="19" hidden="1">BS-non Monetary-[27]LC!$D$7:$D$7</definedName>
    <definedName name="BExEYYMZV2HNH63DZAKVIFWG70XF" localSheetId="17" hidden="1">BS-non Monetary-[27]LC!$D$7:$D$7</definedName>
    <definedName name="BExEYYMZV2HNH63DZAKVIFWG70XF" hidden="1">BS-non Monetary-[27]LC!$D$7:$D$7</definedName>
    <definedName name="BExEZ3VPRRK8PLSJBKDKHEXY3AZR" localSheetId="18" hidden="1">BS-[29]Monetary!$D$8:$D$8</definedName>
    <definedName name="BExEZ3VPRRK8PLSJBKDKHEXY3AZR" localSheetId="16" hidden="1">BS-[29]Monetary!$D$8:$D$8</definedName>
    <definedName name="BExEZ3VPRRK8PLSJBKDKHEXY3AZR" localSheetId="21" hidden="1">BS-[29]Monetary!$D$8:$D$8</definedName>
    <definedName name="BExEZ3VPRRK8PLSJBKDKHEXY3AZR" localSheetId="19" hidden="1">BS-[29]Monetary!$D$8:$D$8</definedName>
    <definedName name="BExEZ3VPRRK8PLSJBKDKHEXY3AZR" localSheetId="17" hidden="1">BS-[29]Monetary!$D$8:$D$8</definedName>
    <definedName name="BExEZ3VPRRK8PLSJBKDKHEXY3AZR" hidden="1">BS-[29]Monetary!$D$8:$D$8</definedName>
    <definedName name="BExEZMRI0LOGNA5CAF1TX5ZH39LJ" localSheetId="18" hidden="1">BS-Equity-[28]TC!$D$8:$D$8</definedName>
    <definedName name="BExEZMRI0LOGNA5CAF1TX5ZH39LJ" localSheetId="16" hidden="1">BS-Equity-[28]TC!$D$8:$D$8</definedName>
    <definedName name="BExEZMRI0LOGNA5CAF1TX5ZH39LJ" localSheetId="21" hidden="1">BS-Equity-[28]TC!$D$8:$D$8</definedName>
    <definedName name="BExEZMRI0LOGNA5CAF1TX5ZH39LJ" localSheetId="19" hidden="1">BS-Equity-[28]TC!$D$8:$D$8</definedName>
    <definedName name="BExEZMRI0LOGNA5CAF1TX5ZH39LJ" localSheetId="17" hidden="1">BS-Equity-[28]TC!$D$8:$D$8</definedName>
    <definedName name="BExEZMRI0LOGNA5CAF1TX5ZH39LJ" hidden="1">BS-Equity-[28]TC!$D$8:$D$8</definedName>
    <definedName name="BExEZRK3LKUHROXMX71J97SXEX7A" localSheetId="18" hidden="1">BS-non Monetary-[28]TC!$C$13:$D$14</definedName>
    <definedName name="BExEZRK3LKUHROXMX71J97SXEX7A" localSheetId="16" hidden="1">BS-non Monetary-[28]TC!$C$13:$D$14</definedName>
    <definedName name="BExEZRK3LKUHROXMX71J97SXEX7A" localSheetId="21" hidden="1">BS-non Monetary-[28]TC!$C$13:$D$14</definedName>
    <definedName name="BExEZRK3LKUHROXMX71J97SXEX7A" localSheetId="19" hidden="1">BS-non Monetary-[28]TC!$C$13:$D$14</definedName>
    <definedName name="BExEZRK3LKUHROXMX71J97SXEX7A" localSheetId="17" hidden="1">BS-non Monetary-[28]TC!$C$13:$D$14</definedName>
    <definedName name="BExEZRK3LKUHROXMX71J97SXEX7A" hidden="1">BS-non Monetary-[28]TC!$C$13:$D$14</definedName>
    <definedName name="BExEZZSS30WKITMC0UW31JN6Z73M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1WQ6SUUH5GXYD2CSRIUJUUE0" localSheetId="18" hidden="1">BS-[29]Monetary!$D$8:$D$8</definedName>
    <definedName name="BExF1WQ6SUUH5GXYD2CSRIUJUUE0" localSheetId="16" hidden="1">BS-[29]Monetary!$D$8:$D$8</definedName>
    <definedName name="BExF1WQ6SUUH5GXYD2CSRIUJUUE0" localSheetId="21" hidden="1">BS-[29]Monetary!$D$8:$D$8</definedName>
    <definedName name="BExF1WQ6SUUH5GXYD2CSRIUJUUE0" localSheetId="19" hidden="1">BS-[29]Monetary!$D$8:$D$8</definedName>
    <definedName name="BExF1WQ6SUUH5GXYD2CSRIUJUUE0" localSheetId="17" hidden="1">BS-[29]Monetary!$D$8:$D$8</definedName>
    <definedName name="BExF1WQ6SUUH5GXYD2CSRIUJUUE0" hidden="1">BS-[29]Monetary!$D$8:$D$8</definedName>
    <definedName name="BExF25F9ZI6SAG5XXGZ8G9I26J7D" localSheetId="18" hidden="1">TB BS Monetary [30]Item!$C$13:$D$15</definedName>
    <definedName name="BExF25F9ZI6SAG5XXGZ8G9I26J7D" localSheetId="16" hidden="1">TB BS Monetary [30]Item!$C$13:$D$15</definedName>
    <definedName name="BExF25F9ZI6SAG5XXGZ8G9I26J7D" localSheetId="21" hidden="1">TB BS Monetary [30]Item!$C$13:$D$15</definedName>
    <definedName name="BExF25F9ZI6SAG5XXGZ8G9I26J7D" localSheetId="19" hidden="1">TB BS Monetary [30]Item!$C$13:$D$15</definedName>
    <definedName name="BExF25F9ZI6SAG5XXGZ8G9I26J7D" localSheetId="17" hidden="1">TB BS Monetary [30]Item!$C$13:$D$15</definedName>
    <definedName name="BExF25F9ZI6SAG5XXGZ8G9I26J7D" hidden="1">TB BS Monetary [30]Item!$C$13:$D$15</definedName>
    <definedName name="BExF2N974O93GIYDUN529XOK822F" localSheetId="18" hidden="1">Trial [32]Balance!$C$13:$D$15</definedName>
    <definedName name="BExF2N974O93GIYDUN529XOK822F" localSheetId="16" hidden="1">Trial [32]Balance!$C$13:$D$15</definedName>
    <definedName name="BExF2N974O93GIYDUN529XOK822F" localSheetId="21" hidden="1">Trial [32]Balance!$C$13:$D$15</definedName>
    <definedName name="BExF2N974O93GIYDUN529XOK822F" localSheetId="19" hidden="1">Trial [32]Balance!$C$13:$D$15</definedName>
    <definedName name="BExF2N974O93GIYDUN529XOK822F" localSheetId="17" hidden="1">Trial [32]Balance!$C$13:$D$15</definedName>
    <definedName name="BExF2N974O93GIYDUN529XOK822F" hidden="1">Trial [32]Balance!$C$13:$D$15</definedName>
    <definedName name="BExF2Q92DQ08GFBFO4QRAO14NNSW" localSheetId="18" hidden="1">BS-[29]Monetary!$D$6:$D$6</definedName>
    <definedName name="BExF2Q92DQ08GFBFO4QRAO14NNSW" localSheetId="16" hidden="1">BS-[29]Monetary!$D$6:$D$6</definedName>
    <definedName name="BExF2Q92DQ08GFBFO4QRAO14NNSW" localSheetId="21" hidden="1">BS-[29]Monetary!$D$6:$D$6</definedName>
    <definedName name="BExF2Q92DQ08GFBFO4QRAO14NNSW" localSheetId="19" hidden="1">BS-[29]Monetary!$D$6:$D$6</definedName>
    <definedName name="BExF2Q92DQ08GFBFO4QRAO14NNSW" localSheetId="17" hidden="1">BS-[29]Monetary!$D$6:$D$6</definedName>
    <definedName name="BExF2Q92DQ08GFBFO4QRAO14NNSW" hidden="1">BS-[29]Monetary!$D$6:$D$6</definedName>
    <definedName name="BExF2ZZNFHZY6PM2QC5AW49M1M94" localSheetId="18" hidden="1">BS-non Monetary-[28]TC!$D$8:$D$8</definedName>
    <definedName name="BExF2ZZNFHZY6PM2QC5AW49M1M94" localSheetId="16" hidden="1">BS-non Monetary-[28]TC!$D$8:$D$8</definedName>
    <definedName name="BExF2ZZNFHZY6PM2QC5AW49M1M94" localSheetId="21" hidden="1">BS-non Monetary-[28]TC!$D$8:$D$8</definedName>
    <definedName name="BExF2ZZNFHZY6PM2QC5AW49M1M94" localSheetId="19" hidden="1">BS-non Monetary-[28]TC!$D$8:$D$8</definedName>
    <definedName name="BExF2ZZNFHZY6PM2QC5AW49M1M94" localSheetId="17" hidden="1">BS-non Monetary-[28]TC!$D$8:$D$8</definedName>
    <definedName name="BExF2ZZNFHZY6PM2QC5AW49M1M94" hidden="1">BS-non Monetary-[28]TC!$D$8:$D$8</definedName>
    <definedName name="BExF4E6V1IYGN4VBM3WM4772T8VM" localSheetId="18" hidden="1">BS-non Monitory-[28]TC!$C$17:$F$417</definedName>
    <definedName name="BExF4E6V1IYGN4VBM3WM4772T8VM" localSheetId="16" hidden="1">BS-non Monitory-[28]TC!$C$17:$F$417</definedName>
    <definedName name="BExF4E6V1IYGN4VBM3WM4772T8VM" localSheetId="21" hidden="1">BS-non Monitory-[28]TC!$C$17:$F$417</definedName>
    <definedName name="BExF4E6V1IYGN4VBM3WM4772T8VM" localSheetId="19" hidden="1">BS-non Monitory-[28]TC!$C$17:$F$417</definedName>
    <definedName name="BExF4E6V1IYGN4VBM3WM4772T8VM" localSheetId="17" hidden="1">BS-non Monitory-[28]TC!$C$17:$F$417</definedName>
    <definedName name="BExF4E6V1IYGN4VBM3WM4772T8VM" hidden="1">BS-non Monitory-[28]TC!$C$17:$F$417</definedName>
    <definedName name="BExF4KXONPHVBNK5YL2QUFFZ5JBT" localSheetId="18" hidden="1">Trial [32]Balance!$D$8:$D$8</definedName>
    <definedName name="BExF4KXONPHVBNK5YL2QUFFZ5JBT" localSheetId="16" hidden="1">Trial [32]Balance!$D$8:$D$8</definedName>
    <definedName name="BExF4KXONPHVBNK5YL2QUFFZ5JBT" localSheetId="21" hidden="1">Trial [32]Balance!$D$8:$D$8</definedName>
    <definedName name="BExF4KXONPHVBNK5YL2QUFFZ5JBT" localSheetId="19" hidden="1">Trial [32]Balance!$D$8:$D$8</definedName>
    <definedName name="BExF4KXONPHVBNK5YL2QUFFZ5JBT" localSheetId="17" hidden="1">Trial [32]Balance!$D$8:$D$8</definedName>
    <definedName name="BExF4KXONPHVBNK5YL2QUFFZ5JBT" hidden="1">Trial [32]Balance!$D$8:$D$8</definedName>
    <definedName name="BExF4VF5REGPFNGN5Q14LOY1GMQV" hidden="1">#N/A</definedName>
    <definedName name="BExF63MJ8YMJY4C1MAX5UGNIBV8N" localSheetId="18" hidden="1">TB BS non Monetary [31]GC!$C$13:$D$15</definedName>
    <definedName name="BExF63MJ8YMJY4C1MAX5UGNIBV8N" localSheetId="16" hidden="1">TB BS non Monetary [31]GC!$C$13:$D$15</definedName>
    <definedName name="BExF63MJ8YMJY4C1MAX5UGNIBV8N" localSheetId="21" hidden="1">TB BS non Monetary [31]GC!$C$13:$D$15</definedName>
    <definedName name="BExF63MJ8YMJY4C1MAX5UGNIBV8N" localSheetId="19" hidden="1">TB BS non Monetary [31]GC!$C$13:$D$15</definedName>
    <definedName name="BExF63MJ8YMJY4C1MAX5UGNIBV8N" localSheetId="17" hidden="1">TB BS non Monetary [31]GC!$C$13:$D$15</definedName>
    <definedName name="BExF63MJ8YMJY4C1MAX5UGNIBV8N" hidden="1">TB BS non Monetary [31]GC!$C$13:$D$15</definedName>
    <definedName name="BExF6NUXRTL4O26PCE4NW8MIFKPO" hidden="1">#N/A</definedName>
    <definedName name="BExF7LFDP07MQ90J9OJZWS4G53BN" hidden="1">#N/A</definedName>
    <definedName name="BExF7V5XVUE319AD7B1I3JX29D58" localSheetId="18" hidden="1">BS-non Monetary-[31]GC!$C$17:$G$564</definedName>
    <definedName name="BExF7V5XVUE319AD7B1I3JX29D58" localSheetId="16" hidden="1">BS-non Monetary-[31]GC!$C$17:$G$564</definedName>
    <definedName name="BExF7V5XVUE319AD7B1I3JX29D58" localSheetId="21" hidden="1">BS-non Monetary-[31]GC!$C$17:$G$564</definedName>
    <definedName name="BExF7V5XVUE319AD7B1I3JX29D58" localSheetId="19" hidden="1">BS-non Monetary-[31]GC!$C$17:$G$564</definedName>
    <definedName name="BExF7V5XVUE319AD7B1I3JX29D58" localSheetId="17" hidden="1">BS-non Monetary-[31]GC!$C$17:$G$564</definedName>
    <definedName name="BExF7V5XVUE319AD7B1I3JX29D58" hidden="1">BS-non Monetary-[31]GC!$C$17:$G$564</definedName>
    <definedName name="BExF82CVLMXA9ICZNFGO7KTMKHNI" localSheetId="18" hidden="1">BS-[34]Monitory!$D$7:$D$7</definedName>
    <definedName name="BExF82CVLMXA9ICZNFGO7KTMKHNI" localSheetId="16" hidden="1">BS-[34]Monitory!$D$7:$D$7</definedName>
    <definedName name="BExF82CVLMXA9ICZNFGO7KTMKHNI" localSheetId="21" hidden="1">BS-[34]Monitory!$D$7:$D$7</definedName>
    <definedName name="BExF82CVLMXA9ICZNFGO7KTMKHNI" localSheetId="19" hidden="1">BS-[34]Monitory!$D$7:$D$7</definedName>
    <definedName name="BExF82CVLMXA9ICZNFGO7KTMKHNI" localSheetId="17" hidden="1">BS-[34]Monitory!$D$7:$D$7</definedName>
    <definedName name="BExF82CVLMXA9ICZNFGO7KTMKHNI" hidden="1">BS-[34]Monitory!$D$7:$D$7</definedName>
    <definedName name="BExF84LXAT5W77N115R814JGD0KA" localSheetId="18" hidden="1">BS-non Monetary-[27]LC!$D$8:$D$8</definedName>
    <definedName name="BExF84LXAT5W77N115R814JGD0KA" localSheetId="16" hidden="1">BS-non Monetary-[27]LC!$D$8:$D$8</definedName>
    <definedName name="BExF84LXAT5W77N115R814JGD0KA" localSheetId="21" hidden="1">BS-non Monetary-[27]LC!$D$8:$D$8</definedName>
    <definedName name="BExF84LXAT5W77N115R814JGD0KA" localSheetId="19" hidden="1">BS-non Monetary-[27]LC!$D$8:$D$8</definedName>
    <definedName name="BExF84LXAT5W77N115R814JGD0KA" localSheetId="17" hidden="1">BS-non Monetary-[27]LC!$D$8:$D$8</definedName>
    <definedName name="BExF84LXAT5W77N115R814JGD0KA" hidden="1">BS-non Monetary-[27]LC!$D$8:$D$8</definedName>
    <definedName name="BExF8E1NU3UCFIFQRA87QME5Z4YG" localSheetId="18" hidden="1">BS-non Monetary-[28]TC!$D$7:$D$7</definedName>
    <definedName name="BExF8E1NU3UCFIFQRA87QME5Z4YG" localSheetId="16" hidden="1">BS-non Monetary-[28]TC!$D$7:$D$7</definedName>
    <definedName name="BExF8E1NU3UCFIFQRA87QME5Z4YG" localSheetId="21" hidden="1">BS-non Monetary-[28]TC!$D$7:$D$7</definedName>
    <definedName name="BExF8E1NU3UCFIFQRA87QME5Z4YG" localSheetId="19" hidden="1">BS-non Monetary-[28]TC!$D$7:$D$7</definedName>
    <definedName name="BExF8E1NU3UCFIFQRA87QME5Z4YG" localSheetId="17" hidden="1">BS-non Monetary-[28]TC!$D$7:$D$7</definedName>
    <definedName name="BExF8E1NU3UCFIFQRA87QME5Z4YG" hidden="1">BS-non Monetary-[28]TC!$D$7:$D$7</definedName>
    <definedName name="BExF8QMVZNETR6TT84EDEB0132GU" hidden="1">#N/A</definedName>
    <definedName name="BExF93ITMIVJZQTLPU6ML5YIFXFB" localSheetId="18" hidden="1">BS-[29]Monetary!$D$6:$D$6</definedName>
    <definedName name="BExF93ITMIVJZQTLPU6ML5YIFXFB" localSheetId="16" hidden="1">BS-[29]Monetary!$D$6:$D$6</definedName>
    <definedName name="BExF93ITMIVJZQTLPU6ML5YIFXFB" localSheetId="21" hidden="1">BS-[29]Monetary!$D$6:$D$6</definedName>
    <definedName name="BExF93ITMIVJZQTLPU6ML5YIFXFB" localSheetId="19" hidden="1">BS-[29]Monetary!$D$6:$D$6</definedName>
    <definedName name="BExF93ITMIVJZQTLPU6ML5YIFXFB" localSheetId="17" hidden="1">BS-[29]Monetary!$D$6:$D$6</definedName>
    <definedName name="BExF93ITMIVJZQTLPU6ML5YIFXFB" hidden="1">BS-[29]Monetary!$D$6:$D$6</definedName>
    <definedName name="BExGL7F2VK0ZI00X5ISDCFMXECKL" localSheetId="18" hidden="1">BS-non Monetary-[28]TC!$D$8:$D$8</definedName>
    <definedName name="BExGL7F2VK0ZI00X5ISDCFMXECKL" localSheetId="16" hidden="1">BS-non Monetary-[28]TC!$D$8:$D$8</definedName>
    <definedName name="BExGL7F2VK0ZI00X5ISDCFMXECKL" localSheetId="21" hidden="1">BS-non Monetary-[28]TC!$D$8:$D$8</definedName>
    <definedName name="BExGL7F2VK0ZI00X5ISDCFMXECKL" localSheetId="19" hidden="1">BS-non Monetary-[28]TC!$D$8:$D$8</definedName>
    <definedName name="BExGL7F2VK0ZI00X5ISDCFMXECKL" localSheetId="17" hidden="1">BS-non Monetary-[28]TC!$D$8:$D$8</definedName>
    <definedName name="BExGL7F2VK0ZI00X5ISDCFMXECKL" hidden="1">BS-non Monetary-[28]TC!$D$8:$D$8</definedName>
    <definedName name="BExGLB0JG7LRDRTHEWISDWI1UBV4" localSheetId="18" hidden="1">BS-non Monetary-[28]TC!$C$17:$I$565</definedName>
    <definedName name="BExGLB0JG7LRDRTHEWISDWI1UBV4" localSheetId="16" hidden="1">BS-non Monetary-[28]TC!$C$17:$I$565</definedName>
    <definedName name="BExGLB0JG7LRDRTHEWISDWI1UBV4" localSheetId="21" hidden="1">BS-non Monetary-[28]TC!$C$17:$I$565</definedName>
    <definedName name="BExGLB0JG7LRDRTHEWISDWI1UBV4" localSheetId="19" hidden="1">BS-non Monetary-[28]TC!$C$17:$I$565</definedName>
    <definedName name="BExGLB0JG7LRDRTHEWISDWI1UBV4" localSheetId="17" hidden="1">BS-non Monetary-[28]TC!$C$17:$I$565</definedName>
    <definedName name="BExGLB0JG7LRDRTHEWISDWI1UBV4" hidden="1">BS-non Monetary-[28]TC!$C$17:$I$565</definedName>
    <definedName name="BExGLG3ZPFH39U03MVJNODOD2AVB" hidden="1">#N/A</definedName>
    <definedName name="BExGLKLT4UH48IA1ZUU2SAN38309" hidden="1">#N/A</definedName>
    <definedName name="BExGLQWET3XRCYOQRGW93YHIMCQT" localSheetId="18" hidden="1">TB-[35]BS!$D$8:$D$8</definedName>
    <definedName name="BExGLQWET3XRCYOQRGW93YHIMCQT" localSheetId="16" hidden="1">TB-[35]BS!$D$8:$D$8</definedName>
    <definedName name="BExGLQWET3XRCYOQRGW93YHIMCQT" localSheetId="21" hidden="1">TB-[35]BS!$D$8:$D$8</definedName>
    <definedName name="BExGLQWET3XRCYOQRGW93YHIMCQT" localSheetId="19" hidden="1">TB-[35]BS!$D$8:$D$8</definedName>
    <definedName name="BExGLQWET3XRCYOQRGW93YHIMCQT" localSheetId="17" hidden="1">TB-[35]BS!$D$8:$D$8</definedName>
    <definedName name="BExGLQWET3XRCYOQRGW93YHIMCQT" hidden="1">TB-[35]BS!$D$8:$D$8</definedName>
    <definedName name="BExGMCMLAGUU5KYMYXMRWG6CHPRZ" localSheetId="18" hidden="1">BS-Equity-[28]TC!$D$6:$D$6</definedName>
    <definedName name="BExGMCMLAGUU5KYMYXMRWG6CHPRZ" localSheetId="16" hidden="1">BS-Equity-[28]TC!$D$6:$D$6</definedName>
    <definedName name="BExGMCMLAGUU5KYMYXMRWG6CHPRZ" localSheetId="21" hidden="1">BS-Equity-[28]TC!$D$6:$D$6</definedName>
    <definedName name="BExGMCMLAGUU5KYMYXMRWG6CHPRZ" localSheetId="19" hidden="1">BS-Equity-[28]TC!$D$6:$D$6</definedName>
    <definedName name="BExGMCMLAGUU5KYMYXMRWG6CHPRZ" localSheetId="17" hidden="1">BS-Equity-[28]TC!$D$6:$D$6</definedName>
    <definedName name="BExGMCMLAGUU5KYMYXMRWG6CHPRZ" hidden="1">BS-Equity-[28]TC!$D$6:$D$6</definedName>
    <definedName name="BExGMEA0VNPBVGT0ZQT8I41G974Z" hidden="1">#N/A</definedName>
    <definedName name="BExGMFXAE3NTCPSJBXTO0J2NFJNS" localSheetId="18" hidden="1">BS-non Monetary-[28]TC!$D$7:$D$7</definedName>
    <definedName name="BExGMFXAE3NTCPSJBXTO0J2NFJNS" localSheetId="16" hidden="1">BS-non Monetary-[28]TC!$D$7:$D$7</definedName>
    <definedName name="BExGMFXAE3NTCPSJBXTO0J2NFJNS" localSheetId="21" hidden="1">BS-non Monetary-[28]TC!$D$7:$D$7</definedName>
    <definedName name="BExGMFXAE3NTCPSJBXTO0J2NFJNS" localSheetId="19" hidden="1">BS-non Monetary-[28]TC!$D$7:$D$7</definedName>
    <definedName name="BExGMFXAE3NTCPSJBXTO0J2NFJNS" localSheetId="17" hidden="1">BS-non Monetary-[28]TC!$D$7:$D$7</definedName>
    <definedName name="BExGMFXAE3NTCPSJBXTO0J2NFJNS" hidden="1">BS-non Monetary-[28]TC!$D$7:$D$7</definedName>
    <definedName name="BExGMGZ3JCW9ZLQXMBF3SKEO56LE" hidden="1">#N/A</definedName>
    <definedName name="BExGMJ2NHZ3AUMYXM54LNP9SVCEB" localSheetId="18" hidden="1">BS-non Monetary-[28]TC!$D$8:$D$8</definedName>
    <definedName name="BExGMJ2NHZ3AUMYXM54LNP9SVCEB" localSheetId="16" hidden="1">BS-non Monetary-[28]TC!$D$8:$D$8</definedName>
    <definedName name="BExGMJ2NHZ3AUMYXM54LNP9SVCEB" localSheetId="21" hidden="1">BS-non Monetary-[28]TC!$D$8:$D$8</definedName>
    <definedName name="BExGMJ2NHZ3AUMYXM54LNP9SVCEB" localSheetId="19" hidden="1">BS-non Monetary-[28]TC!$D$8:$D$8</definedName>
    <definedName name="BExGMJ2NHZ3AUMYXM54LNP9SVCEB" localSheetId="17" hidden="1">BS-non Monetary-[28]TC!$D$8:$D$8</definedName>
    <definedName name="BExGMJ2NHZ3AUMYXM54LNP9SVCEB" hidden="1">BS-non Monetary-[28]TC!$D$8:$D$8</definedName>
    <definedName name="BExGNFL8K0W1BRFWUC6HYXUWWFTK" hidden="1">#N/A</definedName>
    <definedName name="BExGO0KJHE1S872QSBCNA1I4VGEI" hidden="1">#N/A</definedName>
    <definedName name="BExGO4WW0RENO2J4OJ9XQW695M2Z" localSheetId="18" hidden="1">BS-[29]Monetary!$C$17:$M$862</definedName>
    <definedName name="BExGO4WW0RENO2J4OJ9XQW695M2Z" localSheetId="16" hidden="1">BS-[29]Monetary!$C$17:$M$862</definedName>
    <definedName name="BExGO4WW0RENO2J4OJ9XQW695M2Z" localSheetId="21" hidden="1">BS-[29]Monetary!$C$17:$M$862</definedName>
    <definedName name="BExGO4WW0RENO2J4OJ9XQW695M2Z" localSheetId="19" hidden="1">BS-[29]Monetary!$C$17:$M$862</definedName>
    <definedName name="BExGO4WW0RENO2J4OJ9XQW695M2Z" localSheetId="17" hidden="1">BS-[29]Monetary!$C$17:$M$862</definedName>
    <definedName name="BExGO4WW0RENO2J4OJ9XQW695M2Z" hidden="1">BS-[29]Monetary!$C$17:$M$862</definedName>
    <definedName name="BExGOH79DKYLT81AF057CM8P13EH" hidden="1">#N/A</definedName>
    <definedName name="BExGOU38F8KNR0PBX05XRJSWL2KQ" localSheetId="18" hidden="1">BS-non Monitory-[28]TC!$D$6:$D$6</definedName>
    <definedName name="BExGOU38F8KNR0PBX05XRJSWL2KQ" localSheetId="16" hidden="1">BS-non Monitory-[28]TC!$D$6:$D$6</definedName>
    <definedName name="BExGOU38F8KNR0PBX05XRJSWL2KQ" localSheetId="21" hidden="1">BS-non Monitory-[28]TC!$D$6:$D$6</definedName>
    <definedName name="BExGOU38F8KNR0PBX05XRJSWL2KQ" localSheetId="19" hidden="1">BS-non Monitory-[28]TC!$D$6:$D$6</definedName>
    <definedName name="BExGOU38F8KNR0PBX05XRJSWL2KQ" localSheetId="17" hidden="1">BS-non Monitory-[28]TC!$D$6:$D$6</definedName>
    <definedName name="BExGOU38F8KNR0PBX05XRJSWL2KQ" hidden="1">BS-non Monitory-[28]TC!$D$6:$D$6</definedName>
    <definedName name="BExGP5RZO2Q5DEMPZIXYSEXTOXK2" localSheetId="18" hidden="1">BS-non Monetary-[28]TC!$D$6:$D$6</definedName>
    <definedName name="BExGP5RZO2Q5DEMPZIXYSEXTOXK2" localSheetId="16" hidden="1">BS-non Monetary-[28]TC!$D$6:$D$6</definedName>
    <definedName name="BExGP5RZO2Q5DEMPZIXYSEXTOXK2" localSheetId="21" hidden="1">BS-non Monetary-[28]TC!$D$6:$D$6</definedName>
    <definedName name="BExGP5RZO2Q5DEMPZIXYSEXTOXK2" localSheetId="19" hidden="1">BS-non Monetary-[28]TC!$D$6:$D$6</definedName>
    <definedName name="BExGP5RZO2Q5DEMPZIXYSEXTOXK2" localSheetId="17" hidden="1">BS-non Monetary-[28]TC!$D$6:$D$6</definedName>
    <definedName name="BExGP5RZO2Q5DEMPZIXYSEXTOXK2" hidden="1">BS-non Monetary-[28]TC!$D$6:$D$6</definedName>
    <definedName name="BExGP7FB25M8XX7IHCD7HD9W9WG1" localSheetId="18" hidden="1">BS-[29]Monetary!$C$17:$I$192</definedName>
    <definedName name="BExGP7FB25M8XX7IHCD7HD9W9WG1" localSheetId="16" hidden="1">BS-[29]Monetary!$C$17:$I$192</definedName>
    <definedName name="BExGP7FB25M8XX7IHCD7HD9W9WG1" localSheetId="21" hidden="1">BS-[29]Monetary!$C$17:$I$192</definedName>
    <definedName name="BExGP7FB25M8XX7IHCD7HD9W9WG1" localSheetId="19" hidden="1">BS-[29]Monetary!$C$17:$I$192</definedName>
    <definedName name="BExGP7FB25M8XX7IHCD7HD9W9WG1" localSheetId="17" hidden="1">BS-[29]Monetary!$C$17:$I$192</definedName>
    <definedName name="BExGP7FB25M8XX7IHCD7HD9W9WG1" hidden="1">BS-[29]Monetary!$C$17:$I$192</definedName>
    <definedName name="BExGPEX1P8WDOW5LVSPKA0MRU3NI" localSheetId="18" hidden="1">BS-[34]Monitory!$D$6:$D$6</definedName>
    <definedName name="BExGPEX1P8WDOW5LVSPKA0MRU3NI" localSheetId="16" hidden="1">BS-[34]Monitory!$D$6:$D$6</definedName>
    <definedName name="BExGPEX1P8WDOW5LVSPKA0MRU3NI" localSheetId="21" hidden="1">BS-[34]Monitory!$D$6:$D$6</definedName>
    <definedName name="BExGPEX1P8WDOW5LVSPKA0MRU3NI" localSheetId="19" hidden="1">BS-[34]Monitory!$D$6:$D$6</definedName>
    <definedName name="BExGPEX1P8WDOW5LVSPKA0MRU3NI" localSheetId="17" hidden="1">BS-[34]Monitory!$D$6:$D$6</definedName>
    <definedName name="BExGPEX1P8WDOW5LVSPKA0MRU3NI" hidden="1">BS-[34]Monitory!$D$6:$D$6</definedName>
    <definedName name="BExGQ550VCPB5D8PT2FVR5T1NI70" localSheetId="18" hidden="1">BS-non Monetary-[28]TC!$D$8:$D$8</definedName>
    <definedName name="BExGQ550VCPB5D8PT2FVR5T1NI70" localSheetId="16" hidden="1">BS-non Monetary-[28]TC!$D$8:$D$8</definedName>
    <definedName name="BExGQ550VCPB5D8PT2FVR5T1NI70" localSheetId="21" hidden="1">BS-non Monetary-[28]TC!$D$8:$D$8</definedName>
    <definedName name="BExGQ550VCPB5D8PT2FVR5T1NI70" localSheetId="19" hidden="1">BS-non Monetary-[28]TC!$D$8:$D$8</definedName>
    <definedName name="BExGQ550VCPB5D8PT2FVR5T1NI70" localSheetId="17" hidden="1">BS-non Monetary-[28]TC!$D$8:$D$8</definedName>
    <definedName name="BExGQ550VCPB5D8PT2FVR5T1NI70" hidden="1">BS-non Monetary-[28]TC!$D$8:$D$8</definedName>
    <definedName name="BExGQ5W3DO742KN1GR94F6EWXEME" hidden="1">#N/A</definedName>
    <definedName name="BExGQ96SWVOKCI5GQ6XDUMJYZX5I" hidden="1">#N/A</definedName>
    <definedName name="BExGRBP67JMNHHTOS7JCKPXFDUVF" localSheetId="18" hidden="1">BS-non Monetary-[28]TC!$D$7:$D$7</definedName>
    <definedName name="BExGRBP67JMNHHTOS7JCKPXFDUVF" localSheetId="16" hidden="1">BS-non Monetary-[28]TC!$D$7:$D$7</definedName>
    <definedName name="BExGRBP67JMNHHTOS7JCKPXFDUVF" localSheetId="21" hidden="1">BS-non Monetary-[28]TC!$D$7:$D$7</definedName>
    <definedName name="BExGRBP67JMNHHTOS7JCKPXFDUVF" localSheetId="19" hidden="1">BS-non Monetary-[28]TC!$D$7:$D$7</definedName>
    <definedName name="BExGRBP67JMNHHTOS7JCKPXFDUVF" localSheetId="17" hidden="1">BS-non Monetary-[28]TC!$D$7:$D$7</definedName>
    <definedName name="BExGRBP67JMNHHTOS7JCKPXFDUVF" hidden="1">BS-non Monetary-[28]TC!$D$7:$D$7</definedName>
    <definedName name="BExGT38JU5ISXVUX190XKGKVKN3Y" localSheetId="18" hidden="1">BS-non Monitory-[28]TC!$C$17:$F$417</definedName>
    <definedName name="BExGT38JU5ISXVUX190XKGKVKN3Y" localSheetId="16" hidden="1">BS-non Monitory-[28]TC!$C$17:$F$417</definedName>
    <definedName name="BExGT38JU5ISXVUX190XKGKVKN3Y" localSheetId="21" hidden="1">BS-non Monitory-[28]TC!$C$17:$F$417</definedName>
    <definedName name="BExGT38JU5ISXVUX190XKGKVKN3Y" localSheetId="19" hidden="1">BS-non Monitory-[28]TC!$C$17:$F$417</definedName>
    <definedName name="BExGT38JU5ISXVUX190XKGKVKN3Y" localSheetId="17" hidden="1">BS-non Monitory-[28]TC!$C$17:$F$417</definedName>
    <definedName name="BExGT38JU5ISXVUX190XKGKVKN3Y" hidden="1">BS-non Monitory-[28]TC!$C$17:$F$417</definedName>
    <definedName name="BExGTQGP0VCLFC8QEZHC3QKJF9I7" localSheetId="18" hidden="1">BS-Equity-[27]LC!$D$6:$D$6</definedName>
    <definedName name="BExGTQGP0VCLFC8QEZHC3QKJF9I7" localSheetId="16" hidden="1">BS-Equity-[27]LC!$D$6:$D$6</definedName>
    <definedName name="BExGTQGP0VCLFC8QEZHC3QKJF9I7" localSheetId="21" hidden="1">BS-Equity-[27]LC!$D$6:$D$6</definedName>
    <definedName name="BExGTQGP0VCLFC8QEZHC3QKJF9I7" localSheetId="19" hidden="1">BS-Equity-[27]LC!$D$6:$D$6</definedName>
    <definedName name="BExGTQGP0VCLFC8QEZHC3QKJF9I7" localSheetId="17" hidden="1">BS-Equity-[27]LC!$D$6:$D$6</definedName>
    <definedName name="BExGTQGP0VCLFC8QEZHC3QKJF9I7" hidden="1">BS-Equity-[27]LC!$D$6:$D$6</definedName>
    <definedName name="BExGTRNVH1HJLPUOAE35JJECKFOZ" localSheetId="18" hidden="1">BS Equity [30]Item!$C$23:$D$63</definedName>
    <definedName name="BExGTRNVH1HJLPUOAE35JJECKFOZ" localSheetId="16" hidden="1">BS Equity [30]Item!$C$23:$D$63</definedName>
    <definedName name="BExGTRNVH1HJLPUOAE35JJECKFOZ" localSheetId="21" hidden="1">BS Equity [30]Item!$C$23:$D$63</definedName>
    <definedName name="BExGTRNVH1HJLPUOAE35JJECKFOZ" localSheetId="19" hidden="1">BS Equity [30]Item!$C$23:$D$63</definedName>
    <definedName name="BExGTRNVH1HJLPUOAE35JJECKFOZ" localSheetId="17" hidden="1">BS Equity [30]Item!$C$23:$D$63</definedName>
    <definedName name="BExGTRNVH1HJLPUOAE35JJECKFOZ" hidden="1">BS Equity [30]Item!$C$23:$D$63</definedName>
    <definedName name="BExGUHVU3XYZIJZOKOVEESD9NJO1" localSheetId="18" hidden="1">BS-non Monetary-[27]LC!$D$7:$D$7</definedName>
    <definedName name="BExGUHVU3XYZIJZOKOVEESD9NJO1" localSheetId="16" hidden="1">BS-non Monetary-[27]LC!$D$7:$D$7</definedName>
    <definedName name="BExGUHVU3XYZIJZOKOVEESD9NJO1" localSheetId="21" hidden="1">BS-non Monetary-[27]LC!$D$7:$D$7</definedName>
    <definedName name="BExGUHVU3XYZIJZOKOVEESD9NJO1" localSheetId="19" hidden="1">BS-non Monetary-[27]LC!$D$7:$D$7</definedName>
    <definedName name="BExGUHVU3XYZIJZOKOVEESD9NJO1" localSheetId="17" hidden="1">BS-non Monetary-[27]LC!$D$7:$D$7</definedName>
    <definedName name="BExGUHVU3XYZIJZOKOVEESD9NJO1" hidden="1">BS-non Monetary-[27]LC!$D$7:$D$7</definedName>
    <definedName name="BExGUQQ2XSF3HRF4TLK3KG7O3EJB" hidden="1">#N/A</definedName>
    <definedName name="BExGVXQGT0VOE6WSVJ8GBZXR2QCC" hidden="1">#N/A</definedName>
    <definedName name="BExGVXVSBXD1XIPQRLNJM2ML03WF" localSheetId="18" hidden="1">TB BS non Monetary [28]TC!$C$13:$D$15</definedName>
    <definedName name="BExGVXVSBXD1XIPQRLNJM2ML03WF" localSheetId="16" hidden="1">TB BS non Monetary [28]TC!$C$13:$D$15</definedName>
    <definedName name="BExGVXVSBXD1XIPQRLNJM2ML03WF" localSheetId="21" hidden="1">TB BS non Monetary [28]TC!$C$13:$D$15</definedName>
    <definedName name="BExGVXVSBXD1XIPQRLNJM2ML03WF" localSheetId="19" hidden="1">TB BS non Monetary [28]TC!$C$13:$D$15</definedName>
    <definedName name="BExGVXVSBXD1XIPQRLNJM2ML03WF" localSheetId="17" hidden="1">TB BS non Monetary [28]TC!$C$13:$D$15</definedName>
    <definedName name="BExGVXVSBXD1XIPQRLNJM2ML03WF" hidden="1">TB BS non Monetary [28]TC!$C$13:$D$15</definedName>
    <definedName name="BExGVYMOUHJASZITEQHMNNIOO57L" localSheetId="18" hidden="1">Trial [32]Balance!$D$6:$D$6</definedName>
    <definedName name="BExGVYMOUHJASZITEQHMNNIOO57L" localSheetId="16" hidden="1">Trial [32]Balance!$D$6:$D$6</definedName>
    <definedName name="BExGVYMOUHJASZITEQHMNNIOO57L" localSheetId="21" hidden="1">Trial [32]Balance!$D$6:$D$6</definedName>
    <definedName name="BExGVYMOUHJASZITEQHMNNIOO57L" localSheetId="19" hidden="1">Trial [32]Balance!$D$6:$D$6</definedName>
    <definedName name="BExGVYMOUHJASZITEQHMNNIOO57L" localSheetId="17" hidden="1">Trial [32]Balance!$D$6:$D$6</definedName>
    <definedName name="BExGVYMOUHJASZITEQHMNNIOO57L" hidden="1">Trial [32]Balance!$D$6:$D$6</definedName>
    <definedName name="BExGW0A3A2H6VYCZLLJLLHU3KHJ6" localSheetId="18" hidden="1">BS-non Monetary-[28]TC!$C$13:$D$14</definedName>
    <definedName name="BExGW0A3A2H6VYCZLLJLLHU3KHJ6" localSheetId="16" hidden="1">BS-non Monetary-[28]TC!$C$13:$D$14</definedName>
    <definedName name="BExGW0A3A2H6VYCZLLJLLHU3KHJ6" localSheetId="21" hidden="1">BS-non Monetary-[28]TC!$C$13:$D$14</definedName>
    <definedName name="BExGW0A3A2H6VYCZLLJLLHU3KHJ6" localSheetId="19" hidden="1">BS-non Monetary-[28]TC!$C$13:$D$14</definedName>
    <definedName name="BExGW0A3A2H6VYCZLLJLLHU3KHJ6" localSheetId="17" hidden="1">BS-non Monetary-[28]TC!$C$13:$D$14</definedName>
    <definedName name="BExGW0A3A2H6VYCZLLJLLHU3KHJ6" hidden="1">BS-non Monetary-[28]TC!$C$13:$D$14</definedName>
    <definedName name="BExGWDGUGUW2YMWI6T4BU9VA6QA6" hidden="1">#N/A</definedName>
    <definedName name="BExGWI9GWRU93PRDJQM3GCGNOMVI" localSheetId="18" hidden="1">BS-[34]Monitory!$D$8:$D$8</definedName>
    <definedName name="BExGWI9GWRU93PRDJQM3GCGNOMVI" localSheetId="16" hidden="1">BS-[34]Monitory!$D$8:$D$8</definedName>
    <definedName name="BExGWI9GWRU93PRDJQM3GCGNOMVI" localSheetId="21" hidden="1">BS-[34]Monitory!$D$8:$D$8</definedName>
    <definedName name="BExGWI9GWRU93PRDJQM3GCGNOMVI" localSheetId="19" hidden="1">BS-[34]Monitory!$D$8:$D$8</definedName>
    <definedName name="BExGWI9GWRU93PRDJQM3GCGNOMVI" localSheetId="17" hidden="1">BS-[34]Monitory!$D$8:$D$8</definedName>
    <definedName name="BExGWI9GWRU93PRDJQM3GCGNOMVI" hidden="1">BS-[34]Monitory!$D$8:$D$8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XO2JFJTJP6X7VUH2VT427W5R" hidden="1">#N/A</definedName>
    <definedName name="BExGY9SPV7BXC5DARAE17CINREFS" hidden="1">#N/A</definedName>
    <definedName name="BExGZ249J4MKSPDY5LKL4BM8ZDUW" hidden="1">#N/A</definedName>
    <definedName name="BExGZ6GSIH52EGKA8AQ3QAY5KZYU" localSheetId="18" hidden="1">BS-[29]Monetary!$D$6:$D$6</definedName>
    <definedName name="BExGZ6GSIH52EGKA8AQ3QAY5KZYU" localSheetId="16" hidden="1">BS-[29]Monetary!$D$6:$D$6</definedName>
    <definedName name="BExGZ6GSIH52EGKA8AQ3QAY5KZYU" localSheetId="21" hidden="1">BS-[29]Monetary!$D$6:$D$6</definedName>
    <definedName name="BExGZ6GSIH52EGKA8AQ3QAY5KZYU" localSheetId="19" hidden="1">BS-[29]Monetary!$D$6:$D$6</definedName>
    <definedName name="BExGZ6GSIH52EGKA8AQ3QAY5KZYU" localSheetId="17" hidden="1">BS-[29]Monetary!$D$6:$D$6</definedName>
    <definedName name="BExGZ6GSIH52EGKA8AQ3QAY5KZYU" hidden="1">BS-[29]Monetary!$D$6:$D$6</definedName>
    <definedName name="BExGZIGCXSAAY72LKVO4WT2935O5" localSheetId="18" hidden="1">BS-non Monetary-[28]TC!$C$17:$F$516</definedName>
    <definedName name="BExGZIGCXSAAY72LKVO4WT2935O5" localSheetId="16" hidden="1">BS-non Monetary-[28]TC!$C$17:$F$516</definedName>
    <definedName name="BExGZIGCXSAAY72LKVO4WT2935O5" localSheetId="21" hidden="1">BS-non Monetary-[28]TC!$C$17:$F$516</definedName>
    <definedName name="BExGZIGCXSAAY72LKVO4WT2935O5" localSheetId="19" hidden="1">BS-non Monetary-[28]TC!$C$17:$F$516</definedName>
    <definedName name="BExGZIGCXSAAY72LKVO4WT2935O5" localSheetId="17" hidden="1">BS-non Monetary-[28]TC!$C$17:$F$516</definedName>
    <definedName name="BExGZIGCXSAAY72LKVO4WT2935O5" hidden="1">BS-non Monetary-[28]TC!$C$17:$F$516</definedName>
    <definedName name="BExH070XZM7IZLZ3BT83OVPPFWNT" localSheetId="18" hidden="1">BS-non Monetary-[27]LC!$D$8:$D$8</definedName>
    <definedName name="BExH070XZM7IZLZ3BT83OVPPFWNT" localSheetId="16" hidden="1">BS-non Monetary-[27]LC!$D$8:$D$8</definedName>
    <definedName name="BExH070XZM7IZLZ3BT83OVPPFWNT" localSheetId="21" hidden="1">BS-non Monetary-[27]LC!$D$8:$D$8</definedName>
    <definedName name="BExH070XZM7IZLZ3BT83OVPPFWNT" localSheetId="19" hidden="1">BS-non Monetary-[27]LC!$D$8:$D$8</definedName>
    <definedName name="BExH070XZM7IZLZ3BT83OVPPFWNT" localSheetId="17" hidden="1">BS-non Monetary-[27]LC!$D$8:$D$8</definedName>
    <definedName name="BExH070XZM7IZLZ3BT83OVPPFWNT" hidden="1">BS-non Monetary-[27]LC!$D$8:$D$8</definedName>
    <definedName name="BExH0HO2A7M9D1YQPMCPEFH5U8NS" hidden="1">#N/A</definedName>
    <definedName name="BExH0TCVR29FT90NK6Q3KSZO9GKF" hidden="1">#N/A</definedName>
    <definedName name="BExH14W5X8MRYO1EM2RRD9ND37BL" localSheetId="18" hidden="1">BS-non Monetary-[28]TC!$D$8:$D$8</definedName>
    <definedName name="BExH14W5X8MRYO1EM2RRD9ND37BL" localSheetId="16" hidden="1">BS-non Monetary-[28]TC!$D$8:$D$8</definedName>
    <definedName name="BExH14W5X8MRYO1EM2RRD9ND37BL" localSheetId="21" hidden="1">BS-non Monetary-[28]TC!$D$8:$D$8</definedName>
    <definedName name="BExH14W5X8MRYO1EM2RRD9ND37BL" localSheetId="19" hidden="1">BS-non Monetary-[28]TC!$D$8:$D$8</definedName>
    <definedName name="BExH14W5X8MRYO1EM2RRD9ND37BL" localSheetId="17" hidden="1">BS-non Monetary-[28]TC!$D$8:$D$8</definedName>
    <definedName name="BExH14W5X8MRYO1EM2RRD9ND37BL" hidden="1">BS-non Monetary-[28]TC!$D$8:$D$8</definedName>
    <definedName name="BExH1FOM0C6VRDA3DVWTRXKHUGIB" localSheetId="18" hidden="1">BS-non Monetary-[28]TC!$C$17:$F$505</definedName>
    <definedName name="BExH1FOM0C6VRDA3DVWTRXKHUGIB" localSheetId="16" hidden="1">BS-non Monetary-[28]TC!$C$17:$F$505</definedName>
    <definedName name="BExH1FOM0C6VRDA3DVWTRXKHUGIB" localSheetId="21" hidden="1">BS-non Monetary-[28]TC!$C$17:$F$505</definedName>
    <definedName name="BExH1FOM0C6VRDA3DVWTRXKHUGIB" localSheetId="19" hidden="1">BS-non Monetary-[28]TC!$C$17:$F$505</definedName>
    <definedName name="BExH1FOM0C6VRDA3DVWTRXKHUGIB" localSheetId="17" hidden="1">BS-non Monetary-[28]TC!$C$17:$F$505</definedName>
    <definedName name="BExH1FOM0C6VRDA3DVWTRXKHUGIB" hidden="1">BS-non Monetary-[28]TC!$C$17:$F$505</definedName>
    <definedName name="BExH1TBGICZ9QESB2WWV6UWA16EH" localSheetId="18" hidden="1">BS-non Monetary-[28]TC!$D$8:$D$8</definedName>
    <definedName name="BExH1TBGICZ9QESB2WWV6UWA16EH" localSheetId="16" hidden="1">BS-non Monetary-[28]TC!$D$8:$D$8</definedName>
    <definedName name="BExH1TBGICZ9QESB2WWV6UWA16EH" localSheetId="21" hidden="1">BS-non Monetary-[28]TC!$D$8:$D$8</definedName>
    <definedName name="BExH1TBGICZ9QESB2WWV6UWA16EH" localSheetId="19" hidden="1">BS-non Monetary-[28]TC!$D$8:$D$8</definedName>
    <definedName name="BExH1TBGICZ9QESB2WWV6UWA16EH" localSheetId="17" hidden="1">BS-non Monetary-[28]TC!$D$8:$D$8</definedName>
    <definedName name="BExH1TBGICZ9QESB2WWV6UWA16EH" hidden="1">BS-non Monetary-[28]TC!$D$8:$D$8</definedName>
    <definedName name="BExH1VF0E7CJLE9V5FJDLH4UMU6E" localSheetId="18" hidden="1">Balance [33]Sheet!$D$7:$D$7</definedName>
    <definedName name="BExH1VF0E7CJLE9V5FJDLH4UMU6E" localSheetId="16" hidden="1">Balance [33]Sheet!$D$7:$D$7</definedName>
    <definedName name="BExH1VF0E7CJLE9V5FJDLH4UMU6E" localSheetId="21" hidden="1">Balance [33]Sheet!$D$7:$D$7</definedName>
    <definedName name="BExH1VF0E7CJLE9V5FJDLH4UMU6E" localSheetId="19" hidden="1">Balance [33]Sheet!$D$7:$D$7</definedName>
    <definedName name="BExH1VF0E7CJLE9V5FJDLH4UMU6E" localSheetId="17" hidden="1">Balance [33]Sheet!$D$7:$D$7</definedName>
    <definedName name="BExH1VF0E7CJLE9V5FJDLH4UMU6E" hidden="1">Balance [33]Sheet!$D$7:$D$7</definedName>
    <definedName name="BExH25RCP7NR5HCGW1HF46EX2O74" localSheetId="18" hidden="1">BS-non Monetary-[28]TC!$D$7:$D$7</definedName>
    <definedName name="BExH25RCP7NR5HCGW1HF46EX2O74" localSheetId="16" hidden="1">BS-non Monetary-[28]TC!$D$7:$D$7</definedName>
    <definedName name="BExH25RCP7NR5HCGW1HF46EX2O74" localSheetId="21" hidden="1">BS-non Monetary-[28]TC!$D$7:$D$7</definedName>
    <definedName name="BExH25RCP7NR5HCGW1HF46EX2O74" localSheetId="19" hidden="1">BS-non Monetary-[28]TC!$D$7:$D$7</definedName>
    <definedName name="BExH25RCP7NR5HCGW1HF46EX2O74" localSheetId="17" hidden="1">BS-non Monetary-[28]TC!$D$7:$D$7</definedName>
    <definedName name="BExH25RCP7NR5HCGW1HF46EX2O74" hidden="1">BS-non Monetary-[28]TC!$D$7:$D$7</definedName>
    <definedName name="BExH2AEHECUY49P8UPD526OBRV00" localSheetId="18" hidden="1">BS-non Monetary-[28]TC!$C$13:$D$14</definedName>
    <definedName name="BExH2AEHECUY49P8UPD526OBRV00" localSheetId="16" hidden="1">BS-non Monetary-[28]TC!$C$13:$D$14</definedName>
    <definedName name="BExH2AEHECUY49P8UPD526OBRV00" localSheetId="21" hidden="1">BS-non Monetary-[28]TC!$C$13:$D$14</definedName>
    <definedName name="BExH2AEHECUY49P8UPD526OBRV00" localSheetId="19" hidden="1">BS-non Monetary-[28]TC!$C$13:$D$14</definedName>
    <definedName name="BExH2AEHECUY49P8UPD526OBRV00" localSheetId="17" hidden="1">BS-non Monetary-[28]TC!$C$13:$D$14</definedName>
    <definedName name="BExH2AEHECUY49P8UPD526OBRV00" hidden="1">BS-non Monetary-[28]TC!$C$13:$D$14</definedName>
    <definedName name="BExH2V2Z3BVWI76ZLIZW7BJZ65IG" hidden="1">#N/A</definedName>
    <definedName name="BExH2YDMRYTFGYFSQMRHLWBHFGYP" localSheetId="18" hidden="1">BS Equity [30]Item!$C$13:$D$21</definedName>
    <definedName name="BExH2YDMRYTFGYFSQMRHLWBHFGYP" localSheetId="16" hidden="1">BS Equity [30]Item!$C$13:$D$21</definedName>
    <definedName name="BExH2YDMRYTFGYFSQMRHLWBHFGYP" localSheetId="21" hidden="1">BS Equity [30]Item!$C$13:$D$21</definedName>
    <definedName name="BExH2YDMRYTFGYFSQMRHLWBHFGYP" localSheetId="19" hidden="1">BS Equity [30]Item!$C$13:$D$21</definedName>
    <definedName name="BExH2YDMRYTFGYFSQMRHLWBHFGYP" localSheetId="17" hidden="1">BS Equity [30]Item!$C$13:$D$21</definedName>
    <definedName name="BExH2YDMRYTFGYFSQMRHLWBHFGYP" hidden="1">BS Equity [30]Item!$C$13:$D$21</definedName>
    <definedName name="BExH38F56OOVBEIBP602643GLG5B" hidden="1">#N/A</definedName>
    <definedName name="BExIH7LOL9Q0NBX366KJ0PIG87OW" hidden="1">#N/A</definedName>
    <definedName name="BExIHEXX5UT5ZMWZPM8FQRIIJM2A" localSheetId="18" hidden="1">BS-non Monetary-[28]TC!$C$13:$D$14</definedName>
    <definedName name="BExIHEXX5UT5ZMWZPM8FQRIIJM2A" localSheetId="16" hidden="1">BS-non Monetary-[28]TC!$C$13:$D$14</definedName>
    <definedName name="BExIHEXX5UT5ZMWZPM8FQRIIJM2A" localSheetId="21" hidden="1">BS-non Monetary-[28]TC!$C$13:$D$14</definedName>
    <definedName name="BExIHEXX5UT5ZMWZPM8FQRIIJM2A" localSheetId="19" hidden="1">BS-non Monetary-[28]TC!$C$13:$D$14</definedName>
    <definedName name="BExIHEXX5UT5ZMWZPM8FQRIIJM2A" localSheetId="17" hidden="1">BS-non Monetary-[28]TC!$C$13:$D$14</definedName>
    <definedName name="BExIHEXX5UT5ZMWZPM8FQRIIJM2A" hidden="1">BS-non Monetary-[28]TC!$C$13:$D$14</definedName>
    <definedName name="BExIIG9A9X9QAWQAXQW5HWFBPLJJ" localSheetId="18" hidden="1">BS-non Monetary-[27]LC!$D$7:$D$7</definedName>
    <definedName name="BExIIG9A9X9QAWQAXQW5HWFBPLJJ" localSheetId="16" hidden="1">BS-non Monetary-[27]LC!$D$7:$D$7</definedName>
    <definedName name="BExIIG9A9X9QAWQAXQW5HWFBPLJJ" localSheetId="21" hidden="1">BS-non Monetary-[27]LC!$D$7:$D$7</definedName>
    <definedName name="BExIIG9A9X9QAWQAXQW5HWFBPLJJ" localSheetId="19" hidden="1">BS-non Monetary-[27]LC!$D$7:$D$7</definedName>
    <definedName name="BExIIG9A9X9QAWQAXQW5HWFBPLJJ" localSheetId="17" hidden="1">BS-non Monetary-[27]LC!$D$7:$D$7</definedName>
    <definedName name="BExIIG9A9X9QAWQAXQW5HWFBPLJJ" hidden="1">BS-non Monetary-[27]LC!$D$7:$D$7</definedName>
    <definedName name="BExIITQPKXBGY4KQC2ZBQ5G9LGJK" hidden="1">#N/A</definedName>
    <definedName name="BExIL5IBDELDRCCV7HTURAOZ5YC6" localSheetId="18" hidden="1">BS-non Monetary-[27]LC!$D$8:$D$8</definedName>
    <definedName name="BExIL5IBDELDRCCV7HTURAOZ5YC6" localSheetId="16" hidden="1">BS-non Monetary-[27]LC!$D$8:$D$8</definedName>
    <definedName name="BExIL5IBDELDRCCV7HTURAOZ5YC6" localSheetId="21" hidden="1">BS-non Monetary-[27]LC!$D$8:$D$8</definedName>
    <definedName name="BExIL5IBDELDRCCV7HTURAOZ5YC6" localSheetId="19" hidden="1">BS-non Monetary-[27]LC!$D$8:$D$8</definedName>
    <definedName name="BExIL5IBDELDRCCV7HTURAOZ5YC6" localSheetId="17" hidden="1">BS-non Monetary-[27]LC!$D$8:$D$8</definedName>
    <definedName name="BExIL5IBDELDRCCV7HTURAOZ5YC6" hidden="1">BS-non Monetary-[27]LC!$D$8:$D$8</definedName>
    <definedName name="BExIL87ETHDNQL3YGEAQCCKDLFX7" localSheetId="18" hidden="1">BS-non Monetary-[28]TC!$D$8:$D$8</definedName>
    <definedName name="BExIL87ETHDNQL3YGEAQCCKDLFX7" localSheetId="16" hidden="1">BS-non Monetary-[28]TC!$D$8:$D$8</definedName>
    <definedName name="BExIL87ETHDNQL3YGEAQCCKDLFX7" localSheetId="21" hidden="1">BS-non Monetary-[28]TC!$D$8:$D$8</definedName>
    <definedName name="BExIL87ETHDNQL3YGEAQCCKDLFX7" localSheetId="19" hidden="1">BS-non Monetary-[28]TC!$D$8:$D$8</definedName>
    <definedName name="BExIL87ETHDNQL3YGEAQCCKDLFX7" localSheetId="17" hidden="1">BS-non Monetary-[28]TC!$D$8:$D$8</definedName>
    <definedName name="BExIL87ETHDNQL3YGEAQCCKDLFX7" hidden="1">BS-non Monetary-[28]TC!$D$8:$D$8</definedName>
    <definedName name="BExILAR7C7HW9UZ625QWOSZYG2U5" localSheetId="18" hidden="1">BS-non Monetary-[28]TC!$D$6:$D$6</definedName>
    <definedName name="BExILAR7C7HW9UZ625QWOSZYG2U5" localSheetId="16" hidden="1">BS-non Monetary-[28]TC!$D$6:$D$6</definedName>
    <definedName name="BExILAR7C7HW9UZ625QWOSZYG2U5" localSheetId="21" hidden="1">BS-non Monetary-[28]TC!$D$6:$D$6</definedName>
    <definedName name="BExILAR7C7HW9UZ625QWOSZYG2U5" localSheetId="19" hidden="1">BS-non Monetary-[28]TC!$D$6:$D$6</definedName>
    <definedName name="BExILAR7C7HW9UZ625QWOSZYG2U5" localSheetId="17" hidden="1">BS-non Monetary-[28]TC!$D$6:$D$6</definedName>
    <definedName name="BExILAR7C7HW9UZ625QWOSZYG2U5" hidden="1">BS-non Monetary-[28]TC!$D$6:$D$6</definedName>
    <definedName name="BExILMLBDTLGSQP72A1I9Y640DFR" localSheetId="18" hidden="1">BS-non Monetary-[27]LC!$C$13:$D$14</definedName>
    <definedName name="BExILMLBDTLGSQP72A1I9Y640DFR" localSheetId="16" hidden="1">BS-non Monetary-[27]LC!$C$13:$D$14</definedName>
    <definedName name="BExILMLBDTLGSQP72A1I9Y640DFR" localSheetId="21" hidden="1">BS-non Monetary-[27]LC!$C$13:$D$14</definedName>
    <definedName name="BExILMLBDTLGSQP72A1I9Y640DFR" localSheetId="19" hidden="1">BS-non Monetary-[27]LC!$C$13:$D$14</definedName>
    <definedName name="BExILMLBDTLGSQP72A1I9Y640DFR" localSheetId="17" hidden="1">BS-non Monetary-[27]LC!$C$13:$D$14</definedName>
    <definedName name="BExILMLBDTLGSQP72A1I9Y640DFR" hidden="1">BS-non Monetary-[27]LC!$C$13:$D$14</definedName>
    <definedName name="BExILTXKO84HB0AIMTUIRWV2QVMM" localSheetId="18" hidden="1">BS-[29]Monetary!$D$8:$D$8</definedName>
    <definedName name="BExILTXKO84HB0AIMTUIRWV2QVMM" localSheetId="16" hidden="1">BS-[29]Monetary!$D$8:$D$8</definedName>
    <definedName name="BExILTXKO84HB0AIMTUIRWV2QVMM" localSheetId="21" hidden="1">BS-[29]Monetary!$D$8:$D$8</definedName>
    <definedName name="BExILTXKO84HB0AIMTUIRWV2QVMM" localSheetId="19" hidden="1">BS-[29]Monetary!$D$8:$D$8</definedName>
    <definedName name="BExILTXKO84HB0AIMTUIRWV2QVMM" localSheetId="17" hidden="1">BS-[29]Monetary!$D$8:$D$8</definedName>
    <definedName name="BExILTXKO84HB0AIMTUIRWV2QVMM" hidden="1">BS-[29]Monetary!$D$8:$D$8</definedName>
    <definedName name="BExIMB0K9HSHSO4HL3QYLORHA79V" localSheetId="18" hidden="1">TB BS Monetary [30]Item!$D$7:$D$7</definedName>
    <definedName name="BExIMB0K9HSHSO4HL3QYLORHA79V" localSheetId="16" hidden="1">TB BS Monetary [30]Item!$D$7:$D$7</definedName>
    <definedName name="BExIMB0K9HSHSO4HL3QYLORHA79V" localSheetId="21" hidden="1">TB BS Monetary [30]Item!$D$7:$D$7</definedName>
    <definedName name="BExIMB0K9HSHSO4HL3QYLORHA79V" localSheetId="19" hidden="1">TB BS Monetary [30]Item!$D$7:$D$7</definedName>
    <definedName name="BExIMB0K9HSHSO4HL3QYLORHA79V" localSheetId="17" hidden="1">TB BS Monetary [30]Item!$D$7:$D$7</definedName>
    <definedName name="BExIMB0K9HSHSO4HL3QYLORHA79V" hidden="1">TB BS Monetary [30]Item!$D$7:$D$7</definedName>
    <definedName name="BExIMCYTJI84LJAWJND8CX2G51VC" hidden="1">#N/A</definedName>
    <definedName name="BExIMHGNDN8S7O8EO7PPBS0Y4DRK" localSheetId="18" hidden="1">BS-non Monetary-[28]TC!$C$17:$F$663</definedName>
    <definedName name="BExIMHGNDN8S7O8EO7PPBS0Y4DRK" localSheetId="16" hidden="1">BS-non Monetary-[28]TC!$C$17:$F$663</definedName>
    <definedName name="BExIMHGNDN8S7O8EO7PPBS0Y4DRK" localSheetId="21" hidden="1">BS-non Monetary-[28]TC!$C$17:$F$663</definedName>
    <definedName name="BExIMHGNDN8S7O8EO7PPBS0Y4DRK" localSheetId="19" hidden="1">BS-non Monetary-[28]TC!$C$17:$F$663</definedName>
    <definedName name="BExIMHGNDN8S7O8EO7PPBS0Y4DRK" localSheetId="17" hidden="1">BS-non Monetary-[28]TC!$C$17:$F$663</definedName>
    <definedName name="BExIMHGNDN8S7O8EO7PPBS0Y4DRK" hidden="1">BS-non Monetary-[28]TC!$C$17:$F$663</definedName>
    <definedName name="BExIMTLJYWHLYF9MEWM3XSGG6L46" hidden="1">#N/A</definedName>
    <definedName name="BExIMX70S3AVS2PZM7BZN0WFMX6L" localSheetId="18" hidden="1">BS-non Monetary-[27]LC!$C$13:$D$14</definedName>
    <definedName name="BExIMX70S3AVS2PZM7BZN0WFMX6L" localSheetId="16" hidden="1">BS-non Monetary-[27]LC!$C$13:$D$14</definedName>
    <definedName name="BExIMX70S3AVS2PZM7BZN0WFMX6L" localSheetId="21" hidden="1">BS-non Monetary-[27]LC!$C$13:$D$14</definedName>
    <definedName name="BExIMX70S3AVS2PZM7BZN0WFMX6L" localSheetId="19" hidden="1">BS-non Monetary-[27]LC!$C$13:$D$14</definedName>
    <definedName name="BExIMX70S3AVS2PZM7BZN0WFMX6L" localSheetId="17" hidden="1">BS-non Monetary-[27]LC!$C$13:$D$14</definedName>
    <definedName name="BExIMX70S3AVS2PZM7BZN0WFMX6L" hidden="1">BS-non Monetary-[27]LC!$C$13:$D$14</definedName>
    <definedName name="BExINCHATLIBQD9124WH00C6U9AG" localSheetId="18" hidden="1">Trial [32]Balance!$D$6:$D$6</definedName>
    <definedName name="BExINCHATLIBQD9124WH00C6U9AG" localSheetId="16" hidden="1">Trial [32]Balance!$D$6:$D$6</definedName>
    <definedName name="BExINCHATLIBQD9124WH00C6U9AG" localSheetId="21" hidden="1">Trial [32]Balance!$D$6:$D$6</definedName>
    <definedName name="BExINCHATLIBQD9124WH00C6U9AG" localSheetId="19" hidden="1">Trial [32]Balance!$D$6:$D$6</definedName>
    <definedName name="BExINCHATLIBQD9124WH00C6U9AG" localSheetId="17" hidden="1">Trial [32]Balance!$D$6:$D$6</definedName>
    <definedName name="BExINCHATLIBQD9124WH00C6U9AG" hidden="1">Trial [32]Balance!$D$6:$D$6</definedName>
    <definedName name="BExIOI4VCN4LZ24SN63UUF3SFHYA" hidden="1">#N/A</definedName>
    <definedName name="BExIOYH0VWDS9BMWS6PHPMYXI1AR" localSheetId="18" hidden="1">TB BS Monetary [30]Item!$D$6:$D$6</definedName>
    <definedName name="BExIOYH0VWDS9BMWS6PHPMYXI1AR" localSheetId="16" hidden="1">TB BS Monetary [30]Item!$D$6:$D$6</definedName>
    <definedName name="BExIOYH0VWDS9BMWS6PHPMYXI1AR" localSheetId="21" hidden="1">TB BS Monetary [30]Item!$D$6:$D$6</definedName>
    <definedName name="BExIOYH0VWDS9BMWS6PHPMYXI1AR" localSheetId="19" hidden="1">TB BS Monetary [30]Item!$D$6:$D$6</definedName>
    <definedName name="BExIOYH0VWDS9BMWS6PHPMYXI1AR" localSheetId="17" hidden="1">TB BS Monetary [30]Item!$D$6:$D$6</definedName>
    <definedName name="BExIOYH0VWDS9BMWS6PHPMYXI1AR" hidden="1">TB BS Monetary [30]Item!$D$6:$D$6</definedName>
    <definedName name="BExIQ2BW4KIHKK4F8TB8CG6SALQH" localSheetId="18" hidden="1">BS-non Monitory-[31]GC!$C$17:$F$416</definedName>
    <definedName name="BExIQ2BW4KIHKK4F8TB8CG6SALQH" localSheetId="16" hidden="1">BS-non Monitory-[31]GC!$C$17:$F$416</definedName>
    <definedName name="BExIQ2BW4KIHKK4F8TB8CG6SALQH" localSheetId="21" hidden="1">BS-non Monitory-[31]GC!$C$17:$F$416</definedName>
    <definedName name="BExIQ2BW4KIHKK4F8TB8CG6SALQH" localSheetId="19" hidden="1">BS-non Monitory-[31]GC!$C$17:$F$416</definedName>
    <definedName name="BExIQ2BW4KIHKK4F8TB8CG6SALQH" localSheetId="17" hidden="1">BS-non Monitory-[31]GC!$C$17:$F$416</definedName>
    <definedName name="BExIQ2BW4KIHKK4F8TB8CG6SALQH" hidden="1">BS-non Monitory-[31]GC!$C$17:$F$416</definedName>
    <definedName name="BExIR9XV6I4GOXR1NDC8QSIQ5FKB" hidden="1">#N/A</definedName>
    <definedName name="BExIRU62J556M8VZ4SH686SMP2S9" hidden="1">#N/A</definedName>
    <definedName name="BExISHE6RI9OKT74BYSBLQE6FZMA" localSheetId="18" hidden="1">BS-[29]Monetary!$C$17:$W$209</definedName>
    <definedName name="BExISHE6RI9OKT74BYSBLQE6FZMA" localSheetId="16" hidden="1">BS-[29]Monetary!$C$17:$W$209</definedName>
    <definedName name="BExISHE6RI9OKT74BYSBLQE6FZMA" localSheetId="21" hidden="1">BS-[29]Monetary!$C$17:$W$209</definedName>
    <definedName name="BExISHE6RI9OKT74BYSBLQE6FZMA" localSheetId="19" hidden="1">BS-[29]Monetary!$C$17:$W$209</definedName>
    <definedName name="BExISHE6RI9OKT74BYSBLQE6FZMA" localSheetId="17" hidden="1">BS-[29]Monetary!$C$17:$W$209</definedName>
    <definedName name="BExISHE6RI9OKT74BYSBLQE6FZMA" hidden="1">BS-[29]Monetary!$C$17:$W$209</definedName>
    <definedName name="BExISRVT7HO508ZEB5RVDEHS1XO2" localSheetId="18" hidden="1">BS-non Monetary-[27]LC!$C$13:$D$14</definedName>
    <definedName name="BExISRVT7HO508ZEB5RVDEHS1XO2" localSheetId="16" hidden="1">BS-non Monetary-[27]LC!$C$13:$D$14</definedName>
    <definedName name="BExISRVT7HO508ZEB5RVDEHS1XO2" localSheetId="21" hidden="1">BS-non Monetary-[27]LC!$C$13:$D$14</definedName>
    <definedName name="BExISRVT7HO508ZEB5RVDEHS1XO2" localSheetId="19" hidden="1">BS-non Monetary-[27]LC!$C$13:$D$14</definedName>
    <definedName name="BExISRVT7HO508ZEB5RVDEHS1XO2" localSheetId="17" hidden="1">BS-non Monetary-[27]LC!$C$13:$D$14</definedName>
    <definedName name="BExISRVT7HO508ZEB5RVDEHS1XO2" hidden="1">BS-non Monetary-[27]LC!$C$13:$D$14</definedName>
    <definedName name="BExIT34CKYWTE22GAPA6UKXB8P60" localSheetId="18" hidden="1">BS-non Monetary-[28]TC!$D$7:$D$7</definedName>
    <definedName name="BExIT34CKYWTE22GAPA6UKXB8P60" localSheetId="16" hidden="1">BS-non Monetary-[28]TC!$D$7:$D$7</definedName>
    <definedName name="BExIT34CKYWTE22GAPA6UKXB8P60" localSheetId="21" hidden="1">BS-non Monetary-[28]TC!$D$7:$D$7</definedName>
    <definedName name="BExIT34CKYWTE22GAPA6UKXB8P60" localSheetId="19" hidden="1">BS-non Monetary-[28]TC!$D$7:$D$7</definedName>
    <definedName name="BExIT34CKYWTE22GAPA6UKXB8P60" localSheetId="17" hidden="1">BS-non Monetary-[28]TC!$D$7:$D$7</definedName>
    <definedName name="BExIT34CKYWTE22GAPA6UKXB8P60" hidden="1">BS-non Monetary-[28]TC!$D$7:$D$7</definedName>
    <definedName name="BExIT4RRRNDWMT3OCO1A6DKS1S72" hidden="1">#N/A</definedName>
    <definedName name="BExITCV36I4I1HKIKHUQFQWD8CXZ" hidden="1">#N/A</definedName>
    <definedName name="BExITPASMA9IRAQRRZ5K3KH1YDZL" hidden="1">#N/A</definedName>
    <definedName name="BExITYAHXVNB0SLVT43XQFT1IRGG" localSheetId="18" hidden="1">BS-non Monetary-[28]TC!$C$13:$D$14</definedName>
    <definedName name="BExITYAHXVNB0SLVT43XQFT1IRGG" localSheetId="16" hidden="1">BS-non Monetary-[28]TC!$C$13:$D$14</definedName>
    <definedName name="BExITYAHXVNB0SLVT43XQFT1IRGG" localSheetId="21" hidden="1">BS-non Monetary-[28]TC!$C$13:$D$14</definedName>
    <definedName name="BExITYAHXVNB0SLVT43XQFT1IRGG" localSheetId="19" hidden="1">BS-non Monetary-[28]TC!$C$13:$D$14</definedName>
    <definedName name="BExITYAHXVNB0SLVT43XQFT1IRGG" localSheetId="17" hidden="1">BS-non Monetary-[28]TC!$C$13:$D$14</definedName>
    <definedName name="BExITYAHXVNB0SLVT43XQFT1IRGG" hidden="1">BS-non Monetary-[28]TC!$C$13:$D$14</definedName>
    <definedName name="BExIUL2HVDMISHT4NKHDUJM2P8AJ" localSheetId="18" hidden="1">BS-non Monitory-[28]TC!$D$8:$D$8</definedName>
    <definedName name="BExIUL2HVDMISHT4NKHDUJM2P8AJ" localSheetId="16" hidden="1">BS-non Monitory-[28]TC!$D$8:$D$8</definedName>
    <definedName name="BExIUL2HVDMISHT4NKHDUJM2P8AJ" localSheetId="21" hidden="1">BS-non Monitory-[28]TC!$D$8:$D$8</definedName>
    <definedName name="BExIUL2HVDMISHT4NKHDUJM2P8AJ" localSheetId="19" hidden="1">BS-non Monitory-[28]TC!$D$8:$D$8</definedName>
    <definedName name="BExIUL2HVDMISHT4NKHDUJM2P8AJ" localSheetId="17" hidden="1">BS-non Monitory-[28]TC!$D$8:$D$8</definedName>
    <definedName name="BExIUL2HVDMISHT4NKHDUJM2P8AJ" hidden="1">BS-non Monitory-[28]TC!$D$8:$D$8</definedName>
    <definedName name="BExIUUT2YFOJR8OD9OWLEKZY4UD4" hidden="1">#N/A</definedName>
    <definedName name="BExIVF6R7JNQ365RH58NYNT1DUF7" localSheetId="18" hidden="1">TB BS non Monetary [28]TC!$C$13:$D$15</definedName>
    <definedName name="BExIVF6R7JNQ365RH58NYNT1DUF7" localSheetId="16" hidden="1">TB BS non Monetary [28]TC!$C$13:$D$15</definedName>
    <definedName name="BExIVF6R7JNQ365RH58NYNT1DUF7" localSheetId="21" hidden="1">TB BS non Monetary [28]TC!$C$13:$D$15</definedName>
    <definedName name="BExIVF6R7JNQ365RH58NYNT1DUF7" localSheetId="19" hidden="1">TB BS non Monetary [28]TC!$C$13:$D$15</definedName>
    <definedName name="BExIVF6R7JNQ365RH58NYNT1DUF7" localSheetId="17" hidden="1">TB BS non Monetary [28]TC!$C$13:$D$15</definedName>
    <definedName name="BExIVF6R7JNQ365RH58NYNT1DUF7" hidden="1">TB BS non Monetary [28]TC!$C$13:$D$15</definedName>
    <definedName name="BExIVJJA14SK8VNH7W0RUHSG68FO" hidden="1">#N/A</definedName>
    <definedName name="BExIW6WQ621TPSN7QZ5DNEAWKUON" localSheetId="18" hidden="1">BS-[29]Monetary!$C$13:$D$14</definedName>
    <definedName name="BExIW6WQ621TPSN7QZ5DNEAWKUON" localSheetId="16" hidden="1">BS-[29]Monetary!$C$13:$D$14</definedName>
    <definedName name="BExIW6WQ621TPSN7QZ5DNEAWKUON" localSheetId="21" hidden="1">BS-[29]Monetary!$C$13:$D$14</definedName>
    <definedName name="BExIW6WQ621TPSN7QZ5DNEAWKUON" localSheetId="19" hidden="1">BS-[29]Monetary!$C$13:$D$14</definedName>
    <definedName name="BExIW6WQ621TPSN7QZ5DNEAWKUON" localSheetId="17" hidden="1">BS-[29]Monetary!$C$13:$D$14</definedName>
    <definedName name="BExIW6WQ621TPSN7QZ5DNEAWKUON" hidden="1">BS-[29]Monetary!$C$13:$D$14</definedName>
    <definedName name="BExIWO51XP59FASPRC74Z8Y7Q30V" localSheetId="18" hidden="1">BS-[29]Monetary!$C$13:$D$14</definedName>
    <definedName name="BExIWO51XP59FASPRC74Z8Y7Q30V" localSheetId="16" hidden="1">BS-[29]Monetary!$C$13:$D$14</definedName>
    <definedName name="BExIWO51XP59FASPRC74Z8Y7Q30V" localSheetId="21" hidden="1">BS-[29]Monetary!$C$13:$D$14</definedName>
    <definedName name="BExIWO51XP59FASPRC74Z8Y7Q30V" localSheetId="19" hidden="1">BS-[29]Monetary!$C$13:$D$14</definedName>
    <definedName name="BExIWO51XP59FASPRC74Z8Y7Q30V" localSheetId="17" hidden="1">BS-[29]Monetary!$C$13:$D$14</definedName>
    <definedName name="BExIWO51XP59FASPRC74Z8Y7Q30V" hidden="1">BS-[29]Monetary!$C$13:$D$14</definedName>
    <definedName name="BExIWTDYMJ5YBHERB7FZQY4J6TYI" localSheetId="18" hidden="1">BS-non Monetary-[28]TC!$D$7:$D$7</definedName>
    <definedName name="BExIWTDYMJ5YBHERB7FZQY4J6TYI" localSheetId="16" hidden="1">BS-non Monetary-[28]TC!$D$7:$D$7</definedName>
    <definedName name="BExIWTDYMJ5YBHERB7FZQY4J6TYI" localSheetId="21" hidden="1">BS-non Monetary-[28]TC!$D$7:$D$7</definedName>
    <definedName name="BExIWTDYMJ5YBHERB7FZQY4J6TYI" localSheetId="19" hidden="1">BS-non Monetary-[28]TC!$D$7:$D$7</definedName>
    <definedName name="BExIWTDYMJ5YBHERB7FZQY4J6TYI" localSheetId="17" hidden="1">BS-non Monetary-[28]TC!$D$7:$D$7</definedName>
    <definedName name="BExIWTDYMJ5YBHERB7FZQY4J6TYI" hidden="1">BS-non Monetary-[28]TC!$D$7:$D$7</definedName>
    <definedName name="BExIWVMYUKS572HQZVLGZMHQ6IE0" localSheetId="18" hidden="1">BS-non Monitory-[28]TC!$D$6:$D$6</definedName>
    <definedName name="BExIWVMYUKS572HQZVLGZMHQ6IE0" localSheetId="16" hidden="1">BS-non Monitory-[28]TC!$D$6:$D$6</definedName>
    <definedName name="BExIWVMYUKS572HQZVLGZMHQ6IE0" localSheetId="21" hidden="1">BS-non Monitory-[28]TC!$D$6:$D$6</definedName>
    <definedName name="BExIWVMYUKS572HQZVLGZMHQ6IE0" localSheetId="19" hidden="1">BS-non Monitory-[28]TC!$D$6:$D$6</definedName>
    <definedName name="BExIWVMYUKS572HQZVLGZMHQ6IE0" localSheetId="17" hidden="1">BS-non Monitory-[28]TC!$D$6:$D$6</definedName>
    <definedName name="BExIWVMYUKS572HQZVLGZMHQ6IE0" hidden="1">BS-non Monitory-[28]TC!$D$6:$D$6</definedName>
    <definedName name="BExIXBIT9Z57LVUUV835FBTSHDVP" localSheetId="18" hidden="1">BS-non Monetary-[28]TC!$C$17:$F$505</definedName>
    <definedName name="BExIXBIT9Z57LVUUV835FBTSHDVP" localSheetId="16" hidden="1">BS-non Monetary-[28]TC!$C$17:$F$505</definedName>
    <definedName name="BExIXBIT9Z57LVUUV835FBTSHDVP" localSheetId="21" hidden="1">BS-non Monetary-[28]TC!$C$17:$F$505</definedName>
    <definedName name="BExIXBIT9Z57LVUUV835FBTSHDVP" localSheetId="19" hidden="1">BS-non Monetary-[28]TC!$C$17:$F$505</definedName>
    <definedName name="BExIXBIT9Z57LVUUV835FBTSHDVP" localSheetId="17" hidden="1">BS-non Monetary-[28]TC!$C$17:$F$505</definedName>
    <definedName name="BExIXBIT9Z57LVUUV835FBTSHDVP" hidden="1">BS-non Monetary-[28]TC!$C$17:$F$505</definedName>
    <definedName name="BExIXEO1W2M3AWM9GOJGVIV4NJ2F" localSheetId="18" hidden="1">BS-Equity-[27]LC!$D$7:$D$7</definedName>
    <definedName name="BExIXEO1W2M3AWM9GOJGVIV4NJ2F" localSheetId="16" hidden="1">BS-Equity-[27]LC!$D$7:$D$7</definedName>
    <definedName name="BExIXEO1W2M3AWM9GOJGVIV4NJ2F" localSheetId="21" hidden="1">BS-Equity-[27]LC!$D$7:$D$7</definedName>
    <definedName name="BExIXEO1W2M3AWM9GOJGVIV4NJ2F" localSheetId="19" hidden="1">BS-Equity-[27]LC!$D$7:$D$7</definedName>
    <definedName name="BExIXEO1W2M3AWM9GOJGVIV4NJ2F" localSheetId="17" hidden="1">BS-Equity-[27]LC!$D$7:$D$7</definedName>
    <definedName name="BExIXEO1W2M3AWM9GOJGVIV4NJ2F" hidden="1">BS-Equity-[27]LC!$D$7:$D$7</definedName>
    <definedName name="BExIXNT0RAYMJNVEO578N4B61NQE" localSheetId="18" hidden="1">TB BS non Monetary [31]GC!$C$13:$D$15</definedName>
    <definedName name="BExIXNT0RAYMJNVEO578N4B61NQE" localSheetId="16" hidden="1">TB BS non Monetary [31]GC!$C$13:$D$15</definedName>
    <definedName name="BExIXNT0RAYMJNVEO578N4B61NQE" localSheetId="21" hidden="1">TB BS non Monetary [31]GC!$C$13:$D$15</definedName>
    <definedName name="BExIXNT0RAYMJNVEO578N4B61NQE" localSheetId="19" hidden="1">TB BS non Monetary [31]GC!$C$13:$D$15</definedName>
    <definedName name="BExIXNT0RAYMJNVEO578N4B61NQE" localSheetId="17" hidden="1">TB BS non Monetary [31]GC!$C$13:$D$15</definedName>
    <definedName name="BExIXNT0RAYMJNVEO578N4B61NQE" hidden="1">TB BS non Monetary [31]GC!$C$13:$D$15</definedName>
    <definedName name="BExIXTYA6F5RWMN1DZ9YJWZ61HIM" localSheetId="18" hidden="1">BS-[34]Monitory!$D$7:$D$7</definedName>
    <definedName name="BExIXTYA6F5RWMN1DZ9YJWZ61HIM" localSheetId="16" hidden="1">BS-[34]Monitory!$D$7:$D$7</definedName>
    <definedName name="BExIXTYA6F5RWMN1DZ9YJWZ61HIM" localSheetId="21" hidden="1">BS-[34]Monitory!$D$7:$D$7</definedName>
    <definedName name="BExIXTYA6F5RWMN1DZ9YJWZ61HIM" localSheetId="19" hidden="1">BS-[34]Monitory!$D$7:$D$7</definedName>
    <definedName name="BExIXTYA6F5RWMN1DZ9YJWZ61HIM" localSheetId="17" hidden="1">BS-[34]Monitory!$D$7:$D$7</definedName>
    <definedName name="BExIXTYA6F5RWMN1DZ9YJWZ61HIM" hidden="1">BS-[34]Monitory!$D$7:$D$7</definedName>
    <definedName name="BExIY68I7DO7BPP48LRWCH1GA5YJ" hidden="1">#N/A</definedName>
    <definedName name="BExIYHH6XSC1E251VLVNWJBASRIW" hidden="1">#N/A</definedName>
    <definedName name="BExIYOO4H6H436P6MS6B55CTAJZX" hidden="1">#N/A</definedName>
    <definedName name="BExIZHFYB1AZ9W6E9LJAN205GTXZ" localSheetId="18" hidden="1">Balance [33]Sheet!$D$6:$D$6</definedName>
    <definedName name="BExIZHFYB1AZ9W6E9LJAN205GTXZ" localSheetId="16" hidden="1">Balance [33]Sheet!$D$6:$D$6</definedName>
    <definedName name="BExIZHFYB1AZ9W6E9LJAN205GTXZ" localSheetId="21" hidden="1">Balance [33]Sheet!$D$6:$D$6</definedName>
    <definedName name="BExIZHFYB1AZ9W6E9LJAN205GTXZ" localSheetId="19" hidden="1">Balance [33]Sheet!$D$6:$D$6</definedName>
    <definedName name="BExIZHFYB1AZ9W6E9LJAN205GTXZ" localSheetId="17" hidden="1">Balance [33]Sheet!$D$6:$D$6</definedName>
    <definedName name="BExIZHFYB1AZ9W6E9LJAN205GTXZ" hidden="1">Balance [33]Sheet!$D$6:$D$6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DPBBW4AFTBDZPDFNMRYS0LI6" localSheetId="18" hidden="1">#REF!</definedName>
    <definedName name="BExKDPBBW4AFTBDZPDFNMRYS0LI6" localSheetId="16" hidden="1">#REF!</definedName>
    <definedName name="BExKDPBBW4AFTBDZPDFNMRYS0LI6" localSheetId="21" hidden="1">#REF!</definedName>
    <definedName name="BExKDPBBW4AFTBDZPDFNMRYS0LI6" localSheetId="19" hidden="1">#REF!</definedName>
    <definedName name="BExKDPBBW4AFTBDZPDFNMRYS0LI6" localSheetId="17" hidden="1">#REF!</definedName>
    <definedName name="BExKDPBBW4AFTBDZPDFNMRYS0LI6" hidden="1">#REF!</definedName>
    <definedName name="BExKEFOTHBHWJYJ7B2OXLYXEASID" localSheetId="18" hidden="1">BS-Equity-[27]LC!$C$13:$D$15</definedName>
    <definedName name="BExKEFOTHBHWJYJ7B2OXLYXEASID" localSheetId="16" hidden="1">BS-Equity-[27]LC!$C$13:$D$15</definedName>
    <definedName name="BExKEFOTHBHWJYJ7B2OXLYXEASID" localSheetId="21" hidden="1">BS-Equity-[27]LC!$C$13:$D$15</definedName>
    <definedName name="BExKEFOTHBHWJYJ7B2OXLYXEASID" localSheetId="19" hidden="1">BS-Equity-[27]LC!$C$13:$D$15</definedName>
    <definedName name="BExKEFOTHBHWJYJ7B2OXLYXEASID" localSheetId="17" hidden="1">BS-Equity-[27]LC!$C$13:$D$15</definedName>
    <definedName name="BExKEFOTHBHWJYJ7B2OXLYXEASID" hidden="1">BS-Equity-[27]LC!$C$13:$D$15</definedName>
    <definedName name="BExKF0DAKJ02RT98D2QQJY72ZNNN" localSheetId="18" hidden="1">BS-non Monitory-[31]GC!$D$6:$D$6</definedName>
    <definedName name="BExKF0DAKJ02RT98D2QQJY72ZNNN" localSheetId="16" hidden="1">BS-non Monitory-[31]GC!$D$6:$D$6</definedName>
    <definedName name="BExKF0DAKJ02RT98D2QQJY72ZNNN" localSheetId="21" hidden="1">BS-non Monitory-[31]GC!$D$6:$D$6</definedName>
    <definedName name="BExKF0DAKJ02RT98D2QQJY72ZNNN" localSheetId="19" hidden="1">BS-non Monitory-[31]GC!$D$6:$D$6</definedName>
    <definedName name="BExKF0DAKJ02RT98D2QQJY72ZNNN" localSheetId="17" hidden="1">BS-non Monitory-[31]GC!$D$6:$D$6</definedName>
    <definedName name="BExKF0DAKJ02RT98D2QQJY72ZNNN" hidden="1">BS-non Monitory-[31]GC!$D$6:$D$6</definedName>
    <definedName name="BExKF8GFSKWR0PM1YADGL8GQJ6D1" hidden="1">#N/A</definedName>
    <definedName name="BExKFQAHKN96T11K9SMEROZST3QE" localSheetId="18" hidden="1">BS-non Monitory-[31]GC!$C$13:$D$15</definedName>
    <definedName name="BExKFQAHKN96T11K9SMEROZST3QE" localSheetId="16" hidden="1">BS-non Monitory-[31]GC!$C$13:$D$15</definedName>
    <definedName name="BExKFQAHKN96T11K9SMEROZST3QE" localSheetId="21" hidden="1">BS-non Monitory-[31]GC!$C$13:$D$15</definedName>
    <definedName name="BExKFQAHKN96T11K9SMEROZST3QE" localSheetId="19" hidden="1">BS-non Monitory-[31]GC!$C$13:$D$15</definedName>
    <definedName name="BExKFQAHKN96T11K9SMEROZST3QE" localSheetId="17" hidden="1">BS-non Monitory-[31]GC!$C$13:$D$15</definedName>
    <definedName name="BExKFQAHKN96T11K9SMEROZST3QE" hidden="1">BS-non Monitory-[31]GC!$C$13:$D$15</definedName>
    <definedName name="BExKG0XGR9TU1MJZ88FILG160H6L" hidden="1">#N/A</definedName>
    <definedName name="BExKG5KT02WIM5LKPSGAQK3YTF9S" localSheetId="18" hidden="1">BS-[29]Monetary!$D$6:$D$6</definedName>
    <definedName name="BExKG5KT02WIM5LKPSGAQK3YTF9S" localSheetId="16" hidden="1">BS-[29]Monetary!$D$6:$D$6</definedName>
    <definedName name="BExKG5KT02WIM5LKPSGAQK3YTF9S" localSheetId="21" hidden="1">BS-[29]Monetary!$D$6:$D$6</definedName>
    <definedName name="BExKG5KT02WIM5LKPSGAQK3YTF9S" localSheetId="19" hidden="1">BS-[29]Monetary!$D$6:$D$6</definedName>
    <definedName name="BExKG5KT02WIM5LKPSGAQK3YTF9S" localSheetId="17" hidden="1">BS-[29]Monetary!$D$6:$D$6</definedName>
    <definedName name="BExKG5KT02WIM5LKPSGAQK3YTF9S" hidden="1">BS-[29]Monetary!$D$6:$D$6</definedName>
    <definedName name="BExKG66CJOBF0JV4UP20X3XJ0O39" hidden="1">#N/A</definedName>
    <definedName name="BExKG96A7S1NRWMBBLN1LJEMCB16" localSheetId="18" hidden="1">BS-[29]Monetary!$D$7:$D$7</definedName>
    <definedName name="BExKG96A7S1NRWMBBLN1LJEMCB16" localSheetId="16" hidden="1">BS-[29]Monetary!$D$7:$D$7</definedName>
    <definedName name="BExKG96A7S1NRWMBBLN1LJEMCB16" localSheetId="21" hidden="1">BS-[29]Monetary!$D$7:$D$7</definedName>
    <definedName name="BExKG96A7S1NRWMBBLN1LJEMCB16" localSheetId="19" hidden="1">BS-[29]Monetary!$D$7:$D$7</definedName>
    <definedName name="BExKG96A7S1NRWMBBLN1LJEMCB16" localSheetId="17" hidden="1">BS-[29]Monetary!$D$7:$D$7</definedName>
    <definedName name="BExKG96A7S1NRWMBBLN1LJEMCB16" hidden="1">BS-[29]Monetary!$D$7:$D$7</definedName>
    <definedName name="BExKGIM1ILKGFGN8G1YTZC9DN9CK" localSheetId="18" hidden="1">BS-non Monetary-[28]TC!$C$17:$K$668</definedName>
    <definedName name="BExKGIM1ILKGFGN8G1YTZC9DN9CK" localSheetId="16" hidden="1">BS-non Monetary-[28]TC!$C$17:$K$668</definedName>
    <definedName name="BExKGIM1ILKGFGN8G1YTZC9DN9CK" localSheetId="21" hidden="1">BS-non Monetary-[28]TC!$C$17:$K$668</definedName>
    <definedName name="BExKGIM1ILKGFGN8G1YTZC9DN9CK" localSheetId="19" hidden="1">BS-non Monetary-[28]TC!$C$17:$K$668</definedName>
    <definedName name="BExKGIM1ILKGFGN8G1YTZC9DN9CK" localSheetId="17" hidden="1">BS-non Monetary-[28]TC!$C$17:$K$668</definedName>
    <definedName name="BExKGIM1ILKGFGN8G1YTZC9DN9CK" hidden="1">BS-non Monetary-[28]TC!$C$17:$K$668</definedName>
    <definedName name="BExKHEOKVGAGDI0UP2R82N2UB479" hidden="1">#N/A</definedName>
    <definedName name="BExKHZYHC7PCM1S949175QU9MTNI" localSheetId="18" hidden="1">BS-[29]Monetary!$C$13:$D$14</definedName>
    <definedName name="BExKHZYHC7PCM1S949175QU9MTNI" localSheetId="16" hidden="1">BS-[29]Monetary!$C$13:$D$14</definedName>
    <definedName name="BExKHZYHC7PCM1S949175QU9MTNI" localSheetId="21" hidden="1">BS-[29]Monetary!$C$13:$D$14</definedName>
    <definedName name="BExKHZYHC7PCM1S949175QU9MTNI" localSheetId="19" hidden="1">BS-[29]Monetary!$C$13:$D$14</definedName>
    <definedName name="BExKHZYHC7PCM1S949175QU9MTNI" localSheetId="17" hidden="1">BS-[29]Monetary!$C$13:$D$14</definedName>
    <definedName name="BExKHZYHC7PCM1S949175QU9MTNI" hidden="1">BS-[29]Monetary!$C$13:$D$14</definedName>
    <definedName name="BExKIL8OHRMM61EFPDQ5TPIMF76U" hidden="1">#N/A</definedName>
    <definedName name="BExKJD9A0L3OHCS3QQLDGYGOVNDJ" localSheetId="18" hidden="1">BS-non Monetary-[27]LC!$D$8:$D$8</definedName>
    <definedName name="BExKJD9A0L3OHCS3QQLDGYGOVNDJ" localSheetId="16" hidden="1">BS-non Monetary-[27]LC!$D$8:$D$8</definedName>
    <definedName name="BExKJD9A0L3OHCS3QQLDGYGOVNDJ" localSheetId="21" hidden="1">BS-non Monetary-[27]LC!$D$8:$D$8</definedName>
    <definedName name="BExKJD9A0L3OHCS3QQLDGYGOVNDJ" localSheetId="19" hidden="1">BS-non Monetary-[27]LC!$D$8:$D$8</definedName>
    <definedName name="BExKJD9A0L3OHCS3QQLDGYGOVNDJ" localSheetId="17" hidden="1">BS-non Monetary-[27]LC!$D$8:$D$8</definedName>
    <definedName name="BExKJD9A0L3OHCS3QQLDGYGOVNDJ" hidden="1">BS-non Monetary-[27]LC!$D$8:$D$8</definedName>
    <definedName name="BExKK7J1Q54SC1BZJ0YQMO45617G" localSheetId="18" hidden="1">BS-non Monitory-[31]GC!$D$7:$D$7</definedName>
    <definedName name="BExKK7J1Q54SC1BZJ0YQMO45617G" localSheetId="16" hidden="1">BS-non Monitory-[31]GC!$D$7:$D$7</definedName>
    <definedName name="BExKK7J1Q54SC1BZJ0YQMO45617G" localSheetId="21" hidden="1">BS-non Monitory-[31]GC!$D$7:$D$7</definedName>
    <definedName name="BExKK7J1Q54SC1BZJ0YQMO45617G" localSheetId="19" hidden="1">BS-non Monitory-[31]GC!$D$7:$D$7</definedName>
    <definedName name="BExKK7J1Q54SC1BZJ0YQMO45617G" localSheetId="17" hidden="1">BS-non Monitory-[31]GC!$D$7:$D$7</definedName>
    <definedName name="BExKK7J1Q54SC1BZJ0YQMO45617G" hidden="1">BS-non Monitory-[31]GC!$D$7:$D$7</definedName>
    <definedName name="BExKKIM8PKEEFVOYZ391STDIBZVQ" hidden="1">#N/A</definedName>
    <definedName name="BExKL9AIOFN3RIMP036UN0SFJHU5" localSheetId="18" hidden="1">BS-non Monetary-[28]TC!$D$7:$D$7</definedName>
    <definedName name="BExKL9AIOFN3RIMP036UN0SFJHU5" localSheetId="16" hidden="1">BS-non Monetary-[28]TC!$D$7:$D$7</definedName>
    <definedName name="BExKL9AIOFN3RIMP036UN0SFJHU5" localSheetId="21" hidden="1">BS-non Monetary-[28]TC!$D$7:$D$7</definedName>
    <definedName name="BExKL9AIOFN3RIMP036UN0SFJHU5" localSheetId="19" hidden="1">BS-non Monetary-[28]TC!$D$7:$D$7</definedName>
    <definedName name="BExKL9AIOFN3RIMP036UN0SFJHU5" localSheetId="17" hidden="1">BS-non Monetary-[28]TC!$D$7:$D$7</definedName>
    <definedName name="BExKL9AIOFN3RIMP036UN0SFJHU5" hidden="1">BS-non Monetary-[28]TC!$D$7:$D$7</definedName>
    <definedName name="BExKLASFS6L83WOTDKX1J6B4PQ4Y" localSheetId="18" hidden="1">BS-Equity-[28]TC!$D$8:$D$8</definedName>
    <definedName name="BExKLASFS6L83WOTDKX1J6B4PQ4Y" localSheetId="16" hidden="1">BS-Equity-[28]TC!$D$8:$D$8</definedName>
    <definedName name="BExKLASFS6L83WOTDKX1J6B4PQ4Y" localSheetId="21" hidden="1">BS-Equity-[28]TC!$D$8:$D$8</definedName>
    <definedName name="BExKLASFS6L83WOTDKX1J6B4PQ4Y" localSheetId="19" hidden="1">BS-Equity-[28]TC!$D$8:$D$8</definedName>
    <definedName name="BExKLASFS6L83WOTDKX1J6B4PQ4Y" localSheetId="17" hidden="1">BS-Equity-[28]TC!$D$8:$D$8</definedName>
    <definedName name="BExKLASFS6L83WOTDKX1J6B4PQ4Y" hidden="1">BS-Equity-[28]TC!$D$8:$D$8</definedName>
    <definedName name="BExKLGHHT81A27QAEH1QPWZH9BQY" hidden="1">#N/A</definedName>
    <definedName name="BExKMSQMWB4DGF1AYG78L8TB9HPL" hidden="1">#N/A</definedName>
    <definedName name="BExKMVVU1WYO37AG1HWUK6F1R8D6" hidden="1">#N/A</definedName>
    <definedName name="BExKMXOKDMPLWT6EPI3QYYBRODBH" localSheetId="18" hidden="1">BS-non Monetary-[28]TC!$D$6:$D$6</definedName>
    <definedName name="BExKMXOKDMPLWT6EPI3QYYBRODBH" localSheetId="16" hidden="1">BS-non Monetary-[28]TC!$D$6:$D$6</definedName>
    <definedName name="BExKMXOKDMPLWT6EPI3QYYBRODBH" localSheetId="21" hidden="1">BS-non Monetary-[28]TC!$D$6:$D$6</definedName>
    <definedName name="BExKMXOKDMPLWT6EPI3QYYBRODBH" localSheetId="19" hidden="1">BS-non Monetary-[28]TC!$D$6:$D$6</definedName>
    <definedName name="BExKMXOKDMPLWT6EPI3QYYBRODBH" localSheetId="17" hidden="1">BS-non Monetary-[28]TC!$D$6:$D$6</definedName>
    <definedName name="BExKMXOKDMPLWT6EPI3QYYBRODBH" hidden="1">BS-non Monetary-[28]TC!$D$6:$D$6</definedName>
    <definedName name="BExKNZW60NOJCO7KWAPFXJNVWRXX" localSheetId="18" hidden="1">BS-[29]Monetary!$D$8:$D$8</definedName>
    <definedName name="BExKNZW60NOJCO7KWAPFXJNVWRXX" localSheetId="16" hidden="1">BS-[29]Monetary!$D$8:$D$8</definedName>
    <definedName name="BExKNZW60NOJCO7KWAPFXJNVWRXX" localSheetId="21" hidden="1">BS-[29]Monetary!$D$8:$D$8</definedName>
    <definedName name="BExKNZW60NOJCO7KWAPFXJNVWRXX" localSheetId="19" hidden="1">BS-[29]Monetary!$D$8:$D$8</definedName>
    <definedName name="BExKNZW60NOJCO7KWAPFXJNVWRXX" localSheetId="17" hidden="1">BS-[29]Monetary!$D$8:$D$8</definedName>
    <definedName name="BExKNZW60NOJCO7KWAPFXJNVWRXX" hidden="1">BS-[29]Monetary!$D$8:$D$8</definedName>
    <definedName name="BExKO437DXFW1I8Y9A0ZOPCMDXCU" localSheetId="18" hidden="1">TB-[35]BS!$D$7:$D$7</definedName>
    <definedName name="BExKO437DXFW1I8Y9A0ZOPCMDXCU" localSheetId="16" hidden="1">TB-[35]BS!$D$7:$D$7</definedName>
    <definedName name="BExKO437DXFW1I8Y9A0ZOPCMDXCU" localSheetId="21" hidden="1">TB-[35]BS!$D$7:$D$7</definedName>
    <definedName name="BExKO437DXFW1I8Y9A0ZOPCMDXCU" localSheetId="19" hidden="1">TB-[35]BS!$D$7:$D$7</definedName>
    <definedName name="BExKO437DXFW1I8Y9A0ZOPCMDXCU" localSheetId="17" hidden="1">TB-[35]BS!$D$7:$D$7</definedName>
    <definedName name="BExKO437DXFW1I8Y9A0ZOPCMDXCU" hidden="1">TB-[35]BS!$D$7:$D$7</definedName>
    <definedName name="BExKO6SBJTO4J03EYXNXC4T337Q6" localSheetId="18" hidden="1">TB BS non Monetary [31]GC!$D$8:$D$8</definedName>
    <definedName name="BExKO6SBJTO4J03EYXNXC4T337Q6" localSheetId="16" hidden="1">TB BS non Monetary [31]GC!$D$8:$D$8</definedName>
    <definedName name="BExKO6SBJTO4J03EYXNXC4T337Q6" localSheetId="21" hidden="1">TB BS non Monetary [31]GC!$D$8:$D$8</definedName>
    <definedName name="BExKO6SBJTO4J03EYXNXC4T337Q6" localSheetId="19" hidden="1">TB BS non Monetary [31]GC!$D$8:$D$8</definedName>
    <definedName name="BExKO6SBJTO4J03EYXNXC4T337Q6" localSheetId="17" hidden="1">TB BS non Monetary [31]GC!$D$8:$D$8</definedName>
    <definedName name="BExKO6SBJTO4J03EYXNXC4T337Q6" hidden="1">TB BS non Monetary [31]GC!$D$8:$D$8</definedName>
    <definedName name="BExKO8L30XKFI6ZLDMS1TOO6JT4I" localSheetId="18" hidden="1">BS-non Monetary-[27]LC!$C$13:$D$14</definedName>
    <definedName name="BExKO8L30XKFI6ZLDMS1TOO6JT4I" localSheetId="16" hidden="1">BS-non Monetary-[27]LC!$C$13:$D$14</definedName>
    <definedName name="BExKO8L30XKFI6ZLDMS1TOO6JT4I" localSheetId="21" hidden="1">BS-non Monetary-[27]LC!$C$13:$D$14</definedName>
    <definedName name="BExKO8L30XKFI6ZLDMS1TOO6JT4I" localSheetId="19" hidden="1">BS-non Monetary-[27]LC!$C$13:$D$14</definedName>
    <definedName name="BExKO8L30XKFI6ZLDMS1TOO6JT4I" localSheetId="17" hidden="1">BS-non Monetary-[27]LC!$C$13:$D$14</definedName>
    <definedName name="BExKO8L30XKFI6ZLDMS1TOO6JT4I" hidden="1">BS-non Monetary-[27]LC!$C$13:$D$14</definedName>
    <definedName name="BExKOSD67TRLHXQLPXAASE23W8YH" localSheetId="18" hidden="1">BS-non Monetary-[27]LC!$D$8:$D$8</definedName>
    <definedName name="BExKOSD67TRLHXQLPXAASE23W8YH" localSheetId="16" hidden="1">BS-non Monetary-[27]LC!$D$8:$D$8</definedName>
    <definedName name="BExKOSD67TRLHXQLPXAASE23W8YH" localSheetId="21" hidden="1">BS-non Monetary-[27]LC!$D$8:$D$8</definedName>
    <definedName name="BExKOSD67TRLHXQLPXAASE23W8YH" localSheetId="19" hidden="1">BS-non Monetary-[27]LC!$D$8:$D$8</definedName>
    <definedName name="BExKOSD67TRLHXQLPXAASE23W8YH" localSheetId="17" hidden="1">BS-non Monetary-[27]LC!$D$8:$D$8</definedName>
    <definedName name="BExKOSD67TRLHXQLPXAASE23W8YH" hidden="1">BS-non Monetary-[27]LC!$D$8:$D$8</definedName>
    <definedName name="BExKOY7IF4CNYMUAR6NGT0O0LLI6" hidden="1">#N/A</definedName>
    <definedName name="BExKPVMFL1Q2YQ0JOF5IR37WYCOA" localSheetId="18" hidden="1">BS-non Monitory-[31]GC!$D$6:$D$6</definedName>
    <definedName name="BExKPVMFL1Q2YQ0JOF5IR37WYCOA" localSheetId="16" hidden="1">BS-non Monitory-[31]GC!$D$6:$D$6</definedName>
    <definedName name="BExKPVMFL1Q2YQ0JOF5IR37WYCOA" localSheetId="21" hidden="1">BS-non Monitory-[31]GC!$D$6:$D$6</definedName>
    <definedName name="BExKPVMFL1Q2YQ0JOF5IR37WYCOA" localSheetId="19" hidden="1">BS-non Monitory-[31]GC!$D$6:$D$6</definedName>
    <definedName name="BExKPVMFL1Q2YQ0JOF5IR37WYCOA" localSheetId="17" hidden="1">BS-non Monitory-[31]GC!$D$6:$D$6</definedName>
    <definedName name="BExKPVMFL1Q2YQ0JOF5IR37WYCOA" hidden="1">BS-non Monitory-[31]GC!$D$6:$D$6</definedName>
    <definedName name="BExKPY0SDRF9SEJ1FMK64OF6H0SG" localSheetId="18" hidden="1">BS-non Monetary-[31]GC!$D$7:$D$7</definedName>
    <definedName name="BExKPY0SDRF9SEJ1FMK64OF6H0SG" localSheetId="16" hidden="1">BS-non Monetary-[31]GC!$D$7:$D$7</definedName>
    <definedName name="BExKPY0SDRF9SEJ1FMK64OF6H0SG" localSheetId="21" hidden="1">BS-non Monetary-[31]GC!$D$7:$D$7</definedName>
    <definedName name="BExKPY0SDRF9SEJ1FMK64OF6H0SG" localSheetId="19" hidden="1">BS-non Monetary-[31]GC!$D$7:$D$7</definedName>
    <definedName name="BExKPY0SDRF9SEJ1FMK64OF6H0SG" localSheetId="17" hidden="1">BS-non Monetary-[31]GC!$D$7:$D$7</definedName>
    <definedName name="BExKPY0SDRF9SEJ1FMK64OF6H0SG" hidden="1">BS-non Monetary-[31]GC!$D$7:$D$7</definedName>
    <definedName name="BExKQ9ERJ67IMVLZK0STBU0U3IXR" hidden="1">#N/A</definedName>
    <definedName name="BExKQJGBKZSRJJ003OV78MJ7IBZ8" localSheetId="18" hidden="1">BS-Equity-[27]LC!$C$13:$D$15</definedName>
    <definedName name="BExKQJGBKZSRJJ003OV78MJ7IBZ8" localSheetId="16" hidden="1">BS-Equity-[27]LC!$C$13:$D$15</definedName>
    <definedName name="BExKQJGBKZSRJJ003OV78MJ7IBZ8" localSheetId="21" hidden="1">BS-Equity-[27]LC!$C$13:$D$15</definedName>
    <definedName name="BExKQJGBKZSRJJ003OV78MJ7IBZ8" localSheetId="19" hidden="1">BS-Equity-[27]LC!$C$13:$D$15</definedName>
    <definedName name="BExKQJGBKZSRJJ003OV78MJ7IBZ8" localSheetId="17" hidden="1">BS-Equity-[27]LC!$C$13:$D$15</definedName>
    <definedName name="BExKQJGBKZSRJJ003OV78MJ7IBZ8" hidden="1">BS-Equity-[27]LC!$C$13:$D$15</definedName>
    <definedName name="BExKR6IYHY8ETP1VV0VK9VUXYW3S" localSheetId="18" hidden="1">BS-non Monetary-[27]LC!$C$17:$AA$662</definedName>
    <definedName name="BExKR6IYHY8ETP1VV0VK9VUXYW3S" localSheetId="16" hidden="1">BS-non Monetary-[27]LC!$C$17:$AA$662</definedName>
    <definedName name="BExKR6IYHY8ETP1VV0VK9VUXYW3S" localSheetId="21" hidden="1">BS-non Monetary-[27]LC!$C$17:$AA$662</definedName>
    <definedName name="BExKR6IYHY8ETP1VV0VK9VUXYW3S" localSheetId="19" hidden="1">BS-non Monetary-[27]LC!$C$17:$AA$662</definedName>
    <definedName name="BExKR6IYHY8ETP1VV0VK9VUXYW3S" localSheetId="17" hidden="1">BS-non Monetary-[27]LC!$C$17:$AA$662</definedName>
    <definedName name="BExKR6IYHY8ETP1VV0VK9VUXYW3S" hidden="1">BS-non Monetary-[27]LC!$C$17:$AA$662</definedName>
    <definedName name="BExKRA4M1SA7DMD2K5F1LNYGDAV3" localSheetId="18" hidden="1">BS-non Monetary-[27]LC!$D$8:$D$8</definedName>
    <definedName name="BExKRA4M1SA7DMD2K5F1LNYGDAV3" localSheetId="16" hidden="1">BS-non Monetary-[27]LC!$D$8:$D$8</definedName>
    <definedName name="BExKRA4M1SA7DMD2K5F1LNYGDAV3" localSheetId="21" hidden="1">BS-non Monetary-[27]LC!$D$8:$D$8</definedName>
    <definedName name="BExKRA4M1SA7DMD2K5F1LNYGDAV3" localSheetId="19" hidden="1">BS-non Monetary-[27]LC!$D$8:$D$8</definedName>
    <definedName name="BExKRA4M1SA7DMD2K5F1LNYGDAV3" localSheetId="17" hidden="1">BS-non Monetary-[27]LC!$D$8:$D$8</definedName>
    <definedName name="BExKRA4M1SA7DMD2K5F1LNYGDAV3" hidden="1">BS-non Monetary-[27]LC!$D$8:$D$8</definedName>
    <definedName name="BExKRCO6Q6GULRSXIZA5TEIQWAO8" hidden="1">#N/A</definedName>
    <definedName name="BExKRY937OP2HFN6AL0898S29WR7" localSheetId="18" hidden="1">BS-non Monetary-[28]TC!$D$7:$D$7</definedName>
    <definedName name="BExKRY937OP2HFN6AL0898S29WR7" localSheetId="16" hidden="1">BS-non Monetary-[28]TC!$D$7:$D$7</definedName>
    <definedName name="BExKRY937OP2HFN6AL0898S29WR7" localSheetId="21" hidden="1">BS-non Monetary-[28]TC!$D$7:$D$7</definedName>
    <definedName name="BExKRY937OP2HFN6AL0898S29WR7" localSheetId="19" hidden="1">BS-non Monetary-[28]TC!$D$7:$D$7</definedName>
    <definedName name="BExKRY937OP2HFN6AL0898S29WR7" localSheetId="17" hidden="1">BS-non Monetary-[28]TC!$D$7:$D$7</definedName>
    <definedName name="BExKRY937OP2HFN6AL0898S29WR7" hidden="1">BS-non Monetary-[28]TC!$D$7:$D$7</definedName>
    <definedName name="BExKRZWCJIILJ73W8HI8Y0OJPJ69" localSheetId="18" hidden="1">BS-non Monetary-[27]LC!$C$13:$D$14</definedName>
    <definedName name="BExKRZWCJIILJ73W8HI8Y0OJPJ69" localSheetId="16" hidden="1">BS-non Monetary-[27]LC!$C$13:$D$14</definedName>
    <definedName name="BExKRZWCJIILJ73W8HI8Y0OJPJ69" localSheetId="21" hidden="1">BS-non Monetary-[27]LC!$C$13:$D$14</definedName>
    <definedName name="BExKRZWCJIILJ73W8HI8Y0OJPJ69" localSheetId="19" hidden="1">BS-non Monetary-[27]LC!$C$13:$D$14</definedName>
    <definedName name="BExKRZWCJIILJ73W8HI8Y0OJPJ69" localSheetId="17" hidden="1">BS-non Monetary-[27]LC!$C$13:$D$14</definedName>
    <definedName name="BExKRZWCJIILJ73W8HI8Y0OJPJ69" hidden="1">BS-non Monetary-[27]LC!$C$13:$D$14</definedName>
    <definedName name="BExKS6C7L0GVV2SZO90D21T23NNS" localSheetId="18" hidden="1">BS-Equity-[28]TC!$C$17:$E$95</definedName>
    <definedName name="BExKS6C7L0GVV2SZO90D21T23NNS" localSheetId="16" hidden="1">BS-Equity-[28]TC!$C$17:$E$95</definedName>
    <definedName name="BExKS6C7L0GVV2SZO90D21T23NNS" localSheetId="21" hidden="1">BS-Equity-[28]TC!$C$17:$E$95</definedName>
    <definedName name="BExKS6C7L0GVV2SZO90D21T23NNS" localSheetId="19" hidden="1">BS-Equity-[28]TC!$C$17:$E$95</definedName>
    <definedName name="BExKS6C7L0GVV2SZO90D21T23NNS" localSheetId="17" hidden="1">BS-Equity-[28]TC!$C$17:$E$95</definedName>
    <definedName name="BExKS6C7L0GVV2SZO90D21T23NNS" hidden="1">BS-Equity-[28]TC!$C$17:$E$95</definedName>
    <definedName name="BExKSJOG96NKO1O3XB5S7MT21GN4" hidden="1">#N/A</definedName>
    <definedName name="BExKSLH7DPCJ7OITCJFEZ0K9JCSJ" localSheetId="18" hidden="1">BS-non Monitory-[31]GC!$D$8:$D$8</definedName>
    <definedName name="BExKSLH7DPCJ7OITCJFEZ0K9JCSJ" localSheetId="16" hidden="1">BS-non Monitory-[31]GC!$D$8:$D$8</definedName>
    <definedName name="BExKSLH7DPCJ7OITCJFEZ0K9JCSJ" localSheetId="21" hidden="1">BS-non Monitory-[31]GC!$D$8:$D$8</definedName>
    <definedName name="BExKSLH7DPCJ7OITCJFEZ0K9JCSJ" localSheetId="19" hidden="1">BS-non Monitory-[31]GC!$D$8:$D$8</definedName>
    <definedName name="BExKSLH7DPCJ7OITCJFEZ0K9JCSJ" localSheetId="17" hidden="1">BS-non Monitory-[31]GC!$D$8:$D$8</definedName>
    <definedName name="BExKSLH7DPCJ7OITCJFEZ0K9JCSJ" hidden="1">BS-non Monitory-[31]GC!$D$8:$D$8</definedName>
    <definedName name="BExKSMOD6TVZPHA8OZH3Y1S1184H" localSheetId="18" hidden="1">BS-[29]Monetary!$C$17:$I$212</definedName>
    <definedName name="BExKSMOD6TVZPHA8OZH3Y1S1184H" localSheetId="16" hidden="1">BS-[29]Monetary!$C$17:$I$212</definedName>
    <definedName name="BExKSMOD6TVZPHA8OZH3Y1S1184H" localSheetId="21" hidden="1">BS-[29]Monetary!$C$17:$I$212</definedName>
    <definedName name="BExKSMOD6TVZPHA8OZH3Y1S1184H" localSheetId="19" hidden="1">BS-[29]Monetary!$C$17:$I$212</definedName>
    <definedName name="BExKSMOD6TVZPHA8OZH3Y1S1184H" localSheetId="17" hidden="1">BS-[29]Monetary!$C$17:$I$212</definedName>
    <definedName name="BExKSMOD6TVZPHA8OZH3Y1S1184H" hidden="1">BS-[29]Monetary!$C$17:$I$212</definedName>
    <definedName name="BExKT1NUWL6W7IXA51WG9TORJ2WR" hidden="1">#N/A</definedName>
    <definedName name="BExKTG71L1S4MGXQ7AB9JBNU45SN" hidden="1">#N/A</definedName>
    <definedName name="BExKTKOXGL5BHWNHFMW7NUUB356Z" localSheetId="18" hidden="1">BS-[29]Monetary!$C$17:$I$189</definedName>
    <definedName name="BExKTKOXGL5BHWNHFMW7NUUB356Z" localSheetId="16" hidden="1">BS-[29]Monetary!$C$17:$I$189</definedName>
    <definedName name="BExKTKOXGL5BHWNHFMW7NUUB356Z" localSheetId="21" hidden="1">BS-[29]Monetary!$C$17:$I$189</definedName>
    <definedName name="BExKTKOXGL5BHWNHFMW7NUUB356Z" localSheetId="19" hidden="1">BS-[29]Monetary!$C$17:$I$189</definedName>
    <definedName name="BExKTKOXGL5BHWNHFMW7NUUB356Z" localSheetId="17" hidden="1">BS-[29]Monetary!$C$17:$I$189</definedName>
    <definedName name="BExKTKOXGL5BHWNHFMW7NUUB356Z" hidden="1">BS-[29]Monetary!$C$17:$I$189</definedName>
    <definedName name="BExKTOAENUXHRTKGEWGNY631OOUI" hidden="1">#N/A</definedName>
    <definedName name="BExKV9J6D8S5GF9EK971GIFC585R" localSheetId="18" hidden="1">BS-non Monetary-[27]LC!$C$17:$F$529</definedName>
    <definedName name="BExKV9J6D8S5GF9EK971GIFC585R" localSheetId="16" hidden="1">BS-non Monetary-[27]LC!$C$17:$F$529</definedName>
    <definedName name="BExKV9J6D8S5GF9EK971GIFC585R" localSheetId="21" hidden="1">BS-non Monetary-[27]LC!$C$17:$F$529</definedName>
    <definedName name="BExKV9J6D8S5GF9EK971GIFC585R" localSheetId="19" hidden="1">BS-non Monetary-[27]LC!$C$17:$F$529</definedName>
    <definedName name="BExKV9J6D8S5GF9EK971GIFC585R" localSheetId="17" hidden="1">BS-non Monetary-[27]LC!$C$17:$F$529</definedName>
    <definedName name="BExKV9J6D8S5GF9EK971GIFC585R" hidden="1">BS-non Monetary-[27]LC!$C$17:$F$529</definedName>
    <definedName name="BExM9Y1C8AJJHYMT506IAD8WRB0V" localSheetId="18" hidden="1">BS-non Monetary-[28]TC!$D$6:$D$6</definedName>
    <definedName name="BExM9Y1C8AJJHYMT506IAD8WRB0V" localSheetId="16" hidden="1">BS-non Monetary-[28]TC!$D$6:$D$6</definedName>
    <definedName name="BExM9Y1C8AJJHYMT506IAD8WRB0V" localSheetId="21" hidden="1">BS-non Monetary-[28]TC!$D$6:$D$6</definedName>
    <definedName name="BExM9Y1C8AJJHYMT506IAD8WRB0V" localSheetId="19" hidden="1">BS-non Monetary-[28]TC!$D$6:$D$6</definedName>
    <definedName name="BExM9Y1C8AJJHYMT506IAD8WRB0V" localSheetId="17" hidden="1">BS-non Monetary-[28]TC!$D$6:$D$6</definedName>
    <definedName name="BExM9Y1C8AJJHYMT506IAD8WRB0V" hidden="1">BS-non Monetary-[28]TC!$D$6:$D$6</definedName>
    <definedName name="BExM9YMW9DUO8I0VXQI7Q5PV3RF3" localSheetId="18" hidden="1">Balance [33]Sheet!$C$13:$D$18</definedName>
    <definedName name="BExM9YMW9DUO8I0VXQI7Q5PV3RF3" localSheetId="16" hidden="1">Balance [33]Sheet!$C$13:$D$18</definedName>
    <definedName name="BExM9YMW9DUO8I0VXQI7Q5PV3RF3" localSheetId="21" hidden="1">Balance [33]Sheet!$C$13:$D$18</definedName>
    <definedName name="BExM9YMW9DUO8I0VXQI7Q5PV3RF3" localSheetId="19" hidden="1">Balance [33]Sheet!$C$13:$D$18</definedName>
    <definedName name="BExM9YMW9DUO8I0VXQI7Q5PV3RF3" localSheetId="17" hidden="1">Balance [33]Sheet!$C$13:$D$18</definedName>
    <definedName name="BExM9YMW9DUO8I0VXQI7Q5PV3RF3" hidden="1">Balance [33]Sheet!$C$13:$D$18</definedName>
    <definedName name="BExMAABOO1IGJ3D5WDW1NFUH0KCR" localSheetId="18" hidden="1">BS-[34]Monitory!$C$13:$D$15</definedName>
    <definedName name="BExMAABOO1IGJ3D5WDW1NFUH0KCR" localSheetId="16" hidden="1">BS-[34]Monitory!$C$13:$D$15</definedName>
    <definedName name="BExMAABOO1IGJ3D5WDW1NFUH0KCR" localSheetId="21" hidden="1">BS-[34]Monitory!$C$13:$D$15</definedName>
    <definedName name="BExMAABOO1IGJ3D5WDW1NFUH0KCR" localSheetId="19" hidden="1">BS-[34]Monitory!$C$13:$D$15</definedName>
    <definedName name="BExMAABOO1IGJ3D5WDW1NFUH0KCR" localSheetId="17" hidden="1">BS-[34]Monitory!$C$13:$D$15</definedName>
    <definedName name="BExMAABOO1IGJ3D5WDW1NFUH0KCR" hidden="1">BS-[34]Monitory!$C$13:$D$15</definedName>
    <definedName name="BExMALPPF28N6EKKB3X6SRK1UPZ7" localSheetId="18" hidden="1">BS-[29]Monetary!$D$8:$D$8</definedName>
    <definedName name="BExMALPPF28N6EKKB3X6SRK1UPZ7" localSheetId="16" hidden="1">BS-[29]Monetary!$D$8:$D$8</definedName>
    <definedName name="BExMALPPF28N6EKKB3X6SRK1UPZ7" localSheetId="21" hidden="1">BS-[29]Monetary!$D$8:$D$8</definedName>
    <definedName name="BExMALPPF28N6EKKB3X6SRK1UPZ7" localSheetId="19" hidden="1">BS-[29]Monetary!$D$8:$D$8</definedName>
    <definedName name="BExMALPPF28N6EKKB3X6SRK1UPZ7" localSheetId="17" hidden="1">BS-[29]Monetary!$D$8:$D$8</definedName>
    <definedName name="BExMALPPF28N6EKKB3X6SRK1UPZ7" hidden="1">BS-[29]Monetary!$D$8:$D$8</definedName>
    <definedName name="BExMAQIC8MTFY76NPB91U7IF1JO1" hidden="1">#N/A</definedName>
    <definedName name="BExMATI84IGKQC9W5T5F41N5ICE2" hidden="1">#N/A</definedName>
    <definedName name="BExMAVWI7PT8IN9B0BUDCJ521WI3" localSheetId="18" hidden="1">TB-[35]BS!$D$6:$D$6</definedName>
    <definedName name="BExMAVWI7PT8IN9B0BUDCJ521WI3" localSheetId="16" hidden="1">TB-[35]BS!$D$6:$D$6</definedName>
    <definedName name="BExMAVWI7PT8IN9B0BUDCJ521WI3" localSheetId="21" hidden="1">TB-[35]BS!$D$6:$D$6</definedName>
    <definedName name="BExMAVWI7PT8IN9B0BUDCJ521WI3" localSheetId="19" hidden="1">TB-[35]BS!$D$6:$D$6</definedName>
    <definedName name="BExMAVWI7PT8IN9B0BUDCJ521WI3" localSheetId="17" hidden="1">TB-[35]BS!$D$6:$D$6</definedName>
    <definedName name="BExMAVWI7PT8IN9B0BUDCJ521WI3" hidden="1">TB-[35]BS!$D$6:$D$6</definedName>
    <definedName name="BExMBDL567CYKIBZCEPTWB658VVN" hidden="1">#N/A</definedName>
    <definedName name="BExMC805YBTLBCGTZIU1FQ6PTL0L" hidden="1">#N/A</definedName>
    <definedName name="BExMC8R8GFNID5HV423BN41W4JLQ" localSheetId="18" hidden="1">TB-[35]BS!$C$17:$K$928</definedName>
    <definedName name="BExMC8R8GFNID5HV423BN41W4JLQ" localSheetId="16" hidden="1">TB-[35]BS!$C$17:$K$928</definedName>
    <definedName name="BExMC8R8GFNID5HV423BN41W4JLQ" localSheetId="21" hidden="1">TB-[35]BS!$C$17:$K$928</definedName>
    <definedName name="BExMC8R8GFNID5HV423BN41W4JLQ" localSheetId="19" hidden="1">TB-[35]BS!$C$17:$K$928</definedName>
    <definedName name="BExMC8R8GFNID5HV423BN41W4JLQ" localSheetId="17" hidden="1">TB-[35]BS!$C$17:$K$928</definedName>
    <definedName name="BExMC8R8GFNID5HV423BN41W4JLQ" hidden="1">TB-[35]BS!$C$17:$K$928</definedName>
    <definedName name="BExMDOAWNLTR0BF16G5575M016S5" localSheetId="18" hidden="1">BS-[34]Monitory!$D$6:$D$6</definedName>
    <definedName name="BExMDOAWNLTR0BF16G5575M016S5" localSheetId="16" hidden="1">BS-[34]Monitory!$D$6:$D$6</definedName>
    <definedName name="BExMDOAWNLTR0BF16G5575M016S5" localSheetId="21" hidden="1">BS-[34]Monitory!$D$6:$D$6</definedName>
    <definedName name="BExMDOAWNLTR0BF16G5575M016S5" localSheetId="19" hidden="1">BS-[34]Monitory!$D$6:$D$6</definedName>
    <definedName name="BExMDOAWNLTR0BF16G5575M016S5" localSheetId="17" hidden="1">BS-[34]Monitory!$D$6:$D$6</definedName>
    <definedName name="BExMDOAWNLTR0BF16G5575M016S5" hidden="1">BS-[34]Monitory!$D$6:$D$6</definedName>
    <definedName name="BExMDS75KV2427HYWBHEU5KX0VGT" localSheetId="18" hidden="1">BS-[29]Monetary!$C$13:$D$14</definedName>
    <definedName name="BExMDS75KV2427HYWBHEU5KX0VGT" localSheetId="16" hidden="1">BS-[29]Monetary!$C$13:$D$14</definedName>
    <definedName name="BExMDS75KV2427HYWBHEU5KX0VGT" localSheetId="21" hidden="1">BS-[29]Monetary!$C$13:$D$14</definedName>
    <definedName name="BExMDS75KV2427HYWBHEU5KX0VGT" localSheetId="19" hidden="1">BS-[29]Monetary!$C$13:$D$14</definedName>
    <definedName name="BExMDS75KV2427HYWBHEU5KX0VGT" localSheetId="17" hidden="1">BS-[29]Monetary!$C$13:$D$14</definedName>
    <definedName name="BExMDS75KV2427HYWBHEU5KX0VGT" hidden="1">BS-[29]Monetary!$C$13:$D$14</definedName>
    <definedName name="BExMDY1ITX9085L7MEAI474C92EZ" hidden="1">#N/A</definedName>
    <definedName name="BExME1C67W45X0I2SF68W9CDDG61" localSheetId="18" hidden="1">Balance [33]Sheet!$C$13:$D$15</definedName>
    <definedName name="BExME1C67W45X0I2SF68W9CDDG61" localSheetId="16" hidden="1">Balance [33]Sheet!$C$13:$D$15</definedName>
    <definedName name="BExME1C67W45X0I2SF68W9CDDG61" localSheetId="21" hidden="1">Balance [33]Sheet!$C$13:$D$15</definedName>
    <definedName name="BExME1C67W45X0I2SF68W9CDDG61" localSheetId="19" hidden="1">Balance [33]Sheet!$C$13:$D$15</definedName>
    <definedName name="BExME1C67W45X0I2SF68W9CDDG61" localSheetId="17" hidden="1">Balance [33]Sheet!$C$13:$D$15</definedName>
    <definedName name="BExME1C67W45X0I2SF68W9CDDG61" hidden="1">Balance [33]Sheet!$C$13:$D$15</definedName>
    <definedName name="BExME64UGO6G3Y66R2BY27LVQUNJ" localSheetId="18" hidden="1">BS-non Monetary-[27]LC!$C$13:$D$14</definedName>
    <definedName name="BExME64UGO6G3Y66R2BY27LVQUNJ" localSheetId="16" hidden="1">BS-non Monetary-[27]LC!$C$13:$D$14</definedName>
    <definedName name="BExME64UGO6G3Y66R2BY27LVQUNJ" localSheetId="21" hidden="1">BS-non Monetary-[27]LC!$C$13:$D$14</definedName>
    <definedName name="BExME64UGO6G3Y66R2BY27LVQUNJ" localSheetId="19" hidden="1">BS-non Monetary-[27]LC!$C$13:$D$14</definedName>
    <definedName name="BExME64UGO6G3Y66R2BY27LVQUNJ" localSheetId="17" hidden="1">BS-non Monetary-[27]LC!$C$13:$D$14</definedName>
    <definedName name="BExME64UGO6G3Y66R2BY27LVQUNJ" hidden="1">BS-non Monetary-[27]LC!$C$13:$D$14</definedName>
    <definedName name="BExMF874AZBL44MYPT54ILUA2CZZ" localSheetId="18" hidden="1">TB-[35]BS!$C$17:$F$2992</definedName>
    <definedName name="BExMF874AZBL44MYPT54ILUA2CZZ" localSheetId="16" hidden="1">TB-[35]BS!$C$17:$F$2992</definedName>
    <definedName name="BExMF874AZBL44MYPT54ILUA2CZZ" localSheetId="21" hidden="1">TB-[35]BS!$C$17:$F$2992</definedName>
    <definedName name="BExMF874AZBL44MYPT54ILUA2CZZ" localSheetId="19" hidden="1">TB-[35]BS!$C$17:$F$2992</definedName>
    <definedName name="BExMF874AZBL44MYPT54ILUA2CZZ" localSheetId="17" hidden="1">TB-[35]BS!$C$17:$F$2992</definedName>
    <definedName name="BExMF874AZBL44MYPT54ILUA2CZZ" hidden="1">TB-[35]BS!$C$17:$F$2992</definedName>
    <definedName name="BExMFFZMUVTXXI2VVDA23JDXUVOZ" hidden="1">#N/A</definedName>
    <definedName name="BExMG0TE2UQQPSPDM3W0VB1UL5H8" localSheetId="18" hidden="1">BS-non Monetary-[28]TC!$D$6:$D$6</definedName>
    <definedName name="BExMG0TE2UQQPSPDM3W0VB1UL5H8" localSheetId="16" hidden="1">BS-non Monetary-[28]TC!$D$6:$D$6</definedName>
    <definedName name="BExMG0TE2UQQPSPDM3W0VB1UL5H8" localSheetId="21" hidden="1">BS-non Monetary-[28]TC!$D$6:$D$6</definedName>
    <definedName name="BExMG0TE2UQQPSPDM3W0VB1UL5H8" localSheetId="19" hidden="1">BS-non Monetary-[28]TC!$D$6:$D$6</definedName>
    <definedName name="BExMG0TE2UQQPSPDM3W0VB1UL5H8" localSheetId="17" hidden="1">BS-non Monetary-[28]TC!$D$6:$D$6</definedName>
    <definedName name="BExMG0TE2UQQPSPDM3W0VB1UL5H8" hidden="1">BS-non Monetary-[28]TC!$D$6:$D$6</definedName>
    <definedName name="BExMG8WQZ1SWXGJRR1K6DX7PVKVO" localSheetId="18" hidden="1">BS-Equity-[27]LC!$C$17:$E$93</definedName>
    <definedName name="BExMG8WQZ1SWXGJRR1K6DX7PVKVO" localSheetId="16" hidden="1">BS-Equity-[27]LC!$C$17:$E$93</definedName>
    <definedName name="BExMG8WQZ1SWXGJRR1K6DX7PVKVO" localSheetId="21" hidden="1">BS-Equity-[27]LC!$C$17:$E$93</definedName>
    <definedName name="BExMG8WQZ1SWXGJRR1K6DX7PVKVO" localSheetId="19" hidden="1">BS-Equity-[27]LC!$C$17:$E$93</definedName>
    <definedName name="BExMG8WQZ1SWXGJRR1K6DX7PVKVO" localSheetId="17" hidden="1">BS-Equity-[27]LC!$C$17:$E$93</definedName>
    <definedName name="BExMG8WQZ1SWXGJRR1K6DX7PVKVO" hidden="1">BS-Equity-[27]LC!$C$17:$E$93</definedName>
    <definedName name="BExMGFI4QQL4OBZBSV55NVFP9T1N" localSheetId="18" hidden="1">BS-non Monetary-[27]LC!$D$6:$D$6</definedName>
    <definedName name="BExMGFI4QQL4OBZBSV55NVFP9T1N" localSheetId="16" hidden="1">BS-non Monetary-[27]LC!$D$6:$D$6</definedName>
    <definedName name="BExMGFI4QQL4OBZBSV55NVFP9T1N" localSheetId="21" hidden="1">BS-non Monetary-[27]LC!$D$6:$D$6</definedName>
    <definedName name="BExMGFI4QQL4OBZBSV55NVFP9T1N" localSheetId="19" hidden="1">BS-non Monetary-[27]LC!$D$6:$D$6</definedName>
    <definedName name="BExMGFI4QQL4OBZBSV55NVFP9T1N" localSheetId="17" hidden="1">BS-non Monetary-[27]LC!$D$6:$D$6</definedName>
    <definedName name="BExMGFI4QQL4OBZBSV55NVFP9T1N" hidden="1">BS-non Monetary-[27]LC!$D$6:$D$6</definedName>
    <definedName name="BExMGH022LE3BF46APO2D9HAL2Z0" localSheetId="18" hidden="1">BS-[29]Monetary!$D$6:$D$6</definedName>
    <definedName name="BExMGH022LE3BF46APO2D9HAL2Z0" localSheetId="16" hidden="1">BS-[29]Monetary!$D$6:$D$6</definedName>
    <definedName name="BExMGH022LE3BF46APO2D9HAL2Z0" localSheetId="21" hidden="1">BS-[29]Monetary!$D$6:$D$6</definedName>
    <definedName name="BExMGH022LE3BF46APO2D9HAL2Z0" localSheetId="19" hidden="1">BS-[29]Monetary!$D$6:$D$6</definedName>
    <definedName name="BExMGH022LE3BF46APO2D9HAL2Z0" localSheetId="17" hidden="1">BS-[29]Monetary!$D$6:$D$6</definedName>
    <definedName name="BExMGH022LE3BF46APO2D9HAL2Z0" hidden="1">BS-[29]Monetary!$D$6:$D$6</definedName>
    <definedName name="BExMGLSQ4JNCDDWC6LYN9Z6UW3PI" hidden="1">#N/A</definedName>
    <definedName name="BExMH06M1EXOV4XLBI2EO1TDIIR9" hidden="1">#N/A</definedName>
    <definedName name="BExMH9BLZ9MPEG88KB50W7AIW2X1" localSheetId="18" hidden="1">BS-non Monetary-[27]LC!$D$6:$D$6</definedName>
    <definedName name="BExMH9BLZ9MPEG88KB50W7AIW2X1" localSheetId="16" hidden="1">BS-non Monetary-[27]LC!$D$6:$D$6</definedName>
    <definedName name="BExMH9BLZ9MPEG88KB50W7AIW2X1" localSheetId="21" hidden="1">BS-non Monetary-[27]LC!$D$6:$D$6</definedName>
    <definedName name="BExMH9BLZ9MPEG88KB50W7AIW2X1" localSheetId="19" hidden="1">BS-non Monetary-[27]LC!$D$6:$D$6</definedName>
    <definedName name="BExMH9BLZ9MPEG88KB50W7AIW2X1" localSheetId="17" hidden="1">BS-non Monetary-[27]LC!$D$6:$D$6</definedName>
    <definedName name="BExMH9BLZ9MPEG88KB50W7AIW2X1" hidden="1">BS-non Monetary-[27]LC!$D$6:$D$6</definedName>
    <definedName name="BExMI76UN4UZPSC6JXEY4ALK1VZL" hidden="1">#N/A</definedName>
    <definedName name="BExMIEOJRLPLHK79RBVX7D507CRG" localSheetId="18" hidden="1">BS-[29]Monetary!$D$7:$D$7</definedName>
    <definedName name="BExMIEOJRLPLHK79RBVX7D507CRG" localSheetId="16" hidden="1">BS-[29]Monetary!$D$7:$D$7</definedName>
    <definedName name="BExMIEOJRLPLHK79RBVX7D507CRG" localSheetId="21" hidden="1">BS-[29]Monetary!$D$7:$D$7</definedName>
    <definedName name="BExMIEOJRLPLHK79RBVX7D507CRG" localSheetId="19" hidden="1">BS-[29]Monetary!$D$7:$D$7</definedName>
    <definedName name="BExMIEOJRLPLHK79RBVX7D507CRG" localSheetId="17" hidden="1">BS-[29]Monetary!$D$7:$D$7</definedName>
    <definedName name="BExMIEOJRLPLHK79RBVX7D507CRG" hidden="1">BS-[29]Monetary!$D$7:$D$7</definedName>
    <definedName name="BExMIFA6PO7PIGND0UYIWQLDQC31" localSheetId="18" hidden="1">BS-non Monetary-[27]LC!$D$8:$D$8</definedName>
    <definedName name="BExMIFA6PO7PIGND0UYIWQLDQC31" localSheetId="16" hidden="1">BS-non Monetary-[27]LC!$D$8:$D$8</definedName>
    <definedName name="BExMIFA6PO7PIGND0UYIWQLDQC31" localSheetId="21" hidden="1">BS-non Monetary-[27]LC!$D$8:$D$8</definedName>
    <definedName name="BExMIFA6PO7PIGND0UYIWQLDQC31" localSheetId="19" hidden="1">BS-non Monetary-[27]LC!$D$8:$D$8</definedName>
    <definedName name="BExMIFA6PO7PIGND0UYIWQLDQC31" localSheetId="17" hidden="1">BS-non Monetary-[27]LC!$D$8:$D$8</definedName>
    <definedName name="BExMIFA6PO7PIGND0UYIWQLDQC31" hidden="1">BS-non Monetary-[27]LC!$D$8:$D$8</definedName>
    <definedName name="BExMJ3US4QCJMK3W2IV5EA4EREKY" localSheetId="18" hidden="1">BS-non Monetary-[28]TC!$C$13:$D$14</definedName>
    <definedName name="BExMJ3US4QCJMK3W2IV5EA4EREKY" localSheetId="16" hidden="1">BS-non Monetary-[28]TC!$C$13:$D$14</definedName>
    <definedName name="BExMJ3US4QCJMK3W2IV5EA4EREKY" localSheetId="21" hidden="1">BS-non Monetary-[28]TC!$C$13:$D$14</definedName>
    <definedName name="BExMJ3US4QCJMK3W2IV5EA4EREKY" localSheetId="19" hidden="1">BS-non Monetary-[28]TC!$C$13:$D$14</definedName>
    <definedName name="BExMJ3US4QCJMK3W2IV5EA4EREKY" localSheetId="17" hidden="1">BS-non Monetary-[28]TC!$C$13:$D$14</definedName>
    <definedName name="BExMJ3US4QCJMK3W2IV5EA4EREKY" hidden="1">BS-non Monetary-[28]TC!$C$13:$D$14</definedName>
    <definedName name="BExMJCP4AYLQXOXZXMG39SSDFAN7" hidden="1">#N/A</definedName>
    <definedName name="BExMJDW9LIWY5THYHCOF7EBVKU1A" localSheetId="18" hidden="1">BS-non Monetary-[28]TC!$D$8:$D$8</definedName>
    <definedName name="BExMJDW9LIWY5THYHCOF7EBVKU1A" localSheetId="16" hidden="1">BS-non Monetary-[28]TC!$D$8:$D$8</definedName>
    <definedName name="BExMJDW9LIWY5THYHCOF7EBVKU1A" localSheetId="21" hidden="1">BS-non Monetary-[28]TC!$D$8:$D$8</definedName>
    <definedName name="BExMJDW9LIWY5THYHCOF7EBVKU1A" localSheetId="19" hidden="1">BS-non Monetary-[28]TC!$D$8:$D$8</definedName>
    <definedName name="BExMJDW9LIWY5THYHCOF7EBVKU1A" localSheetId="17" hidden="1">BS-non Monetary-[28]TC!$D$8:$D$8</definedName>
    <definedName name="BExMJDW9LIWY5THYHCOF7EBVKU1A" hidden="1">BS-non Monetary-[28]TC!$D$8:$D$8</definedName>
    <definedName name="BExMJM4WKZKXCP3T9QKSTVH0CJAJ" hidden="1">#N/A</definedName>
    <definedName name="BExMK9TAS8RRJQ4TYLHVUWMV8B27" localSheetId="18" hidden="1">BS-non Monetary-[27]LC!$D$6:$D$6</definedName>
    <definedName name="BExMK9TAS8RRJQ4TYLHVUWMV8B27" localSheetId="16" hidden="1">BS-non Monetary-[27]LC!$D$6:$D$6</definedName>
    <definedName name="BExMK9TAS8RRJQ4TYLHVUWMV8B27" localSheetId="21" hidden="1">BS-non Monetary-[27]LC!$D$6:$D$6</definedName>
    <definedName name="BExMK9TAS8RRJQ4TYLHVUWMV8B27" localSheetId="19" hidden="1">BS-non Monetary-[27]LC!$D$6:$D$6</definedName>
    <definedName name="BExMK9TAS8RRJQ4TYLHVUWMV8B27" localSheetId="17" hidden="1">BS-non Monetary-[27]LC!$D$6:$D$6</definedName>
    <definedName name="BExMK9TAS8RRJQ4TYLHVUWMV8B27" hidden="1">BS-non Monetary-[27]LC!$D$6:$D$6</definedName>
    <definedName name="BExMKOCHFULXMXL70UDI8WMTC6DB" hidden="1">#N/A</definedName>
    <definedName name="BExMKVU9D11M3SQQ2WWD9TNN829K" hidden="1">#N/A</definedName>
    <definedName name="BExMM7SM6ADNA5IXF6YA4EKAXQVU" localSheetId="18" hidden="1">BS-non Monetary-[28]TC!$D$7:$D$7</definedName>
    <definedName name="BExMM7SM6ADNA5IXF6YA4EKAXQVU" localSheetId="16" hidden="1">BS-non Monetary-[28]TC!$D$7:$D$7</definedName>
    <definedName name="BExMM7SM6ADNA5IXF6YA4EKAXQVU" localSheetId="21" hidden="1">BS-non Monetary-[28]TC!$D$7:$D$7</definedName>
    <definedName name="BExMM7SM6ADNA5IXF6YA4EKAXQVU" localSheetId="19" hidden="1">BS-non Monetary-[28]TC!$D$7:$D$7</definedName>
    <definedName name="BExMM7SM6ADNA5IXF6YA4EKAXQVU" localSheetId="17" hidden="1">BS-non Monetary-[28]TC!$D$7:$D$7</definedName>
    <definedName name="BExMM7SM6ADNA5IXF6YA4EKAXQVU" hidden="1">BS-non Monetary-[28]TC!$D$7:$D$7</definedName>
    <definedName name="BExMMJHDU9WDZFE90XSY9O3VF7TD" localSheetId="18" hidden="1">TB-[35]BS!$D$7:$D$7</definedName>
    <definedName name="BExMMJHDU9WDZFE90XSY9O3VF7TD" localSheetId="16" hidden="1">TB-[35]BS!$D$7:$D$7</definedName>
    <definedName name="BExMMJHDU9WDZFE90XSY9O3VF7TD" localSheetId="21" hidden="1">TB-[35]BS!$D$7:$D$7</definedName>
    <definedName name="BExMMJHDU9WDZFE90XSY9O3VF7TD" localSheetId="19" hidden="1">TB-[35]BS!$D$7:$D$7</definedName>
    <definedName name="BExMMJHDU9WDZFE90XSY9O3VF7TD" localSheetId="17" hidden="1">TB-[35]BS!$D$7:$D$7</definedName>
    <definedName name="BExMMJHDU9WDZFE90XSY9O3VF7TD" hidden="1">TB-[35]BS!$D$7:$D$7</definedName>
    <definedName name="BExMMUF5LE9V59FP6FDUVU4SA4AG" localSheetId="18" hidden="1">BS-[29]Monetary!$D$6:$D$6</definedName>
    <definedName name="BExMMUF5LE9V59FP6FDUVU4SA4AG" localSheetId="16" hidden="1">BS-[29]Monetary!$D$6:$D$6</definedName>
    <definedName name="BExMMUF5LE9V59FP6FDUVU4SA4AG" localSheetId="21" hidden="1">BS-[29]Monetary!$D$6:$D$6</definedName>
    <definedName name="BExMMUF5LE9V59FP6FDUVU4SA4AG" localSheetId="19" hidden="1">BS-[29]Monetary!$D$6:$D$6</definedName>
    <definedName name="BExMMUF5LE9V59FP6FDUVU4SA4AG" localSheetId="17" hidden="1">BS-[29]Monetary!$D$6:$D$6</definedName>
    <definedName name="BExMMUF5LE9V59FP6FDUVU4SA4AG" hidden="1">BS-[29]Monetary!$D$6:$D$6</definedName>
    <definedName name="BExMNIJLJZEJV3QFOUAEB1JMSCKG" localSheetId="18" hidden="1">BS-non Monetary-[28]TC!$C$13:$D$14</definedName>
    <definedName name="BExMNIJLJZEJV3QFOUAEB1JMSCKG" localSheetId="16" hidden="1">BS-non Monetary-[28]TC!$C$13:$D$14</definedName>
    <definedName name="BExMNIJLJZEJV3QFOUAEB1JMSCKG" localSheetId="21" hidden="1">BS-non Monetary-[28]TC!$C$13:$D$14</definedName>
    <definedName name="BExMNIJLJZEJV3QFOUAEB1JMSCKG" localSheetId="19" hidden="1">BS-non Monetary-[28]TC!$C$13:$D$14</definedName>
    <definedName name="BExMNIJLJZEJV3QFOUAEB1JMSCKG" localSheetId="17" hidden="1">BS-non Monetary-[28]TC!$C$13:$D$14</definedName>
    <definedName name="BExMNIJLJZEJV3QFOUAEB1JMSCKG" hidden="1">BS-non Monetary-[28]TC!$C$13:$D$14</definedName>
    <definedName name="BExMNQHMHHJEXHDH5S03F5MNWUDT" hidden="1">#N/A</definedName>
    <definedName name="BExMO1FD0NL47NQWVZKEUUGDV6MC" localSheetId="18" hidden="1">BS-non Monitory-[31]GC!$D$6:$D$6</definedName>
    <definedName name="BExMO1FD0NL47NQWVZKEUUGDV6MC" localSheetId="16" hidden="1">BS-non Monitory-[31]GC!$D$6:$D$6</definedName>
    <definedName name="BExMO1FD0NL47NQWVZKEUUGDV6MC" localSheetId="21" hidden="1">BS-non Monitory-[31]GC!$D$6:$D$6</definedName>
    <definedName name="BExMO1FD0NL47NQWVZKEUUGDV6MC" localSheetId="19" hidden="1">BS-non Monitory-[31]GC!$D$6:$D$6</definedName>
    <definedName name="BExMO1FD0NL47NQWVZKEUUGDV6MC" localSheetId="17" hidden="1">BS-non Monitory-[31]GC!$D$6:$D$6</definedName>
    <definedName name="BExMO1FD0NL47NQWVZKEUUGDV6MC" hidden="1">BS-non Monitory-[31]GC!$D$6:$D$6</definedName>
    <definedName name="BExMODEXWE7UNANO6WUXST6VTADQ" hidden="1">#N/A</definedName>
    <definedName name="BExMOOCOZ6YE13UTCZ7WH6HR952Q" hidden="1">#N/A</definedName>
    <definedName name="BExMOX73FKIKUD16MI1IZ6D6QDEX" localSheetId="18" hidden="1">BS-non Monetary-[27]LC!$C$13:$D$14</definedName>
    <definedName name="BExMOX73FKIKUD16MI1IZ6D6QDEX" localSheetId="16" hidden="1">BS-non Monetary-[27]LC!$C$13:$D$14</definedName>
    <definedName name="BExMOX73FKIKUD16MI1IZ6D6QDEX" localSheetId="21" hidden="1">BS-non Monetary-[27]LC!$C$13:$D$14</definedName>
    <definedName name="BExMOX73FKIKUD16MI1IZ6D6QDEX" localSheetId="19" hidden="1">BS-non Monetary-[27]LC!$C$13:$D$14</definedName>
    <definedName name="BExMOX73FKIKUD16MI1IZ6D6QDEX" localSheetId="17" hidden="1">BS-non Monetary-[27]LC!$C$13:$D$14</definedName>
    <definedName name="BExMOX73FKIKUD16MI1IZ6D6QDEX" hidden="1">BS-non Monetary-[27]LC!$C$13:$D$14</definedName>
    <definedName name="BExMOY3FZ0TV07OJ6060CN8I9ZXI" localSheetId="18" hidden="1">BS-Equity-[28]TC!$D$6:$D$6</definedName>
    <definedName name="BExMOY3FZ0TV07OJ6060CN8I9ZXI" localSheetId="16" hidden="1">BS-Equity-[28]TC!$D$6:$D$6</definedName>
    <definedName name="BExMOY3FZ0TV07OJ6060CN8I9ZXI" localSheetId="21" hidden="1">BS-Equity-[28]TC!$D$6:$D$6</definedName>
    <definedName name="BExMOY3FZ0TV07OJ6060CN8I9ZXI" localSheetId="19" hidden="1">BS-Equity-[28]TC!$D$6:$D$6</definedName>
    <definedName name="BExMOY3FZ0TV07OJ6060CN8I9ZXI" localSheetId="17" hidden="1">BS-Equity-[28]TC!$D$6:$D$6</definedName>
    <definedName name="BExMOY3FZ0TV07OJ6060CN8I9ZXI" hidden="1">BS-Equity-[28]TC!$D$6:$D$6</definedName>
    <definedName name="BExMOZAMJGLLO8ACLEE3AK1PCHIR" localSheetId="18" hidden="1">TB BS non Monetary [31]GC!$D$8:$D$8</definedName>
    <definedName name="BExMOZAMJGLLO8ACLEE3AK1PCHIR" localSheetId="16" hidden="1">TB BS non Monetary [31]GC!$D$8:$D$8</definedName>
    <definedName name="BExMOZAMJGLLO8ACLEE3AK1PCHIR" localSheetId="21" hidden="1">TB BS non Monetary [31]GC!$D$8:$D$8</definedName>
    <definedName name="BExMOZAMJGLLO8ACLEE3AK1PCHIR" localSheetId="19" hidden="1">TB BS non Monetary [31]GC!$D$8:$D$8</definedName>
    <definedName name="BExMOZAMJGLLO8ACLEE3AK1PCHIR" localSheetId="17" hidden="1">TB BS non Monetary [31]GC!$D$8:$D$8</definedName>
    <definedName name="BExMOZAMJGLLO8ACLEE3AK1PCHIR" hidden="1">TB BS non Monetary [31]GC!$D$8:$D$8</definedName>
    <definedName name="BExMOZQQ13G90KYAYGP5TYXY9Z9E" localSheetId="18" hidden="1">BS-[34]Monitory!$D$8:$D$8</definedName>
    <definedName name="BExMOZQQ13G90KYAYGP5TYXY9Z9E" localSheetId="16" hidden="1">BS-[34]Monitory!$D$8:$D$8</definedName>
    <definedName name="BExMOZQQ13G90KYAYGP5TYXY9Z9E" localSheetId="21" hidden="1">BS-[34]Monitory!$D$8:$D$8</definedName>
    <definedName name="BExMOZQQ13G90KYAYGP5TYXY9Z9E" localSheetId="19" hidden="1">BS-[34]Monitory!$D$8:$D$8</definedName>
    <definedName name="BExMOZQQ13G90KYAYGP5TYXY9Z9E" localSheetId="17" hidden="1">BS-[34]Monitory!$D$8:$D$8</definedName>
    <definedName name="BExMOZQQ13G90KYAYGP5TYXY9Z9E" hidden="1">BS-[34]Monitory!$D$8:$D$8</definedName>
    <definedName name="BExMP2FYXXZ4RHSX0EL3Q703O4M3" localSheetId="18" hidden="1">BS-non Monetary-[28]TC!$D$7:$D$7</definedName>
    <definedName name="BExMP2FYXXZ4RHSX0EL3Q703O4M3" localSheetId="16" hidden="1">BS-non Monetary-[28]TC!$D$7:$D$7</definedName>
    <definedName name="BExMP2FYXXZ4RHSX0EL3Q703O4M3" localSheetId="21" hidden="1">BS-non Monetary-[28]TC!$D$7:$D$7</definedName>
    <definedName name="BExMP2FYXXZ4RHSX0EL3Q703O4M3" localSheetId="19" hidden="1">BS-non Monetary-[28]TC!$D$7:$D$7</definedName>
    <definedName name="BExMP2FYXXZ4RHSX0EL3Q703O4M3" localSheetId="17" hidden="1">BS-non Monetary-[28]TC!$D$7:$D$7</definedName>
    <definedName name="BExMP2FYXXZ4RHSX0EL3Q703O4M3" hidden="1">BS-non Monetary-[28]TC!$D$7:$D$7</definedName>
    <definedName name="BExMP3CD3FLA8SVTIO0K6DH6IAR5" hidden="1">#N/A</definedName>
    <definedName name="BExMP4UA7E7LUQ9OC7QK28JV634F" localSheetId="18" hidden="1">BS-non Monetary-[28]TC!$D$7:$D$7</definedName>
    <definedName name="BExMP4UA7E7LUQ9OC7QK28JV634F" localSheetId="16" hidden="1">BS-non Monetary-[28]TC!$D$7:$D$7</definedName>
    <definedName name="BExMP4UA7E7LUQ9OC7QK28JV634F" localSheetId="21" hidden="1">BS-non Monetary-[28]TC!$D$7:$D$7</definedName>
    <definedName name="BExMP4UA7E7LUQ9OC7QK28JV634F" localSheetId="19" hidden="1">BS-non Monetary-[28]TC!$D$7:$D$7</definedName>
    <definedName name="BExMP4UA7E7LUQ9OC7QK28JV634F" localSheetId="17" hidden="1">BS-non Monetary-[28]TC!$D$7:$D$7</definedName>
    <definedName name="BExMP4UA7E7LUQ9OC7QK28JV634F" hidden="1">BS-non Monetary-[28]TC!$D$7:$D$7</definedName>
    <definedName name="BExMP78GMWNVZY107XM01W426XEB" localSheetId="18" hidden="1">BS-[29]Monetary!$D$8:$D$8</definedName>
    <definedName name="BExMP78GMWNVZY107XM01W426XEB" localSheetId="16" hidden="1">BS-[29]Monetary!$D$8:$D$8</definedName>
    <definedName name="BExMP78GMWNVZY107XM01W426XEB" localSheetId="21" hidden="1">BS-[29]Monetary!$D$8:$D$8</definedName>
    <definedName name="BExMP78GMWNVZY107XM01W426XEB" localSheetId="19" hidden="1">BS-[29]Monetary!$D$8:$D$8</definedName>
    <definedName name="BExMP78GMWNVZY107XM01W426XEB" localSheetId="17" hidden="1">BS-[29]Monetary!$D$8:$D$8</definedName>
    <definedName name="BExMP78GMWNVZY107XM01W426XEB" hidden="1">BS-[29]Monetary!$D$8:$D$8</definedName>
    <definedName name="BExMPIH5IV2C62V97HQ7LC05JGTQ" localSheetId="18" hidden="1">BS-non Monetary-[28]TC!$C$13:$D$14</definedName>
    <definedName name="BExMPIH5IV2C62V97HQ7LC05JGTQ" localSheetId="16" hidden="1">BS-non Monetary-[28]TC!$C$13:$D$14</definedName>
    <definedName name="BExMPIH5IV2C62V97HQ7LC05JGTQ" localSheetId="21" hidden="1">BS-non Monetary-[28]TC!$C$13:$D$14</definedName>
    <definedName name="BExMPIH5IV2C62V97HQ7LC05JGTQ" localSheetId="19" hidden="1">BS-non Monetary-[28]TC!$C$13:$D$14</definedName>
    <definedName name="BExMPIH5IV2C62V97HQ7LC05JGTQ" localSheetId="17" hidden="1">BS-non Monetary-[28]TC!$C$13:$D$14</definedName>
    <definedName name="BExMPIH5IV2C62V97HQ7LC05JGTQ" hidden="1">BS-non Monetary-[28]TC!$C$13:$D$14</definedName>
    <definedName name="BExMPWK8IFLVP66R3UNXLFN7RN1U" localSheetId="18" hidden="1">TB BS Monetary [30]Item!$D$8:$D$8</definedName>
    <definedName name="BExMPWK8IFLVP66R3UNXLFN7RN1U" localSheetId="16" hidden="1">TB BS Monetary [30]Item!$D$8:$D$8</definedName>
    <definedName name="BExMPWK8IFLVP66R3UNXLFN7RN1U" localSheetId="21" hidden="1">TB BS Monetary [30]Item!$D$8:$D$8</definedName>
    <definedName name="BExMPWK8IFLVP66R3UNXLFN7RN1U" localSheetId="19" hidden="1">TB BS Monetary [30]Item!$D$8:$D$8</definedName>
    <definedName name="BExMPWK8IFLVP66R3UNXLFN7RN1U" localSheetId="17" hidden="1">TB BS Monetary [30]Item!$D$8:$D$8</definedName>
    <definedName name="BExMPWK8IFLVP66R3UNXLFN7RN1U" hidden="1">TB BS Monetary [30]Item!$D$8:$D$8</definedName>
    <definedName name="BExMQ2EKWZE12LEDQE90BRFV92JV" localSheetId="18" hidden="1">BS-Equity-[27]LC!$C$17:$E$93</definedName>
    <definedName name="BExMQ2EKWZE12LEDQE90BRFV92JV" localSheetId="16" hidden="1">BS-Equity-[27]LC!$C$17:$E$93</definedName>
    <definedName name="BExMQ2EKWZE12LEDQE90BRFV92JV" localSheetId="21" hidden="1">BS-Equity-[27]LC!$C$17:$E$93</definedName>
    <definedName name="BExMQ2EKWZE12LEDQE90BRFV92JV" localSheetId="19" hidden="1">BS-Equity-[27]LC!$C$17:$E$93</definedName>
    <definedName name="BExMQ2EKWZE12LEDQE90BRFV92JV" localSheetId="17" hidden="1">BS-Equity-[27]LC!$C$17:$E$93</definedName>
    <definedName name="BExMQ2EKWZE12LEDQE90BRFV92JV" hidden="1">BS-Equity-[27]LC!$C$17:$E$93</definedName>
    <definedName name="BExMQNDUME81WZYCC5OTZRUX3N2Q" localSheetId="18" hidden="1">Balance [33]Sheet!$D$6:$D$6</definedName>
    <definedName name="BExMQNDUME81WZYCC5OTZRUX3N2Q" localSheetId="16" hidden="1">Balance [33]Sheet!$D$6:$D$6</definedName>
    <definedName name="BExMQNDUME81WZYCC5OTZRUX3N2Q" localSheetId="21" hidden="1">Balance [33]Sheet!$D$6:$D$6</definedName>
    <definedName name="BExMQNDUME81WZYCC5OTZRUX3N2Q" localSheetId="19" hidden="1">Balance [33]Sheet!$D$6:$D$6</definedName>
    <definedName name="BExMQNDUME81WZYCC5OTZRUX3N2Q" localSheetId="17" hidden="1">Balance [33]Sheet!$D$6:$D$6</definedName>
    <definedName name="BExMQNDUME81WZYCC5OTZRUX3N2Q" hidden="1">Balance [33]Sheet!$D$6:$D$6</definedName>
    <definedName name="BExMQPS60YT6DN6BL3II0TUIUEQG" hidden="1">#N/A</definedName>
    <definedName name="BExMR2IM90OTE8OBX2HOT9I4XWWZ" localSheetId="18" hidden="1">BS-non Monetary-[27]LC!$C$17:$N$662</definedName>
    <definedName name="BExMR2IM90OTE8OBX2HOT9I4XWWZ" localSheetId="16" hidden="1">BS-non Monetary-[27]LC!$C$17:$N$662</definedName>
    <definedName name="BExMR2IM90OTE8OBX2HOT9I4XWWZ" localSheetId="21" hidden="1">BS-non Monetary-[27]LC!$C$17:$N$662</definedName>
    <definedName name="BExMR2IM90OTE8OBX2HOT9I4XWWZ" localSheetId="19" hidden="1">BS-non Monetary-[27]LC!$C$17:$N$662</definedName>
    <definedName name="BExMR2IM90OTE8OBX2HOT9I4XWWZ" localSheetId="17" hidden="1">BS-non Monetary-[27]LC!$C$17:$N$662</definedName>
    <definedName name="BExMR2IM90OTE8OBX2HOT9I4XWWZ" hidden="1">BS-non Monetary-[27]LC!$C$17:$N$662</definedName>
    <definedName name="BExMRBYKWGLPS623WRQ29UKT5DIO" hidden="1">#N/A</definedName>
    <definedName name="BExMRVW1RX9IH7K998Q6Z7QSLUAY" localSheetId="18" hidden="1">BS-[29]Monetary!$C$17:$I$862</definedName>
    <definedName name="BExMRVW1RX9IH7K998Q6Z7QSLUAY" localSheetId="16" hidden="1">BS-[29]Monetary!$C$17:$I$862</definedName>
    <definedName name="BExMRVW1RX9IH7K998Q6Z7QSLUAY" localSheetId="21" hidden="1">BS-[29]Monetary!$C$17:$I$862</definedName>
    <definedName name="BExMRVW1RX9IH7K998Q6Z7QSLUAY" localSheetId="19" hidden="1">BS-[29]Monetary!$C$17:$I$862</definedName>
    <definedName name="BExMRVW1RX9IH7K998Q6Z7QSLUAY" localSheetId="17" hidden="1">BS-[29]Monetary!$C$17:$I$862</definedName>
    <definedName name="BExMRVW1RX9IH7K998Q6Z7QSLUAY" hidden="1">BS-[29]Monetary!$C$17:$I$862</definedName>
    <definedName name="BExMSXNHXEU5Y0KMK9YUZ0PL1G2D" localSheetId="18" hidden="1">BS-non Monitory-[31]GC!$C$17:$F$416</definedName>
    <definedName name="BExMSXNHXEU5Y0KMK9YUZ0PL1G2D" localSheetId="16" hidden="1">BS-non Monitory-[31]GC!$C$17:$F$416</definedName>
    <definedName name="BExMSXNHXEU5Y0KMK9YUZ0PL1G2D" localSheetId="21" hidden="1">BS-non Monitory-[31]GC!$C$17:$F$416</definedName>
    <definedName name="BExMSXNHXEU5Y0KMK9YUZ0PL1G2D" localSheetId="19" hidden="1">BS-non Monitory-[31]GC!$C$17:$F$416</definedName>
    <definedName name="BExMSXNHXEU5Y0KMK9YUZ0PL1G2D" localSheetId="17" hidden="1">BS-non Monitory-[31]GC!$C$17:$F$416</definedName>
    <definedName name="BExMSXNHXEU5Y0KMK9YUZ0PL1G2D" hidden="1">BS-non Monitory-[31]GC!$C$17:$F$416</definedName>
    <definedName name="BExO672364HYAMDX6XVAMUSW7TFC" localSheetId="18" hidden="1">BS-[29]Monetary!$C$17:$I$189</definedName>
    <definedName name="BExO672364HYAMDX6XVAMUSW7TFC" localSheetId="16" hidden="1">BS-[29]Monetary!$C$17:$I$189</definedName>
    <definedName name="BExO672364HYAMDX6XVAMUSW7TFC" localSheetId="21" hidden="1">BS-[29]Monetary!$C$17:$I$189</definedName>
    <definedName name="BExO672364HYAMDX6XVAMUSW7TFC" localSheetId="19" hidden="1">BS-[29]Monetary!$C$17:$I$189</definedName>
    <definedName name="BExO672364HYAMDX6XVAMUSW7TFC" localSheetId="17" hidden="1">BS-[29]Monetary!$C$17:$I$189</definedName>
    <definedName name="BExO672364HYAMDX6XVAMUSW7TFC" hidden="1">BS-[29]Monetary!$C$17:$I$189</definedName>
    <definedName name="BExO6XA9UM1IODHU7IX65YNG5DOD" localSheetId="18" hidden="1">BS-[34]Monitory!$D$8:$D$8</definedName>
    <definedName name="BExO6XA9UM1IODHU7IX65YNG5DOD" localSheetId="16" hidden="1">BS-[34]Monitory!$D$8:$D$8</definedName>
    <definedName name="BExO6XA9UM1IODHU7IX65YNG5DOD" localSheetId="21" hidden="1">BS-[34]Monitory!$D$8:$D$8</definedName>
    <definedName name="BExO6XA9UM1IODHU7IX65YNG5DOD" localSheetId="19" hidden="1">BS-[34]Monitory!$D$8:$D$8</definedName>
    <definedName name="BExO6XA9UM1IODHU7IX65YNG5DOD" localSheetId="17" hidden="1">BS-[34]Monitory!$D$8:$D$8</definedName>
    <definedName name="BExO6XA9UM1IODHU7IX65YNG5DOD" hidden="1">BS-[34]Monitory!$D$8:$D$8</definedName>
    <definedName name="BExO7P5P1HDMOF39OZ7BAJ8T2QN1" hidden="1">#N/A</definedName>
    <definedName name="BExO88XN9YGEIZY4C2YABRLNT04S" localSheetId="18" hidden="1">BS-non Monetary-[27]LC!$C$17:$T$735</definedName>
    <definedName name="BExO88XN9YGEIZY4C2YABRLNT04S" localSheetId="16" hidden="1">BS-non Monetary-[27]LC!$C$17:$T$735</definedName>
    <definedName name="BExO88XN9YGEIZY4C2YABRLNT04S" localSheetId="21" hidden="1">BS-non Monetary-[27]LC!$C$17:$T$735</definedName>
    <definedName name="BExO88XN9YGEIZY4C2YABRLNT04S" localSheetId="19" hidden="1">BS-non Monetary-[27]LC!$C$17:$T$735</definedName>
    <definedName name="BExO88XN9YGEIZY4C2YABRLNT04S" localSheetId="17" hidden="1">BS-non Monetary-[27]LC!$C$17:$T$735</definedName>
    <definedName name="BExO88XN9YGEIZY4C2YABRLNT04S" hidden="1">BS-non Monetary-[27]LC!$C$17:$T$735</definedName>
    <definedName name="BExO991QDD1W75Q0ZGB12141PMO0" localSheetId="18" hidden="1">BS-non Monetary-[28]TC!$C$17:$F$505</definedName>
    <definedName name="BExO991QDD1W75Q0ZGB12141PMO0" localSheetId="16" hidden="1">BS-non Monetary-[28]TC!$C$17:$F$505</definedName>
    <definedName name="BExO991QDD1W75Q0ZGB12141PMO0" localSheetId="21" hidden="1">BS-non Monetary-[28]TC!$C$17:$F$505</definedName>
    <definedName name="BExO991QDD1W75Q0ZGB12141PMO0" localSheetId="19" hidden="1">BS-non Monetary-[28]TC!$C$17:$F$505</definedName>
    <definedName name="BExO991QDD1W75Q0ZGB12141PMO0" localSheetId="17" hidden="1">BS-non Monetary-[28]TC!$C$17:$F$505</definedName>
    <definedName name="BExO991QDD1W75Q0ZGB12141PMO0" hidden="1">BS-non Monetary-[28]TC!$C$17:$F$505</definedName>
    <definedName name="BExO9EFX4M0TZ2PAODXGQB0WVVEL" localSheetId="18" hidden="1">BS-non Monetary-[28]TC!$D$6:$D$6</definedName>
    <definedName name="BExO9EFX4M0TZ2PAODXGQB0WVVEL" localSheetId="16" hidden="1">BS-non Monetary-[28]TC!$D$6:$D$6</definedName>
    <definedName name="BExO9EFX4M0TZ2PAODXGQB0WVVEL" localSheetId="21" hidden="1">BS-non Monetary-[28]TC!$D$6:$D$6</definedName>
    <definedName name="BExO9EFX4M0TZ2PAODXGQB0WVVEL" localSheetId="19" hidden="1">BS-non Monetary-[28]TC!$D$6:$D$6</definedName>
    <definedName name="BExO9EFX4M0TZ2PAODXGQB0WVVEL" localSheetId="17" hidden="1">BS-non Monetary-[28]TC!$D$6:$D$6</definedName>
    <definedName name="BExO9EFX4M0TZ2PAODXGQB0WVVEL" hidden="1">BS-non Monetary-[28]TC!$D$6:$D$6</definedName>
    <definedName name="BExO9F6YF6VHRXW3P5PZXCWVMHAP" localSheetId="18" hidden="1">BS-[29]Monetary!$C$17:$I$194</definedName>
    <definedName name="BExO9F6YF6VHRXW3P5PZXCWVMHAP" localSheetId="16" hidden="1">BS-[29]Monetary!$C$17:$I$194</definedName>
    <definedName name="BExO9F6YF6VHRXW3P5PZXCWVMHAP" localSheetId="21" hidden="1">BS-[29]Monetary!$C$17:$I$194</definedName>
    <definedName name="BExO9F6YF6VHRXW3P5PZXCWVMHAP" localSheetId="19" hidden="1">BS-[29]Monetary!$C$17:$I$194</definedName>
    <definedName name="BExO9F6YF6VHRXW3P5PZXCWVMHAP" localSheetId="17" hidden="1">BS-[29]Monetary!$C$17:$I$194</definedName>
    <definedName name="BExO9F6YF6VHRXW3P5PZXCWVMHAP" hidden="1">BS-[29]Monetary!$C$17:$I$194</definedName>
    <definedName name="BExO9TA4E3362TGCFZVIDSNZMTZW" hidden="1">#N/A</definedName>
    <definedName name="BExOA9BA1AIVW5GM3O22BP63NTHQ" localSheetId="18" hidden="1">BS-Equity-[27]LC!$D$7:$D$7</definedName>
    <definedName name="BExOA9BA1AIVW5GM3O22BP63NTHQ" localSheetId="16" hidden="1">BS-Equity-[27]LC!$D$7:$D$7</definedName>
    <definedName name="BExOA9BA1AIVW5GM3O22BP63NTHQ" localSheetId="21" hidden="1">BS-Equity-[27]LC!$D$7:$D$7</definedName>
    <definedName name="BExOA9BA1AIVW5GM3O22BP63NTHQ" localSheetId="19" hidden="1">BS-Equity-[27]LC!$D$7:$D$7</definedName>
    <definedName name="BExOA9BA1AIVW5GM3O22BP63NTHQ" localSheetId="17" hidden="1">BS-Equity-[27]LC!$D$7:$D$7</definedName>
    <definedName name="BExOA9BA1AIVW5GM3O22BP63NTHQ" hidden="1">BS-Equity-[27]LC!$D$7:$D$7</definedName>
    <definedName name="BExOAF0AGXPP2YIFWQ0HQYCHNVM1" hidden="1">#N/A</definedName>
    <definedName name="BExOBGBIP59NNB8874KP1D6I5AYJ" localSheetId="18" hidden="1">BS-[29]Monetary!$C$13:$D$14</definedName>
    <definedName name="BExOBGBIP59NNB8874KP1D6I5AYJ" localSheetId="16" hidden="1">BS-[29]Monetary!$C$13:$D$14</definedName>
    <definedName name="BExOBGBIP59NNB8874KP1D6I5AYJ" localSheetId="21" hidden="1">BS-[29]Monetary!$C$13:$D$14</definedName>
    <definedName name="BExOBGBIP59NNB8874KP1D6I5AYJ" localSheetId="19" hidden="1">BS-[29]Monetary!$C$13:$D$14</definedName>
    <definedName name="BExOBGBIP59NNB8874KP1D6I5AYJ" localSheetId="17" hidden="1">BS-[29]Monetary!$C$13:$D$14</definedName>
    <definedName name="BExOBGBIP59NNB8874KP1D6I5AYJ" hidden="1">BS-[29]Monetary!$C$13:$D$14</definedName>
    <definedName name="BExOBGX2R38ZF2MG5AOPOI76UD67" localSheetId="18" hidden="1">TB-[35]BS!$D$8:$D$8</definedName>
    <definedName name="BExOBGX2R38ZF2MG5AOPOI76UD67" localSheetId="16" hidden="1">TB-[35]BS!$D$8:$D$8</definedName>
    <definedName name="BExOBGX2R38ZF2MG5AOPOI76UD67" localSheetId="21" hidden="1">TB-[35]BS!$D$8:$D$8</definedName>
    <definedName name="BExOBGX2R38ZF2MG5AOPOI76UD67" localSheetId="19" hidden="1">TB-[35]BS!$D$8:$D$8</definedName>
    <definedName name="BExOBGX2R38ZF2MG5AOPOI76UD67" localSheetId="17" hidden="1">TB-[35]BS!$D$8:$D$8</definedName>
    <definedName name="BExOBGX2R38ZF2MG5AOPOI76UD67" hidden="1">TB-[35]BS!$D$8:$D$8</definedName>
    <definedName name="BExOBH7V9VOFVQ4LYWUQVPS881CM" localSheetId="18" hidden="1">BS-non Monetary-[28]TC!$D$7:$D$7</definedName>
    <definedName name="BExOBH7V9VOFVQ4LYWUQVPS881CM" localSheetId="16" hidden="1">BS-non Monetary-[28]TC!$D$7:$D$7</definedName>
    <definedName name="BExOBH7V9VOFVQ4LYWUQVPS881CM" localSheetId="21" hidden="1">BS-non Monetary-[28]TC!$D$7:$D$7</definedName>
    <definedName name="BExOBH7V9VOFVQ4LYWUQVPS881CM" localSheetId="19" hidden="1">BS-non Monetary-[28]TC!$D$7:$D$7</definedName>
    <definedName name="BExOBH7V9VOFVQ4LYWUQVPS881CM" localSheetId="17" hidden="1">BS-non Monetary-[28]TC!$D$7:$D$7</definedName>
    <definedName name="BExOBH7V9VOFVQ4LYWUQVPS881CM" hidden="1">BS-non Monetary-[28]TC!$D$7:$D$7</definedName>
    <definedName name="BExOBSB3N8CWMNBZBW2K6TNBCOX3" localSheetId="18" hidden="1">BS-non Monetary-[27]LC!$D$6:$D$6</definedName>
    <definedName name="BExOBSB3N8CWMNBZBW2K6TNBCOX3" localSheetId="16" hidden="1">BS-non Monetary-[27]LC!$D$6:$D$6</definedName>
    <definedName name="BExOBSB3N8CWMNBZBW2K6TNBCOX3" localSheetId="21" hidden="1">BS-non Monetary-[27]LC!$D$6:$D$6</definedName>
    <definedName name="BExOBSB3N8CWMNBZBW2K6TNBCOX3" localSheetId="19" hidden="1">BS-non Monetary-[27]LC!$D$6:$D$6</definedName>
    <definedName name="BExOBSB3N8CWMNBZBW2K6TNBCOX3" localSheetId="17" hidden="1">BS-non Monetary-[27]LC!$D$6:$D$6</definedName>
    <definedName name="BExOBSB3N8CWMNBZBW2K6TNBCOX3" hidden="1">BS-non Monetary-[27]LC!$D$6:$D$6</definedName>
    <definedName name="BExOC81FOLPSZSVBQUEI1UKLTAP1" localSheetId="18" hidden="1">TB BS Monetary [30]Item!$D$6:$D$6</definedName>
    <definedName name="BExOC81FOLPSZSVBQUEI1UKLTAP1" localSheetId="16" hidden="1">TB BS Monetary [30]Item!$D$6:$D$6</definedName>
    <definedName name="BExOC81FOLPSZSVBQUEI1UKLTAP1" localSheetId="21" hidden="1">TB BS Monetary [30]Item!$D$6:$D$6</definedName>
    <definedName name="BExOC81FOLPSZSVBQUEI1UKLTAP1" localSheetId="19" hidden="1">TB BS Monetary [30]Item!$D$6:$D$6</definedName>
    <definedName name="BExOC81FOLPSZSVBQUEI1UKLTAP1" localSheetId="17" hidden="1">TB BS Monetary [30]Item!$D$6:$D$6</definedName>
    <definedName name="BExOC81FOLPSZSVBQUEI1UKLTAP1" hidden="1">TB BS Monetary [30]Item!$D$6:$D$6</definedName>
    <definedName name="BExOCBC51MGOM01WS46NRKV1OLN8" hidden="1">#N/A</definedName>
    <definedName name="BExOE6RSYZNW6X9ZKZI94T0V9EG6" localSheetId="18" hidden="1">BS-non Monitory-[31]GC!$C$13:$D$15</definedName>
    <definedName name="BExOE6RSYZNW6X9ZKZI94T0V9EG6" localSheetId="16" hidden="1">BS-non Monitory-[31]GC!$C$13:$D$15</definedName>
    <definedName name="BExOE6RSYZNW6X9ZKZI94T0V9EG6" localSheetId="21" hidden="1">BS-non Monitory-[31]GC!$C$13:$D$15</definedName>
    <definedName name="BExOE6RSYZNW6X9ZKZI94T0V9EG6" localSheetId="19" hidden="1">BS-non Monitory-[31]GC!$C$13:$D$15</definedName>
    <definedName name="BExOE6RSYZNW6X9ZKZI94T0V9EG6" localSheetId="17" hidden="1">BS-non Monitory-[31]GC!$C$13:$D$15</definedName>
    <definedName name="BExOE6RSYZNW6X9ZKZI94T0V9EG6" hidden="1">BS-non Monitory-[31]GC!$C$13:$D$15</definedName>
    <definedName name="BExOFG6CE5PYAP2M3LCF8EAZXAYI" localSheetId="18" hidden="1">BS-[29]Monetary!$D$8:$D$8</definedName>
    <definedName name="BExOFG6CE5PYAP2M3LCF8EAZXAYI" localSheetId="16" hidden="1">BS-[29]Monetary!$D$8:$D$8</definedName>
    <definedName name="BExOFG6CE5PYAP2M3LCF8EAZXAYI" localSheetId="21" hidden="1">BS-[29]Monetary!$D$8:$D$8</definedName>
    <definedName name="BExOFG6CE5PYAP2M3LCF8EAZXAYI" localSheetId="19" hidden="1">BS-[29]Monetary!$D$8:$D$8</definedName>
    <definedName name="BExOFG6CE5PYAP2M3LCF8EAZXAYI" localSheetId="17" hidden="1">BS-[29]Monetary!$D$8:$D$8</definedName>
    <definedName name="BExOFG6CE5PYAP2M3LCF8EAZXAYI" hidden="1">BS-[29]Monetary!$D$8:$D$8</definedName>
    <definedName name="BExOFQD8JKUQ96CPWEVYXT3TM5UH" localSheetId="18" hidden="1">BS-non Monetary-[31]GC!$D$6:$D$6</definedName>
    <definedName name="BExOFQD8JKUQ96CPWEVYXT3TM5UH" localSheetId="16" hidden="1">BS-non Monetary-[31]GC!$D$6:$D$6</definedName>
    <definedName name="BExOFQD8JKUQ96CPWEVYXT3TM5UH" localSheetId="21" hidden="1">BS-non Monetary-[31]GC!$D$6:$D$6</definedName>
    <definedName name="BExOFQD8JKUQ96CPWEVYXT3TM5UH" localSheetId="19" hidden="1">BS-non Monetary-[31]GC!$D$6:$D$6</definedName>
    <definedName name="BExOFQD8JKUQ96CPWEVYXT3TM5UH" localSheetId="17" hidden="1">BS-non Monetary-[31]GC!$D$6:$D$6</definedName>
    <definedName name="BExOFQD8JKUQ96CPWEVYXT3TM5UH" hidden="1">BS-non Monetary-[31]GC!$D$6:$D$6</definedName>
    <definedName name="BExOG6JPBTHWZ6ER3U7P06X83G2Y" hidden="1">#N/A</definedName>
    <definedName name="BExOGJFS4KXZOMCV006PB6M8CAIF" localSheetId="18" hidden="1">BS-[29]Monetary!$D$6:$D$6</definedName>
    <definedName name="BExOGJFS4KXZOMCV006PB6M8CAIF" localSheetId="16" hidden="1">BS-[29]Monetary!$D$6:$D$6</definedName>
    <definedName name="BExOGJFS4KXZOMCV006PB6M8CAIF" localSheetId="21" hidden="1">BS-[29]Monetary!$D$6:$D$6</definedName>
    <definedName name="BExOGJFS4KXZOMCV006PB6M8CAIF" localSheetId="19" hidden="1">BS-[29]Monetary!$D$6:$D$6</definedName>
    <definedName name="BExOGJFS4KXZOMCV006PB6M8CAIF" localSheetId="17" hidden="1">BS-[29]Monetary!$D$6:$D$6</definedName>
    <definedName name="BExOGJFS4KXZOMCV006PB6M8CAIF" hidden="1">BS-[29]Monetary!$D$6:$D$6</definedName>
    <definedName name="BExOH5WWHSFCATJC8HIBLU13Y77V" localSheetId="18" hidden="1">BS-non Monetary-[28]TC!$D$8:$D$8</definedName>
    <definedName name="BExOH5WWHSFCATJC8HIBLU13Y77V" localSheetId="16" hidden="1">BS-non Monetary-[28]TC!$D$8:$D$8</definedName>
    <definedName name="BExOH5WWHSFCATJC8HIBLU13Y77V" localSheetId="21" hidden="1">BS-non Monetary-[28]TC!$D$8:$D$8</definedName>
    <definedName name="BExOH5WWHSFCATJC8HIBLU13Y77V" localSheetId="19" hidden="1">BS-non Monetary-[28]TC!$D$8:$D$8</definedName>
    <definedName name="BExOH5WWHSFCATJC8HIBLU13Y77V" localSheetId="17" hidden="1">BS-non Monetary-[28]TC!$D$8:$D$8</definedName>
    <definedName name="BExOH5WWHSFCATJC8HIBLU13Y77V" hidden="1">BS-non Monetary-[28]TC!$D$8:$D$8</definedName>
    <definedName name="BExOH80EKRO3TX72Z0XU8ON98KTK" localSheetId="18" hidden="1">BS-non Monitory-[28]TC!$C$13:$D$15</definedName>
    <definedName name="BExOH80EKRO3TX72Z0XU8ON98KTK" localSheetId="16" hidden="1">BS-non Monitory-[28]TC!$C$13:$D$15</definedName>
    <definedName name="BExOH80EKRO3TX72Z0XU8ON98KTK" localSheetId="21" hidden="1">BS-non Monitory-[28]TC!$C$13:$D$15</definedName>
    <definedName name="BExOH80EKRO3TX72Z0XU8ON98KTK" localSheetId="19" hidden="1">BS-non Monitory-[28]TC!$C$13:$D$15</definedName>
    <definedName name="BExOH80EKRO3TX72Z0XU8ON98KTK" localSheetId="17" hidden="1">BS-non Monitory-[28]TC!$C$13:$D$15</definedName>
    <definedName name="BExOH80EKRO3TX72Z0XU8ON98KTK" hidden="1">BS-non Monitory-[28]TC!$C$13:$D$15</definedName>
    <definedName name="BExOHH5E6O6ZWO88XBBUMLOR2KS3" localSheetId="18" hidden="1">BS-[29]Monetary!$D$8:$D$8</definedName>
    <definedName name="BExOHH5E6O6ZWO88XBBUMLOR2KS3" localSheetId="16" hidden="1">BS-[29]Monetary!$D$8:$D$8</definedName>
    <definedName name="BExOHH5E6O6ZWO88XBBUMLOR2KS3" localSheetId="21" hidden="1">BS-[29]Monetary!$D$8:$D$8</definedName>
    <definedName name="BExOHH5E6O6ZWO88XBBUMLOR2KS3" localSheetId="19" hidden="1">BS-[29]Monetary!$D$8:$D$8</definedName>
    <definedName name="BExOHH5E6O6ZWO88XBBUMLOR2KS3" localSheetId="17" hidden="1">BS-[29]Monetary!$D$8:$D$8</definedName>
    <definedName name="BExOHH5E6O6ZWO88XBBUMLOR2KS3" hidden="1">BS-[29]Monetary!$D$8:$D$8</definedName>
    <definedName name="BExOHKASAE397R5LR3EEIJXO4BQO" localSheetId="18" hidden="1">BS-non Monetary-[28]TC!$D$8:$D$8</definedName>
    <definedName name="BExOHKASAE397R5LR3EEIJXO4BQO" localSheetId="16" hidden="1">BS-non Monetary-[28]TC!$D$8:$D$8</definedName>
    <definedName name="BExOHKASAE397R5LR3EEIJXO4BQO" localSheetId="21" hidden="1">BS-non Monetary-[28]TC!$D$8:$D$8</definedName>
    <definedName name="BExOHKASAE397R5LR3EEIJXO4BQO" localSheetId="19" hidden="1">BS-non Monetary-[28]TC!$D$8:$D$8</definedName>
    <definedName name="BExOHKASAE397R5LR3EEIJXO4BQO" localSheetId="17" hidden="1">BS-non Monetary-[28]TC!$D$8:$D$8</definedName>
    <definedName name="BExOHKASAE397R5LR3EEIJXO4BQO" hidden="1">BS-non Monetary-[28]TC!$D$8:$D$8</definedName>
    <definedName name="BExOJ5U8M4H51L2O69SW4PKOU8VF" localSheetId="18" hidden="1">BS-non Monetary-[28]TC!$D$6:$D$6</definedName>
    <definedName name="BExOJ5U8M4H51L2O69SW4PKOU8VF" localSheetId="16" hidden="1">BS-non Monetary-[28]TC!$D$6:$D$6</definedName>
    <definedName name="BExOJ5U8M4H51L2O69SW4PKOU8VF" localSheetId="21" hidden="1">BS-non Monetary-[28]TC!$D$6:$D$6</definedName>
    <definedName name="BExOJ5U8M4H51L2O69SW4PKOU8VF" localSheetId="19" hidden="1">BS-non Monetary-[28]TC!$D$6:$D$6</definedName>
    <definedName name="BExOJ5U8M4H51L2O69SW4PKOU8VF" localSheetId="17" hidden="1">BS-non Monetary-[28]TC!$D$6:$D$6</definedName>
    <definedName name="BExOJ5U8M4H51L2O69SW4PKOU8VF" hidden="1">BS-non Monetary-[28]TC!$D$6:$D$6</definedName>
    <definedName name="BExOJNZ2DK9WJ7T33LZ20AA8JKSY" localSheetId="18" hidden="1">BS-non Monetary-[28]TC!$D$6:$D$6</definedName>
    <definedName name="BExOJNZ2DK9WJ7T33LZ20AA8JKSY" localSheetId="16" hidden="1">BS-non Monetary-[28]TC!$D$6:$D$6</definedName>
    <definedName name="BExOJNZ2DK9WJ7T33LZ20AA8JKSY" localSheetId="21" hidden="1">BS-non Monetary-[28]TC!$D$6:$D$6</definedName>
    <definedName name="BExOJNZ2DK9WJ7T33LZ20AA8JKSY" localSheetId="19" hidden="1">BS-non Monetary-[28]TC!$D$6:$D$6</definedName>
    <definedName name="BExOJNZ2DK9WJ7T33LZ20AA8JKSY" localSheetId="17" hidden="1">BS-non Monetary-[28]TC!$D$6:$D$6</definedName>
    <definedName name="BExOJNZ2DK9WJ7T33LZ20AA8JKSY" hidden="1">BS-non Monetary-[28]TC!$D$6:$D$6</definedName>
    <definedName name="BExOK0V1DIF4AV12K1WTMCVMMJVT" localSheetId="18" hidden="1">TB-[35]BS!$C$17:$K$928</definedName>
    <definedName name="BExOK0V1DIF4AV12K1WTMCVMMJVT" localSheetId="16" hidden="1">TB-[35]BS!$C$17:$K$928</definedName>
    <definedName name="BExOK0V1DIF4AV12K1WTMCVMMJVT" localSheetId="21" hidden="1">TB-[35]BS!$C$17:$K$928</definedName>
    <definedName name="BExOK0V1DIF4AV12K1WTMCVMMJVT" localSheetId="19" hidden="1">TB-[35]BS!$C$17:$K$928</definedName>
    <definedName name="BExOK0V1DIF4AV12K1WTMCVMMJVT" localSheetId="17" hidden="1">TB-[35]BS!$C$17:$K$928</definedName>
    <definedName name="BExOK0V1DIF4AV12K1WTMCVMMJVT" hidden="1">TB-[35]BS!$C$17:$K$928</definedName>
    <definedName name="BExOKQMS0SDTH1DDW0G9R76A2D0Z" localSheetId="18" hidden="1">BS-[29]Monetary!$C$13:$D$14</definedName>
    <definedName name="BExOKQMS0SDTH1DDW0G9R76A2D0Z" localSheetId="16" hidden="1">BS-[29]Monetary!$C$13:$D$14</definedName>
    <definedName name="BExOKQMS0SDTH1DDW0G9R76A2D0Z" localSheetId="21" hidden="1">BS-[29]Monetary!$C$13:$D$14</definedName>
    <definedName name="BExOKQMS0SDTH1DDW0G9R76A2D0Z" localSheetId="19" hidden="1">BS-[29]Monetary!$C$13:$D$14</definedName>
    <definedName name="BExOKQMS0SDTH1DDW0G9R76A2D0Z" localSheetId="17" hidden="1">BS-[29]Monetary!$C$13:$D$14</definedName>
    <definedName name="BExOKQMS0SDTH1DDW0G9R76A2D0Z" hidden="1">BS-[29]Monetary!$C$13:$D$14</definedName>
    <definedName name="BExOKQS8LY9TCAO8PL0M85D63MXS" localSheetId="18" hidden="1">BS-non Monetary-[27]LC!$D$8:$D$8</definedName>
    <definedName name="BExOKQS8LY9TCAO8PL0M85D63MXS" localSheetId="16" hidden="1">BS-non Monetary-[27]LC!$D$8:$D$8</definedName>
    <definedName name="BExOKQS8LY9TCAO8PL0M85D63MXS" localSheetId="21" hidden="1">BS-non Monetary-[27]LC!$D$8:$D$8</definedName>
    <definedName name="BExOKQS8LY9TCAO8PL0M85D63MXS" localSheetId="19" hidden="1">BS-non Monetary-[27]LC!$D$8:$D$8</definedName>
    <definedName name="BExOKQS8LY9TCAO8PL0M85D63MXS" localSheetId="17" hidden="1">BS-non Monetary-[27]LC!$D$8:$D$8</definedName>
    <definedName name="BExOKQS8LY9TCAO8PL0M85D63MXS" hidden="1">BS-non Monetary-[27]LC!$D$8:$D$8</definedName>
    <definedName name="BExOKQS8Z6I1QUB2DR5KLB6BFVI3" localSheetId="18" hidden="1">BS-Equity-[28]TC!$D$7:$D$7</definedName>
    <definedName name="BExOKQS8Z6I1QUB2DR5KLB6BFVI3" localSheetId="16" hidden="1">BS-Equity-[28]TC!$D$7:$D$7</definedName>
    <definedName name="BExOKQS8Z6I1QUB2DR5KLB6BFVI3" localSheetId="21" hidden="1">BS-Equity-[28]TC!$D$7:$D$7</definedName>
    <definedName name="BExOKQS8Z6I1QUB2DR5KLB6BFVI3" localSheetId="19" hidden="1">BS-Equity-[28]TC!$D$7:$D$7</definedName>
    <definedName name="BExOKQS8Z6I1QUB2DR5KLB6BFVI3" localSheetId="17" hidden="1">BS-Equity-[28]TC!$D$7:$D$7</definedName>
    <definedName name="BExOKQS8Z6I1QUB2DR5KLB6BFVI3" hidden="1">BS-Equity-[28]TC!$D$7:$D$7</definedName>
    <definedName name="BExOL6TFD233MTABKRFD5UDT7GIL" localSheetId="18" hidden="1">BS-non Monetary-[27]LC!$C$17:$F$529</definedName>
    <definedName name="BExOL6TFD233MTABKRFD5UDT7GIL" localSheetId="16" hidden="1">BS-non Monetary-[27]LC!$C$17:$F$529</definedName>
    <definedName name="BExOL6TFD233MTABKRFD5UDT7GIL" localSheetId="21" hidden="1">BS-non Monetary-[27]LC!$C$17:$F$529</definedName>
    <definedName name="BExOL6TFD233MTABKRFD5UDT7GIL" localSheetId="19" hidden="1">BS-non Monetary-[27]LC!$C$17:$F$529</definedName>
    <definedName name="BExOL6TFD233MTABKRFD5UDT7GIL" localSheetId="17" hidden="1">BS-non Monetary-[27]LC!$C$17:$F$529</definedName>
    <definedName name="BExOL6TFD233MTABKRFD5UDT7GIL" hidden="1">BS-non Monetary-[27]LC!$C$17:$F$529</definedName>
    <definedName name="BExOLA9ETCG6T74XQ7065X3Y8YRX" hidden="1">#N/A</definedName>
    <definedName name="BExOM9XDRFMQZ8UJSVOLL2UOR4P7" localSheetId="18" hidden="1">Trial [32]Balance!$C$17:$T$706</definedName>
    <definedName name="BExOM9XDRFMQZ8UJSVOLL2UOR4P7" localSheetId="16" hidden="1">Trial [32]Balance!$C$17:$T$706</definedName>
    <definedName name="BExOM9XDRFMQZ8UJSVOLL2UOR4P7" localSheetId="21" hidden="1">Trial [32]Balance!$C$17:$T$706</definedName>
    <definedName name="BExOM9XDRFMQZ8UJSVOLL2UOR4P7" localSheetId="19" hidden="1">Trial [32]Balance!$C$17:$T$706</definedName>
    <definedName name="BExOM9XDRFMQZ8UJSVOLL2UOR4P7" localSheetId="17" hidden="1">Trial [32]Balance!$C$17:$T$706</definedName>
    <definedName name="BExOM9XDRFMQZ8UJSVOLL2UOR4P7" hidden="1">Trial [32]Balance!$C$17:$T$706</definedName>
    <definedName name="BExOMAOFLFGMVRGB17NSJLZDIQNB" hidden="1">#N/A</definedName>
    <definedName name="BExOMHPXQJN85HNKVW3SHHOE3IYV" localSheetId="18" hidden="1">BS-Equity-[28]TC!$C$17:$E$95</definedName>
    <definedName name="BExOMHPXQJN85HNKVW3SHHOE3IYV" localSheetId="16" hidden="1">BS-Equity-[28]TC!$C$17:$E$95</definedName>
    <definedName name="BExOMHPXQJN85HNKVW3SHHOE3IYV" localSheetId="21" hidden="1">BS-Equity-[28]TC!$C$17:$E$95</definedName>
    <definedName name="BExOMHPXQJN85HNKVW3SHHOE3IYV" localSheetId="19" hidden="1">BS-Equity-[28]TC!$C$17:$E$95</definedName>
    <definedName name="BExOMHPXQJN85HNKVW3SHHOE3IYV" localSheetId="17" hidden="1">BS-Equity-[28]TC!$C$17:$E$95</definedName>
    <definedName name="BExOMHPXQJN85HNKVW3SHHOE3IYV" hidden="1">BS-Equity-[28]TC!$C$17:$E$95</definedName>
    <definedName name="BExOMVNQ3N981M4GQ9PLHFU2VDM7" localSheetId="18" hidden="1">Trial [32]Balance!$D$7:$D$7</definedName>
    <definedName name="BExOMVNQ3N981M4GQ9PLHFU2VDM7" localSheetId="16" hidden="1">Trial [32]Balance!$D$7:$D$7</definedName>
    <definedName name="BExOMVNQ3N981M4GQ9PLHFU2VDM7" localSheetId="21" hidden="1">Trial [32]Balance!$D$7:$D$7</definedName>
    <definedName name="BExOMVNQ3N981M4GQ9PLHFU2VDM7" localSheetId="19" hidden="1">Trial [32]Balance!$D$7:$D$7</definedName>
    <definedName name="BExOMVNQ3N981M4GQ9PLHFU2VDM7" localSheetId="17" hidden="1">Trial [32]Balance!$D$7:$D$7</definedName>
    <definedName name="BExOMVNQ3N981M4GQ9PLHFU2VDM7" hidden="1">Trial [32]Balance!$D$7:$D$7</definedName>
    <definedName name="BExOMVT14U7R3E310HB5L9S7GNA9" hidden="1">#N/A</definedName>
    <definedName name="BExOMZPC577G7HGKV29SVCYYK52K" localSheetId="18" hidden="1">BS-[29]Monetary!$D$8:$D$8</definedName>
    <definedName name="BExOMZPC577G7HGKV29SVCYYK52K" localSheetId="16" hidden="1">BS-[29]Monetary!$D$8:$D$8</definedName>
    <definedName name="BExOMZPC577G7HGKV29SVCYYK52K" localSheetId="21" hidden="1">BS-[29]Monetary!$D$8:$D$8</definedName>
    <definedName name="BExOMZPC577G7HGKV29SVCYYK52K" localSheetId="19" hidden="1">BS-[29]Monetary!$D$8:$D$8</definedName>
    <definedName name="BExOMZPC577G7HGKV29SVCYYK52K" localSheetId="17" hidden="1">BS-[29]Monetary!$D$8:$D$8</definedName>
    <definedName name="BExOMZPC577G7HGKV29SVCYYK52K" hidden="1">BS-[29]Monetary!$D$8:$D$8</definedName>
    <definedName name="BExON8OZQX3EDUO9AXBYD7DNQ0NC" localSheetId="18" hidden="1">BS-non Monitory-[28]TC!$D$7:$D$7</definedName>
    <definedName name="BExON8OZQX3EDUO9AXBYD7DNQ0NC" localSheetId="16" hidden="1">BS-non Monitory-[28]TC!$D$7:$D$7</definedName>
    <definedName name="BExON8OZQX3EDUO9AXBYD7DNQ0NC" localSheetId="21" hidden="1">BS-non Monitory-[28]TC!$D$7:$D$7</definedName>
    <definedName name="BExON8OZQX3EDUO9AXBYD7DNQ0NC" localSheetId="19" hidden="1">BS-non Monitory-[28]TC!$D$7:$D$7</definedName>
    <definedName name="BExON8OZQX3EDUO9AXBYD7DNQ0NC" localSheetId="17" hidden="1">BS-non Monitory-[28]TC!$D$7:$D$7</definedName>
    <definedName name="BExON8OZQX3EDUO9AXBYD7DNQ0NC" hidden="1">BS-non Monitory-[28]TC!$D$7:$D$7</definedName>
    <definedName name="BExON8P07CKFEQSQCNCE7YEHWYL1" localSheetId="18" hidden="1">BS-[29]Monetary!$D$8:$D$8</definedName>
    <definedName name="BExON8P07CKFEQSQCNCE7YEHWYL1" localSheetId="16" hidden="1">BS-[29]Monetary!$D$8:$D$8</definedName>
    <definedName name="BExON8P07CKFEQSQCNCE7YEHWYL1" localSheetId="21" hidden="1">BS-[29]Monetary!$D$8:$D$8</definedName>
    <definedName name="BExON8P07CKFEQSQCNCE7YEHWYL1" localSheetId="19" hidden="1">BS-[29]Monetary!$D$8:$D$8</definedName>
    <definedName name="BExON8P07CKFEQSQCNCE7YEHWYL1" localSheetId="17" hidden="1">BS-[29]Monetary!$D$8:$D$8</definedName>
    <definedName name="BExON8P07CKFEQSQCNCE7YEHWYL1" hidden="1">BS-[29]Monetary!$D$8:$D$8</definedName>
    <definedName name="BExONR9XNGNS5W8ACMVEOD162HTR" hidden="1">#N/A</definedName>
    <definedName name="BExONWYZ7NA3XFZ318HWMJTMJIU0" localSheetId="18" hidden="1">Balance [33]Sheet!$C$17:$I$1005</definedName>
    <definedName name="BExONWYZ7NA3XFZ318HWMJTMJIU0" localSheetId="16" hidden="1">Balance [33]Sheet!$C$17:$I$1005</definedName>
    <definedName name="BExONWYZ7NA3XFZ318HWMJTMJIU0" localSheetId="21" hidden="1">Balance [33]Sheet!$C$17:$I$1005</definedName>
    <definedName name="BExONWYZ7NA3XFZ318HWMJTMJIU0" localSheetId="19" hidden="1">Balance [33]Sheet!$C$17:$I$1005</definedName>
    <definedName name="BExONWYZ7NA3XFZ318HWMJTMJIU0" localSheetId="17" hidden="1">Balance [33]Sheet!$C$17:$I$1005</definedName>
    <definedName name="BExONWYZ7NA3XFZ318HWMJTMJIU0" hidden="1">Balance [33]Sheet!$C$17:$I$1005</definedName>
    <definedName name="BExOOOE5JQNZQPOTFQC38C7L3LJG" hidden="1">#N/A</definedName>
    <definedName name="BExOPSUQ3VDHV2G8Y9KUSJQWL47Z" localSheetId="18" hidden="1">BS-Equity-[28]TC!$D$8:$D$8</definedName>
    <definedName name="BExOPSUQ3VDHV2G8Y9KUSJQWL47Z" localSheetId="16" hidden="1">BS-Equity-[28]TC!$D$8:$D$8</definedName>
    <definedName name="BExOPSUQ3VDHV2G8Y9KUSJQWL47Z" localSheetId="21" hidden="1">BS-Equity-[28]TC!$D$8:$D$8</definedName>
    <definedName name="BExOPSUQ3VDHV2G8Y9KUSJQWL47Z" localSheetId="19" hidden="1">BS-Equity-[28]TC!$D$8:$D$8</definedName>
    <definedName name="BExOPSUQ3VDHV2G8Y9KUSJQWL47Z" localSheetId="17" hidden="1">BS-Equity-[28]TC!$D$8:$D$8</definedName>
    <definedName name="BExOPSUQ3VDHV2G8Y9KUSJQWL47Z" hidden="1">BS-Equity-[28]TC!$D$8:$D$8</definedName>
    <definedName name="BExQ2PISDJ227QRWHTL271HTUZJ4" hidden="1">#N/A</definedName>
    <definedName name="BExQ34IADQQ3YSJQMOBKGC355VN0" hidden="1">#N/A</definedName>
    <definedName name="BExQ3KOXRXKS0NKVFBDKQGPYWG8H" hidden="1">#N/A</definedName>
    <definedName name="BExQ3PHKW65YO6UAPU8FS3AZSNEE" localSheetId="18" hidden="1">BS-[29]Monetary!$C$13:$D$14</definedName>
    <definedName name="BExQ3PHKW65YO6UAPU8FS3AZSNEE" localSheetId="16" hidden="1">BS-[29]Monetary!$C$13:$D$14</definedName>
    <definedName name="BExQ3PHKW65YO6UAPU8FS3AZSNEE" localSheetId="21" hidden="1">BS-[29]Monetary!$C$13:$D$14</definedName>
    <definedName name="BExQ3PHKW65YO6UAPU8FS3AZSNEE" localSheetId="19" hidden="1">BS-[29]Monetary!$C$13:$D$14</definedName>
    <definedName name="BExQ3PHKW65YO6UAPU8FS3AZSNEE" localSheetId="17" hidden="1">BS-[29]Monetary!$C$13:$D$14</definedName>
    <definedName name="BExQ3PHKW65YO6UAPU8FS3AZSNEE" hidden="1">BS-[29]Monetary!$C$13:$D$14</definedName>
    <definedName name="BExQ3RL2WL8F4GMWFDQREPDCUZRL" hidden="1">#N/A</definedName>
    <definedName name="BExQ4EIFDH5SRO4V3WQVCH6CG7XN" localSheetId="18" hidden="1">BS-non Monetary-[27]LC!$C$17:$F$529</definedName>
    <definedName name="BExQ4EIFDH5SRO4V3WQVCH6CG7XN" localSheetId="16" hidden="1">BS-non Monetary-[27]LC!$C$17:$F$529</definedName>
    <definedName name="BExQ4EIFDH5SRO4V3WQVCH6CG7XN" localSheetId="21" hidden="1">BS-non Monetary-[27]LC!$C$17:$F$529</definedName>
    <definedName name="BExQ4EIFDH5SRO4V3WQVCH6CG7XN" localSheetId="19" hidden="1">BS-non Monetary-[27]LC!$C$17:$F$529</definedName>
    <definedName name="BExQ4EIFDH5SRO4V3WQVCH6CG7XN" localSheetId="17" hidden="1">BS-non Monetary-[27]LC!$C$17:$F$529</definedName>
    <definedName name="BExQ4EIFDH5SRO4V3WQVCH6CG7XN" hidden="1">BS-non Monetary-[27]LC!$C$17:$F$529</definedName>
    <definedName name="BExQ4F403BI08TRSLMOZT9JGNTDO" localSheetId="18" hidden="1">BS-[29]Monetary!$C$13:$D$14</definedName>
    <definedName name="BExQ4F403BI08TRSLMOZT9JGNTDO" localSheetId="16" hidden="1">BS-[29]Monetary!$C$13:$D$14</definedName>
    <definedName name="BExQ4F403BI08TRSLMOZT9JGNTDO" localSheetId="21" hidden="1">BS-[29]Monetary!$C$13:$D$14</definedName>
    <definedName name="BExQ4F403BI08TRSLMOZT9JGNTDO" localSheetId="19" hidden="1">BS-[29]Monetary!$C$13:$D$14</definedName>
    <definedName name="BExQ4F403BI08TRSLMOZT9JGNTDO" localSheetId="17" hidden="1">BS-[29]Monetary!$C$13:$D$14</definedName>
    <definedName name="BExQ4F403BI08TRSLMOZT9JGNTDO" hidden="1">BS-[29]Monetary!$C$13:$D$14</definedName>
    <definedName name="BExQ4IPH221UI4DA4Y9VFU5F6NQ4" localSheetId="18" hidden="1">BS-[34]Monitory!$D$7:$D$7</definedName>
    <definedName name="BExQ4IPH221UI4DA4Y9VFU5F6NQ4" localSheetId="16" hidden="1">BS-[34]Monitory!$D$7:$D$7</definedName>
    <definedName name="BExQ4IPH221UI4DA4Y9VFU5F6NQ4" localSheetId="21" hidden="1">BS-[34]Monitory!$D$7:$D$7</definedName>
    <definedName name="BExQ4IPH221UI4DA4Y9VFU5F6NQ4" localSheetId="19" hidden="1">BS-[34]Monitory!$D$7:$D$7</definedName>
    <definedName name="BExQ4IPH221UI4DA4Y9VFU5F6NQ4" localSheetId="17" hidden="1">BS-[34]Monitory!$D$7:$D$7</definedName>
    <definedName name="BExQ4IPH221UI4DA4Y9VFU5F6NQ4" hidden="1">BS-[34]Monitory!$D$7:$D$7</definedName>
    <definedName name="BExQ4J09QLU5URB8GKW5BKEGMFIK" localSheetId="18" hidden="1">BS Equity [30]Item!$D$8:$D$8</definedName>
    <definedName name="BExQ4J09QLU5URB8GKW5BKEGMFIK" localSheetId="16" hidden="1">BS Equity [30]Item!$D$8:$D$8</definedName>
    <definedName name="BExQ4J09QLU5URB8GKW5BKEGMFIK" localSheetId="21" hidden="1">BS Equity [30]Item!$D$8:$D$8</definedName>
    <definedName name="BExQ4J09QLU5URB8GKW5BKEGMFIK" localSheetId="19" hidden="1">BS Equity [30]Item!$D$8:$D$8</definedName>
    <definedName name="BExQ4J09QLU5URB8GKW5BKEGMFIK" localSheetId="17" hidden="1">BS Equity [30]Item!$D$8:$D$8</definedName>
    <definedName name="BExQ4J09QLU5URB8GKW5BKEGMFIK" hidden="1">BS Equity [30]Item!$D$8:$D$8</definedName>
    <definedName name="BExQ4L946ZYQRZJ2TTDMMZM72JZH" localSheetId="18" hidden="1">BS-non Monetary-[28]TC!$C$17:$F$530</definedName>
    <definedName name="BExQ4L946ZYQRZJ2TTDMMZM72JZH" localSheetId="16" hidden="1">BS-non Monetary-[28]TC!$C$17:$F$530</definedName>
    <definedName name="BExQ4L946ZYQRZJ2TTDMMZM72JZH" localSheetId="21" hidden="1">BS-non Monetary-[28]TC!$C$17:$F$530</definedName>
    <definedName name="BExQ4L946ZYQRZJ2TTDMMZM72JZH" localSheetId="19" hidden="1">BS-non Monetary-[28]TC!$C$17:$F$530</definedName>
    <definedName name="BExQ4L946ZYQRZJ2TTDMMZM72JZH" localSheetId="17" hidden="1">BS-non Monetary-[28]TC!$C$17:$F$530</definedName>
    <definedName name="BExQ4L946ZYQRZJ2TTDMMZM72JZH" hidden="1">BS-non Monetary-[28]TC!$C$17:$F$530</definedName>
    <definedName name="BExQ54FO2MAVUUHKB5RLWWHYYQJD" localSheetId="18" hidden="1">BS-non Monetary-[28]TC!$D$7:$D$7</definedName>
    <definedName name="BExQ54FO2MAVUUHKB5RLWWHYYQJD" localSheetId="16" hidden="1">BS-non Monetary-[28]TC!$D$7:$D$7</definedName>
    <definedName name="BExQ54FO2MAVUUHKB5RLWWHYYQJD" localSheetId="21" hidden="1">BS-non Monetary-[28]TC!$D$7:$D$7</definedName>
    <definedName name="BExQ54FO2MAVUUHKB5RLWWHYYQJD" localSheetId="19" hidden="1">BS-non Monetary-[28]TC!$D$7:$D$7</definedName>
    <definedName name="BExQ54FO2MAVUUHKB5RLWWHYYQJD" localSheetId="17" hidden="1">BS-non Monetary-[28]TC!$D$7:$D$7</definedName>
    <definedName name="BExQ54FO2MAVUUHKB5RLWWHYYQJD" hidden="1">BS-non Monetary-[28]TC!$D$7:$D$7</definedName>
    <definedName name="BExQ57QBVY7KBMCGKFD964FK745N" localSheetId="18" hidden="1">BS-Equity-[27]LC!$D$6:$D$6</definedName>
    <definedName name="BExQ57QBVY7KBMCGKFD964FK745N" localSheetId="16" hidden="1">BS-Equity-[27]LC!$D$6:$D$6</definedName>
    <definedName name="BExQ57QBVY7KBMCGKFD964FK745N" localSheetId="21" hidden="1">BS-Equity-[27]LC!$D$6:$D$6</definedName>
    <definedName name="BExQ57QBVY7KBMCGKFD964FK745N" localSheetId="19" hidden="1">BS-Equity-[27]LC!$D$6:$D$6</definedName>
    <definedName name="BExQ57QBVY7KBMCGKFD964FK745N" localSheetId="17" hidden="1">BS-Equity-[27]LC!$D$6:$D$6</definedName>
    <definedName name="BExQ57QBVY7KBMCGKFD964FK745N" hidden="1">BS-Equity-[27]LC!$D$6:$D$6</definedName>
    <definedName name="BExQ6NKX8T4E75WVQ6Q0HDV2KTLZ" localSheetId="18" hidden="1">BS-Equity-[28]TC!$C$17:$E$95</definedName>
    <definedName name="BExQ6NKX8T4E75WVQ6Q0HDV2KTLZ" localSheetId="16" hidden="1">BS-Equity-[28]TC!$C$17:$E$95</definedName>
    <definedName name="BExQ6NKX8T4E75WVQ6Q0HDV2KTLZ" localSheetId="21" hidden="1">BS-Equity-[28]TC!$C$17:$E$95</definedName>
    <definedName name="BExQ6NKX8T4E75WVQ6Q0HDV2KTLZ" localSheetId="19" hidden="1">BS-Equity-[28]TC!$C$17:$E$95</definedName>
    <definedName name="BExQ6NKX8T4E75WVQ6Q0HDV2KTLZ" localSheetId="17" hidden="1">BS-Equity-[28]TC!$C$17:$E$95</definedName>
    <definedName name="BExQ6NKX8T4E75WVQ6Q0HDV2KTLZ" hidden="1">BS-Equity-[28]TC!$C$17:$E$95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BEM8IDGO1TNQ4C2B7VUGZ83" localSheetId="18" hidden="1">BS-non Monetary-[28]TC!$D$8:$D$8</definedName>
    <definedName name="BExQ7BEM8IDGO1TNQ4C2B7VUGZ83" localSheetId="16" hidden="1">BS-non Monetary-[28]TC!$D$8:$D$8</definedName>
    <definedName name="BExQ7BEM8IDGO1TNQ4C2B7VUGZ83" localSheetId="21" hidden="1">BS-non Monetary-[28]TC!$D$8:$D$8</definedName>
    <definedName name="BExQ7BEM8IDGO1TNQ4C2B7VUGZ83" localSheetId="19" hidden="1">BS-non Monetary-[28]TC!$D$8:$D$8</definedName>
    <definedName name="BExQ7BEM8IDGO1TNQ4C2B7VUGZ83" localSheetId="17" hidden="1">BS-non Monetary-[28]TC!$D$8:$D$8</definedName>
    <definedName name="BExQ7BEM8IDGO1TNQ4C2B7VUGZ83" hidden="1">BS-non Monetary-[28]TC!$D$8:$D$8</definedName>
    <definedName name="BExQ7C07GHLSGBGP7RWL1TBHSDLP" hidden="1">#N/A</definedName>
    <definedName name="BExQ8VWENV09SAS51J39KXJCH61J" localSheetId="18" hidden="1">TB BS non Monetary [28]TC!$C$17:$F$418</definedName>
    <definedName name="BExQ8VWENV09SAS51J39KXJCH61J" localSheetId="16" hidden="1">TB BS non Monetary [28]TC!$C$17:$F$418</definedName>
    <definedName name="BExQ8VWENV09SAS51J39KXJCH61J" localSheetId="21" hidden="1">TB BS non Monetary [28]TC!$C$17:$F$418</definedName>
    <definedName name="BExQ8VWENV09SAS51J39KXJCH61J" localSheetId="19" hidden="1">TB BS non Monetary [28]TC!$C$17:$F$418</definedName>
    <definedName name="BExQ8VWENV09SAS51J39KXJCH61J" localSheetId="17" hidden="1">TB BS non Monetary [28]TC!$C$17:$F$418</definedName>
    <definedName name="BExQ8VWENV09SAS51J39KXJCH61J" hidden="1">TB BS non Monetary [28]TC!$C$17:$F$418</definedName>
    <definedName name="BExQ93U9F7CF20IB04J2Q4D4EMB7" localSheetId="18" hidden="1">BS-non Monetary-[28]TC!$C$13:$D$14</definedName>
    <definedName name="BExQ93U9F7CF20IB04J2Q4D4EMB7" localSheetId="16" hidden="1">BS-non Monetary-[28]TC!$C$13:$D$14</definedName>
    <definedName name="BExQ93U9F7CF20IB04J2Q4D4EMB7" localSheetId="21" hidden="1">BS-non Monetary-[28]TC!$C$13:$D$14</definedName>
    <definedName name="BExQ93U9F7CF20IB04J2Q4D4EMB7" localSheetId="19" hidden="1">BS-non Monetary-[28]TC!$C$13:$D$14</definedName>
    <definedName name="BExQ93U9F7CF20IB04J2Q4D4EMB7" localSheetId="17" hidden="1">BS-non Monetary-[28]TC!$C$13:$D$14</definedName>
    <definedName name="BExQ93U9F7CF20IB04J2Q4D4EMB7" hidden="1">BS-non Monetary-[28]TC!$C$13:$D$14</definedName>
    <definedName name="BExQ9GVJ29GW1YE0YVZXVQUNW868" localSheetId="18" hidden="1">TB BS non Monetary [28]TC!$D$7:$D$7</definedName>
    <definedName name="BExQ9GVJ29GW1YE0YVZXVQUNW868" localSheetId="16" hidden="1">TB BS non Monetary [28]TC!$D$7:$D$7</definedName>
    <definedName name="BExQ9GVJ29GW1YE0YVZXVQUNW868" localSheetId="21" hidden="1">TB BS non Monetary [28]TC!$D$7:$D$7</definedName>
    <definedName name="BExQ9GVJ29GW1YE0YVZXVQUNW868" localSheetId="19" hidden="1">TB BS non Monetary [28]TC!$D$7:$D$7</definedName>
    <definedName name="BExQ9GVJ29GW1YE0YVZXVQUNW868" localSheetId="17" hidden="1">TB BS non Monetary [28]TC!$D$7:$D$7</definedName>
    <definedName name="BExQ9GVJ29GW1YE0YVZXVQUNW868" hidden="1">TB BS non Monetary [28]TC!$D$7:$D$7</definedName>
    <definedName name="BExQ9U295SJ67ENVKSOWOWBUXU3T" hidden="1">#N/A</definedName>
    <definedName name="BExQA1PHE3TGQE7GR306KY4Q6YZU" localSheetId="18" hidden="1">BS-non Monetary-[28]TC!$C$17:$I$516</definedName>
    <definedName name="BExQA1PHE3TGQE7GR306KY4Q6YZU" localSheetId="16" hidden="1">BS-non Monetary-[28]TC!$C$17:$I$516</definedName>
    <definedName name="BExQA1PHE3TGQE7GR306KY4Q6YZU" localSheetId="21" hidden="1">BS-non Monetary-[28]TC!$C$17:$I$516</definedName>
    <definedName name="BExQA1PHE3TGQE7GR306KY4Q6YZU" localSheetId="19" hidden="1">BS-non Monetary-[28]TC!$C$17:$I$516</definedName>
    <definedName name="BExQA1PHE3TGQE7GR306KY4Q6YZU" localSheetId="17" hidden="1">BS-non Monetary-[28]TC!$C$17:$I$516</definedName>
    <definedName name="BExQA1PHE3TGQE7GR306KY4Q6YZU" hidden="1">BS-non Monetary-[28]TC!$C$17:$I$516</definedName>
    <definedName name="BExQAC1M1ED19E1HGMZ55RUO82T4" localSheetId="18" hidden="1">BS-non Monitory-[31]GC!$D$7:$D$7</definedName>
    <definedName name="BExQAC1M1ED19E1HGMZ55RUO82T4" localSheetId="16" hidden="1">BS-non Monitory-[31]GC!$D$7:$D$7</definedName>
    <definedName name="BExQAC1M1ED19E1HGMZ55RUO82T4" localSheetId="21" hidden="1">BS-non Monitory-[31]GC!$D$7:$D$7</definedName>
    <definedName name="BExQAC1M1ED19E1HGMZ55RUO82T4" localSheetId="19" hidden="1">BS-non Monitory-[31]GC!$D$7:$D$7</definedName>
    <definedName name="BExQAC1M1ED19E1HGMZ55RUO82T4" localSheetId="17" hidden="1">BS-non Monitory-[31]GC!$D$7:$D$7</definedName>
    <definedName name="BExQAC1M1ED19E1HGMZ55RUO82T4" hidden="1">BS-non Monitory-[31]GC!$D$7:$D$7</definedName>
    <definedName name="BExQAHLC2W6AUSJ8BHR9GZWZEGY9" hidden="1">#N/A</definedName>
    <definedName name="BExQAUS2MUOH64PNU4APSR8IGOAL" hidden="1">#N/A</definedName>
    <definedName name="BExQB0X5CLQJFW262N96YC8CWF5C" hidden="1">#N/A</definedName>
    <definedName name="BExQB47WC34VL8FP7K1SFSP4S1TU" localSheetId="18" hidden="1">TB-[35]BS!$D$8:$D$8</definedName>
    <definedName name="BExQB47WC34VL8FP7K1SFSP4S1TU" localSheetId="16" hidden="1">TB-[35]BS!$D$8:$D$8</definedName>
    <definedName name="BExQB47WC34VL8FP7K1SFSP4S1TU" localSheetId="21" hidden="1">TB-[35]BS!$D$8:$D$8</definedName>
    <definedName name="BExQB47WC34VL8FP7K1SFSP4S1TU" localSheetId="19" hidden="1">TB-[35]BS!$D$8:$D$8</definedName>
    <definedName name="BExQB47WC34VL8FP7K1SFSP4S1TU" localSheetId="17" hidden="1">TB-[35]BS!$D$8:$D$8</definedName>
    <definedName name="BExQB47WC34VL8FP7K1SFSP4S1TU" hidden="1">TB-[35]BS!$D$8:$D$8</definedName>
    <definedName name="BExQB7TCDYRI0YASXGCYL0ZUEP4H" localSheetId="18" hidden="1">BS-non Monetary-[27]LC!$D$7:$D$7</definedName>
    <definedName name="BExQB7TCDYRI0YASXGCYL0ZUEP4H" localSheetId="16" hidden="1">BS-non Monetary-[27]LC!$D$7:$D$7</definedName>
    <definedName name="BExQB7TCDYRI0YASXGCYL0ZUEP4H" localSheetId="21" hidden="1">BS-non Monetary-[27]LC!$D$7:$D$7</definedName>
    <definedName name="BExQB7TCDYRI0YASXGCYL0ZUEP4H" localSheetId="19" hidden="1">BS-non Monetary-[27]LC!$D$7:$D$7</definedName>
    <definedName name="BExQB7TCDYRI0YASXGCYL0ZUEP4H" localSheetId="17" hidden="1">BS-non Monetary-[27]LC!$D$7:$D$7</definedName>
    <definedName name="BExQB7TCDYRI0YASXGCYL0ZUEP4H" hidden="1">BS-non Monetary-[27]LC!$D$7:$D$7</definedName>
    <definedName name="BExQDFDXVSM6DM4U8PU6UWVQY4FI" hidden="1">#N/A</definedName>
    <definedName name="BExQDKBVF9093QE52BIP6VE0C2L1" localSheetId="18" hidden="1">BS-[29]Monetary!$D$6:$D$6</definedName>
    <definedName name="BExQDKBVF9093QE52BIP6VE0C2L1" localSheetId="16" hidden="1">BS-[29]Monetary!$D$6:$D$6</definedName>
    <definedName name="BExQDKBVF9093QE52BIP6VE0C2L1" localSheetId="21" hidden="1">BS-[29]Monetary!$D$6:$D$6</definedName>
    <definedName name="BExQDKBVF9093QE52BIP6VE0C2L1" localSheetId="19" hidden="1">BS-[29]Monetary!$D$6:$D$6</definedName>
    <definedName name="BExQDKBVF9093QE52BIP6VE0C2L1" localSheetId="17" hidden="1">BS-[29]Monetary!$D$6:$D$6</definedName>
    <definedName name="BExQDKBVF9093QE52BIP6VE0C2L1" hidden="1">BS-[29]Monetary!$D$6:$D$6</definedName>
    <definedName name="BExQDQMGBRWHJTG7EPMEZW6WMVFI" localSheetId="18" hidden="1">BS-[29]Monetary!$D$8:$D$8</definedName>
    <definedName name="BExQDQMGBRWHJTG7EPMEZW6WMVFI" localSheetId="16" hidden="1">BS-[29]Monetary!$D$8:$D$8</definedName>
    <definedName name="BExQDQMGBRWHJTG7EPMEZW6WMVFI" localSheetId="21" hidden="1">BS-[29]Monetary!$D$8:$D$8</definedName>
    <definedName name="BExQDQMGBRWHJTG7EPMEZW6WMVFI" localSheetId="19" hidden="1">BS-[29]Monetary!$D$8:$D$8</definedName>
    <definedName name="BExQDQMGBRWHJTG7EPMEZW6WMVFI" localSheetId="17" hidden="1">BS-[29]Monetary!$D$8:$D$8</definedName>
    <definedName name="BExQDQMGBRWHJTG7EPMEZW6WMVFI" hidden="1">BS-[29]Monetary!$D$8:$D$8</definedName>
    <definedName name="BExQEJ3G5AC10JC6ZQI9OVC8WSKX" localSheetId="18" hidden="1">BS Equity [30]Item!$D$6:$D$6</definedName>
    <definedName name="BExQEJ3G5AC10JC6ZQI9OVC8WSKX" localSheetId="16" hidden="1">BS Equity [30]Item!$D$6:$D$6</definedName>
    <definedName name="BExQEJ3G5AC10JC6ZQI9OVC8WSKX" localSheetId="21" hidden="1">BS Equity [30]Item!$D$6:$D$6</definedName>
    <definedName name="BExQEJ3G5AC10JC6ZQI9OVC8WSKX" localSheetId="19" hidden="1">BS Equity [30]Item!$D$6:$D$6</definedName>
    <definedName name="BExQEJ3G5AC10JC6ZQI9OVC8WSKX" localSheetId="17" hidden="1">BS Equity [30]Item!$D$6:$D$6</definedName>
    <definedName name="BExQEJ3G5AC10JC6ZQI9OVC8WSKX" hidden="1">BS Equity [30]Item!$D$6:$D$6</definedName>
    <definedName name="BExQEJP0FJXH8GYVJI65F9UNS3QH" hidden="1">#N/A</definedName>
    <definedName name="BExQEXXGFDB7B6KK4FTN548I1HCQ" localSheetId="18" hidden="1">BS-non Monetary-[27]LC!$D$6:$D$6</definedName>
    <definedName name="BExQEXXGFDB7B6KK4FTN548I1HCQ" localSheetId="16" hidden="1">BS-non Monetary-[27]LC!$D$6:$D$6</definedName>
    <definedName name="BExQEXXGFDB7B6KK4FTN548I1HCQ" localSheetId="21" hidden="1">BS-non Monetary-[27]LC!$D$6:$D$6</definedName>
    <definedName name="BExQEXXGFDB7B6KK4FTN548I1HCQ" localSheetId="19" hidden="1">BS-non Monetary-[27]LC!$D$6:$D$6</definedName>
    <definedName name="BExQEXXGFDB7B6KK4FTN548I1HCQ" localSheetId="17" hidden="1">BS-non Monetary-[27]LC!$D$6:$D$6</definedName>
    <definedName name="BExQEXXGFDB7B6KK4FTN548I1HCQ" hidden="1">BS-non Monetary-[27]LC!$D$6:$D$6</definedName>
    <definedName name="BExQF29ZRIPRAN7UOZSCR22B8BNP" hidden="1">#N/A</definedName>
    <definedName name="BExQFMT0YBD5P8LQ4KM5UDKMCP7T" localSheetId="18" hidden="1">BS-non Monetary-[28]TC!$D$6:$D$6</definedName>
    <definedName name="BExQFMT0YBD5P8LQ4KM5UDKMCP7T" localSheetId="16" hidden="1">BS-non Monetary-[28]TC!$D$6:$D$6</definedName>
    <definedName name="BExQFMT0YBD5P8LQ4KM5UDKMCP7T" localSheetId="21" hidden="1">BS-non Monetary-[28]TC!$D$6:$D$6</definedName>
    <definedName name="BExQFMT0YBD5P8LQ4KM5UDKMCP7T" localSheetId="19" hidden="1">BS-non Monetary-[28]TC!$D$6:$D$6</definedName>
    <definedName name="BExQFMT0YBD5P8LQ4KM5UDKMCP7T" localSheetId="17" hidden="1">BS-non Monetary-[28]TC!$D$6:$D$6</definedName>
    <definedName name="BExQFMT0YBD5P8LQ4KM5UDKMCP7T" hidden="1">BS-non Monetary-[28]TC!$D$6:$D$6</definedName>
    <definedName name="BExQFTP6GMMAKQX4UA5TYQZGOFJM" hidden="1">#N/A</definedName>
    <definedName name="BExQGCQ7HKTHKMJ6YOUNZRK1TO5A" hidden="1">#N/A</definedName>
    <definedName name="BExQGR44NGUNC0Q4MOPLC91XE40A" hidden="1">#N/A</definedName>
    <definedName name="BExQGSRE3ZO25U5VR2K6K1WOZLNQ" hidden="1">#N/A</definedName>
    <definedName name="BExQGUUXSSIGJ3O9GH79U8FXGCGW" localSheetId="18" hidden="1">BS-non Monetary-[27]LC!$D$7:$D$7</definedName>
    <definedName name="BExQGUUXSSIGJ3O9GH79U8FXGCGW" localSheetId="16" hidden="1">BS-non Monetary-[27]LC!$D$7:$D$7</definedName>
    <definedName name="BExQGUUXSSIGJ3O9GH79U8FXGCGW" localSheetId="21" hidden="1">BS-non Monetary-[27]LC!$D$7:$D$7</definedName>
    <definedName name="BExQGUUXSSIGJ3O9GH79U8FXGCGW" localSheetId="19" hidden="1">BS-non Monetary-[27]LC!$D$7:$D$7</definedName>
    <definedName name="BExQGUUXSSIGJ3O9GH79U8FXGCGW" localSheetId="17" hidden="1">BS-non Monetary-[27]LC!$D$7:$D$7</definedName>
    <definedName name="BExQGUUXSSIGJ3O9GH79U8FXGCGW" hidden="1">BS-non Monetary-[27]LC!$D$7:$D$7</definedName>
    <definedName name="BExQGXEPE8D1YDXL6BL417BY89M5" localSheetId="18" hidden="1">Balance [33]Sheet!$D$6:$D$6</definedName>
    <definedName name="BExQGXEPE8D1YDXL6BL417BY89M5" localSheetId="16" hidden="1">Balance [33]Sheet!$D$6:$D$6</definedName>
    <definedName name="BExQGXEPE8D1YDXL6BL417BY89M5" localSheetId="21" hidden="1">Balance [33]Sheet!$D$6:$D$6</definedName>
    <definedName name="BExQGXEPE8D1YDXL6BL417BY89M5" localSheetId="19" hidden="1">Balance [33]Sheet!$D$6:$D$6</definedName>
    <definedName name="BExQGXEPE8D1YDXL6BL417BY89M5" localSheetId="17" hidden="1">Balance [33]Sheet!$D$6:$D$6</definedName>
    <definedName name="BExQGXEPE8D1YDXL6BL417BY89M5" hidden="1">Balance [33]Sheet!$D$6:$D$6</definedName>
    <definedName name="BExQHHMWN8RPABF31FLT54RO2YUN" hidden="1">#N/A</definedName>
    <definedName name="BExQHT0YISY65MID23WWAE7CX59Q" localSheetId="18" hidden="1">BS-non Monitory-[28]TC!$C$13:$D$15</definedName>
    <definedName name="BExQHT0YISY65MID23WWAE7CX59Q" localSheetId="16" hidden="1">BS-non Monitory-[28]TC!$C$13:$D$15</definedName>
    <definedName name="BExQHT0YISY65MID23WWAE7CX59Q" localSheetId="21" hidden="1">BS-non Monitory-[28]TC!$C$13:$D$15</definedName>
    <definedName name="BExQHT0YISY65MID23WWAE7CX59Q" localSheetId="19" hidden="1">BS-non Monitory-[28]TC!$C$13:$D$15</definedName>
    <definedName name="BExQHT0YISY65MID23WWAE7CX59Q" localSheetId="17" hidden="1">BS-non Monitory-[28]TC!$C$13:$D$15</definedName>
    <definedName name="BExQHT0YISY65MID23WWAE7CX59Q" hidden="1">BS-non Monitory-[28]TC!$C$13:$D$15</definedName>
    <definedName name="BExQHVKQZEABGK8EW4ZIFMGCTLXT" localSheetId="18" hidden="1">BS-non Monetary-[28]TC!$C$13:$D$14</definedName>
    <definedName name="BExQHVKQZEABGK8EW4ZIFMGCTLXT" localSheetId="16" hidden="1">BS-non Monetary-[28]TC!$C$13:$D$14</definedName>
    <definedName name="BExQHVKQZEABGK8EW4ZIFMGCTLXT" localSheetId="21" hidden="1">BS-non Monetary-[28]TC!$C$13:$D$14</definedName>
    <definedName name="BExQHVKQZEABGK8EW4ZIFMGCTLXT" localSheetId="19" hidden="1">BS-non Monetary-[28]TC!$C$13:$D$14</definedName>
    <definedName name="BExQHVKQZEABGK8EW4ZIFMGCTLXT" localSheetId="17" hidden="1">BS-non Monetary-[28]TC!$C$13:$D$14</definedName>
    <definedName name="BExQHVKQZEABGK8EW4ZIFMGCTLXT" hidden="1">BS-non Monetary-[28]TC!$C$13:$D$14</definedName>
    <definedName name="BExQI80FDESDB6CJ8DR99HEYD44Z" hidden="1">#N/A</definedName>
    <definedName name="BExQIDURU3EBW1YYDSAP3ADR1UPU" localSheetId="18" hidden="1">BS-[29]Monetary!$C$17:$S$212</definedName>
    <definedName name="BExQIDURU3EBW1YYDSAP3ADR1UPU" localSheetId="16" hidden="1">BS-[29]Monetary!$C$17:$S$212</definedName>
    <definedName name="BExQIDURU3EBW1YYDSAP3ADR1UPU" localSheetId="21" hidden="1">BS-[29]Monetary!$C$17:$S$212</definedName>
    <definedName name="BExQIDURU3EBW1YYDSAP3ADR1UPU" localSheetId="19" hidden="1">BS-[29]Monetary!$C$17:$S$212</definedName>
    <definedName name="BExQIDURU3EBW1YYDSAP3ADR1UPU" localSheetId="17" hidden="1">BS-[29]Monetary!$C$17:$S$212</definedName>
    <definedName name="BExQIDURU3EBW1YYDSAP3ADR1UPU" hidden="1">BS-[29]Monetary!$C$17:$S$212</definedName>
    <definedName name="BExQIM3JQHFNFLWKQMHDU2TWC6MP" localSheetId="18" hidden="1">BS-non Monetary-[28]TC!$D$7:$D$7</definedName>
    <definedName name="BExQIM3JQHFNFLWKQMHDU2TWC6MP" localSheetId="16" hidden="1">BS-non Monetary-[28]TC!$D$7:$D$7</definedName>
    <definedName name="BExQIM3JQHFNFLWKQMHDU2TWC6MP" localSheetId="21" hidden="1">BS-non Monetary-[28]TC!$D$7:$D$7</definedName>
    <definedName name="BExQIM3JQHFNFLWKQMHDU2TWC6MP" localSheetId="19" hidden="1">BS-non Monetary-[28]TC!$D$7:$D$7</definedName>
    <definedName name="BExQIM3JQHFNFLWKQMHDU2TWC6MP" localSheetId="17" hidden="1">BS-non Monetary-[28]TC!$D$7:$D$7</definedName>
    <definedName name="BExQIM3JQHFNFLWKQMHDU2TWC6MP" hidden="1">BS-non Monetary-[28]TC!$D$7:$D$7</definedName>
    <definedName name="BExQIQ5AO40HXCJND4X0YNYXX1TF" localSheetId="18" hidden="1">BS-non Monetary-[27]LC!$D$7:$D$7</definedName>
    <definedName name="BExQIQ5AO40HXCJND4X0YNYXX1TF" localSheetId="16" hidden="1">BS-non Monetary-[27]LC!$D$7:$D$7</definedName>
    <definedName name="BExQIQ5AO40HXCJND4X0YNYXX1TF" localSheetId="21" hidden="1">BS-non Monetary-[27]LC!$D$7:$D$7</definedName>
    <definedName name="BExQIQ5AO40HXCJND4X0YNYXX1TF" localSheetId="19" hidden="1">BS-non Monetary-[27]LC!$D$7:$D$7</definedName>
    <definedName name="BExQIQ5AO40HXCJND4X0YNYXX1TF" localSheetId="17" hidden="1">BS-non Monetary-[27]LC!$D$7:$D$7</definedName>
    <definedName name="BExQIQ5AO40HXCJND4X0YNYXX1TF" hidden="1">BS-non Monetary-[27]LC!$D$7:$D$7</definedName>
    <definedName name="BExQIXC2HZI9CG6ZWUB78XRDIWYI" localSheetId="18" hidden="1">BS-non Monetary-[28]TC!$D$7:$D$7</definedName>
    <definedName name="BExQIXC2HZI9CG6ZWUB78XRDIWYI" localSheetId="16" hidden="1">BS-non Monetary-[28]TC!$D$7:$D$7</definedName>
    <definedName name="BExQIXC2HZI9CG6ZWUB78XRDIWYI" localSheetId="21" hidden="1">BS-non Monetary-[28]TC!$D$7:$D$7</definedName>
    <definedName name="BExQIXC2HZI9CG6ZWUB78XRDIWYI" localSheetId="19" hidden="1">BS-non Monetary-[28]TC!$D$7:$D$7</definedName>
    <definedName name="BExQIXC2HZI9CG6ZWUB78XRDIWYI" localSheetId="17" hidden="1">BS-non Monetary-[28]TC!$D$7:$D$7</definedName>
    <definedName name="BExQIXC2HZI9CG6ZWUB78XRDIWYI" hidden="1">BS-non Monetary-[28]TC!$D$7:$D$7</definedName>
    <definedName name="BExQJ3S5UGIEC5DPD96BRRR7TB59" hidden="1">#N/A</definedName>
    <definedName name="BExQJJ7QM9WJJ6TN2YPU7L8JF9FU" localSheetId="18" hidden="1">BS-[29]Monetary!$C$17:$I$192</definedName>
    <definedName name="BExQJJ7QM9WJJ6TN2YPU7L8JF9FU" localSheetId="16" hidden="1">BS-[29]Monetary!$C$17:$I$192</definedName>
    <definedName name="BExQJJ7QM9WJJ6TN2YPU7L8JF9FU" localSheetId="21" hidden="1">BS-[29]Monetary!$C$17:$I$192</definedName>
    <definedName name="BExQJJ7QM9WJJ6TN2YPU7L8JF9FU" localSheetId="19" hidden="1">BS-[29]Monetary!$C$17:$I$192</definedName>
    <definedName name="BExQJJ7QM9WJJ6TN2YPU7L8JF9FU" localSheetId="17" hidden="1">BS-[29]Monetary!$C$17:$I$192</definedName>
    <definedName name="BExQJJ7QM9WJJ6TN2YPU7L8JF9FU" hidden="1">BS-[29]Monetary!$C$17:$I$192</definedName>
    <definedName name="BExQJZECKEJBU6KFVLDLKRUFNELB" hidden="1">#N/A</definedName>
    <definedName name="BExQK172ONDZ6KT1H1RPPM42ETU3" localSheetId="18" hidden="1">BS-[29]Monetary!$C$17:$I$188</definedName>
    <definedName name="BExQK172ONDZ6KT1H1RPPM42ETU3" localSheetId="16" hidden="1">BS-[29]Monetary!$C$17:$I$188</definedName>
    <definedName name="BExQK172ONDZ6KT1H1RPPM42ETU3" localSheetId="21" hidden="1">BS-[29]Monetary!$C$17:$I$188</definedName>
    <definedName name="BExQK172ONDZ6KT1H1RPPM42ETU3" localSheetId="19" hidden="1">BS-[29]Monetary!$C$17:$I$188</definedName>
    <definedName name="BExQK172ONDZ6KT1H1RPPM42ETU3" localSheetId="17" hidden="1">BS-[29]Monetary!$C$17:$I$188</definedName>
    <definedName name="BExQK172ONDZ6KT1H1RPPM42ETU3" hidden="1">BS-[29]Monetary!$C$17:$I$188</definedName>
    <definedName name="BExQKASDGBXZCPHIRGSW6KUCN5PJ" hidden="1">#N/A</definedName>
    <definedName name="BExQKIA40FP0IORK41MRGP4IYHQV" hidden="1">#N/A</definedName>
    <definedName name="BExQL7GFCI7JFLW5U6K6WP0AFNU9" hidden="1">#N/A</definedName>
    <definedName name="BExRYQ5HB9XGY1RHY5R39P4JKM77" hidden="1">#N/A</definedName>
    <definedName name="BExRYZQQED0P5E1DAID3H6LTJ7ZX" localSheetId="18" hidden="1">BS-Equity-[27]LC!$D$8:$D$8</definedName>
    <definedName name="BExRYZQQED0P5E1DAID3H6LTJ7ZX" localSheetId="16" hidden="1">BS-Equity-[27]LC!$D$8:$D$8</definedName>
    <definedName name="BExRYZQQED0P5E1DAID3H6LTJ7ZX" localSheetId="21" hidden="1">BS-Equity-[27]LC!$D$8:$D$8</definedName>
    <definedName name="BExRYZQQED0P5E1DAID3H6LTJ7ZX" localSheetId="19" hidden="1">BS-Equity-[27]LC!$D$8:$D$8</definedName>
    <definedName name="BExRYZQQED0P5E1DAID3H6LTJ7ZX" localSheetId="17" hidden="1">BS-Equity-[27]LC!$D$8:$D$8</definedName>
    <definedName name="BExRYZQQED0P5E1DAID3H6LTJ7ZX" hidden="1">BS-Equity-[27]LC!$D$8:$D$8</definedName>
    <definedName name="BExRZHFBRVMCGKT9KRYENH2RDY1G" localSheetId="18" hidden="1">BS-non Monitory-[28]TC!$C$17:$F$417</definedName>
    <definedName name="BExRZHFBRVMCGKT9KRYENH2RDY1G" localSheetId="16" hidden="1">BS-non Monitory-[28]TC!$C$17:$F$417</definedName>
    <definedName name="BExRZHFBRVMCGKT9KRYENH2RDY1G" localSheetId="21" hidden="1">BS-non Monitory-[28]TC!$C$17:$F$417</definedName>
    <definedName name="BExRZHFBRVMCGKT9KRYENH2RDY1G" localSheetId="19" hidden="1">BS-non Monitory-[28]TC!$C$17:$F$417</definedName>
    <definedName name="BExRZHFBRVMCGKT9KRYENH2RDY1G" localSheetId="17" hidden="1">BS-non Monitory-[28]TC!$C$17:$F$417</definedName>
    <definedName name="BExRZHFBRVMCGKT9KRYENH2RDY1G" hidden="1">BS-non Monitory-[28]TC!$C$17:$F$417</definedName>
    <definedName name="BExS0EUAW057BE4D434LQFSA63F7" localSheetId="18" hidden="1">BS-[29]Monetary!$D$8:$D$8</definedName>
    <definedName name="BExS0EUAW057BE4D434LQFSA63F7" localSheetId="16" hidden="1">BS-[29]Monetary!$D$8:$D$8</definedName>
    <definedName name="BExS0EUAW057BE4D434LQFSA63F7" localSheetId="21" hidden="1">BS-[29]Monetary!$D$8:$D$8</definedName>
    <definedName name="BExS0EUAW057BE4D434LQFSA63F7" localSheetId="19" hidden="1">BS-[29]Monetary!$D$8:$D$8</definedName>
    <definedName name="BExS0EUAW057BE4D434LQFSA63F7" localSheetId="17" hidden="1">BS-[29]Monetary!$D$8:$D$8</definedName>
    <definedName name="BExS0EUAW057BE4D434LQFSA63F7" hidden="1">BS-[29]Monetary!$D$8:$D$8</definedName>
    <definedName name="BExS0MMU1VTBD2KH3GVF3MPW9GMG" localSheetId="18" hidden="1">BS-[29]Monetary!$D$7:$D$7</definedName>
    <definedName name="BExS0MMU1VTBD2KH3GVF3MPW9GMG" localSheetId="16" hidden="1">BS-[29]Monetary!$D$7:$D$7</definedName>
    <definedName name="BExS0MMU1VTBD2KH3GVF3MPW9GMG" localSheetId="21" hidden="1">BS-[29]Monetary!$D$7:$D$7</definedName>
    <definedName name="BExS0MMU1VTBD2KH3GVF3MPW9GMG" localSheetId="19" hidden="1">BS-[29]Monetary!$D$7:$D$7</definedName>
    <definedName name="BExS0MMU1VTBD2KH3GVF3MPW9GMG" localSheetId="17" hidden="1">BS-[29]Monetary!$D$7:$D$7</definedName>
    <definedName name="BExS0MMU1VTBD2KH3GVF3MPW9GMG" hidden="1">BS-[29]Monetary!$D$7:$D$7</definedName>
    <definedName name="BExS1OZWW1UM8CVDDUVAHTM6XTDR" localSheetId="18" hidden="1">BS-Equity-[27]LC!$D$8:$D$8</definedName>
    <definedName name="BExS1OZWW1UM8CVDDUVAHTM6XTDR" localSheetId="16" hidden="1">BS-Equity-[27]LC!$D$8:$D$8</definedName>
    <definedName name="BExS1OZWW1UM8CVDDUVAHTM6XTDR" localSheetId="21" hidden="1">BS-Equity-[27]LC!$D$8:$D$8</definedName>
    <definedName name="BExS1OZWW1UM8CVDDUVAHTM6XTDR" localSheetId="19" hidden="1">BS-Equity-[27]LC!$D$8:$D$8</definedName>
    <definedName name="BExS1OZWW1UM8CVDDUVAHTM6XTDR" localSheetId="17" hidden="1">BS-Equity-[27]LC!$D$8:$D$8</definedName>
    <definedName name="BExS1OZWW1UM8CVDDUVAHTM6XTDR" hidden="1">BS-Equity-[27]LC!$D$8:$D$8</definedName>
    <definedName name="BExS1TCAASDOB6SZ16D4LJB0N784" hidden="1">#N/A</definedName>
    <definedName name="BExS1XJC009WSV527PILJSYJRRV4" localSheetId="18" hidden="1">BS-non Monetary-[28]TC!$D$8:$D$8</definedName>
    <definedName name="BExS1XJC009WSV527PILJSYJRRV4" localSheetId="16" hidden="1">BS-non Monetary-[28]TC!$D$8:$D$8</definedName>
    <definedName name="BExS1XJC009WSV527PILJSYJRRV4" localSheetId="21" hidden="1">BS-non Monetary-[28]TC!$D$8:$D$8</definedName>
    <definedName name="BExS1XJC009WSV527PILJSYJRRV4" localSheetId="19" hidden="1">BS-non Monetary-[28]TC!$D$8:$D$8</definedName>
    <definedName name="BExS1XJC009WSV527PILJSYJRRV4" localSheetId="17" hidden="1">BS-non Monetary-[28]TC!$D$8:$D$8</definedName>
    <definedName name="BExS1XJC009WSV527PILJSYJRRV4" hidden="1">BS-non Monetary-[28]TC!$D$8:$D$8</definedName>
    <definedName name="BExS25MNHUIKFB5LA7MNO6RAFIBD" localSheetId="18" hidden="1">BS-non Monetary-[31]GC!$D$8:$D$8</definedName>
    <definedName name="BExS25MNHUIKFB5LA7MNO6RAFIBD" localSheetId="16" hidden="1">BS-non Monetary-[31]GC!$D$8:$D$8</definedName>
    <definedName name="BExS25MNHUIKFB5LA7MNO6RAFIBD" localSheetId="21" hidden="1">BS-non Monetary-[31]GC!$D$8:$D$8</definedName>
    <definedName name="BExS25MNHUIKFB5LA7MNO6RAFIBD" localSheetId="19" hidden="1">BS-non Monetary-[31]GC!$D$8:$D$8</definedName>
    <definedName name="BExS25MNHUIKFB5LA7MNO6RAFIBD" localSheetId="17" hidden="1">BS-non Monetary-[31]GC!$D$8:$D$8</definedName>
    <definedName name="BExS25MNHUIKFB5LA7MNO6RAFIBD" hidden="1">BS-non Monetary-[31]GC!$D$8:$D$8</definedName>
    <definedName name="BExS3555HR93L3A4H6L3SV7LU0TK" localSheetId="18" hidden="1">BS-non Monetary-[27]LC!$D$6:$D$6</definedName>
    <definedName name="BExS3555HR93L3A4H6L3SV7LU0TK" localSheetId="16" hidden="1">BS-non Monetary-[27]LC!$D$6:$D$6</definedName>
    <definedName name="BExS3555HR93L3A4H6L3SV7LU0TK" localSheetId="21" hidden="1">BS-non Monetary-[27]LC!$D$6:$D$6</definedName>
    <definedName name="BExS3555HR93L3A4H6L3SV7LU0TK" localSheetId="19" hidden="1">BS-non Monetary-[27]LC!$D$6:$D$6</definedName>
    <definedName name="BExS3555HR93L3A4H6L3SV7LU0TK" localSheetId="17" hidden="1">BS-non Monetary-[27]LC!$D$6:$D$6</definedName>
    <definedName name="BExS3555HR93L3A4H6L3SV7LU0TK" hidden="1">BS-non Monetary-[27]LC!$D$6:$D$6</definedName>
    <definedName name="BExS3CC40CRIOEG0U25CJ356PEMC" localSheetId="18" hidden="1">BS-Equity-[27]LC!$C$17:$E$93</definedName>
    <definedName name="BExS3CC40CRIOEG0U25CJ356PEMC" localSheetId="16" hidden="1">BS-Equity-[27]LC!$C$17:$E$93</definedName>
    <definedName name="BExS3CC40CRIOEG0U25CJ356PEMC" localSheetId="21" hidden="1">BS-Equity-[27]LC!$C$17:$E$93</definedName>
    <definedName name="BExS3CC40CRIOEG0U25CJ356PEMC" localSheetId="19" hidden="1">BS-Equity-[27]LC!$C$17:$E$93</definedName>
    <definedName name="BExS3CC40CRIOEG0U25CJ356PEMC" localSheetId="17" hidden="1">BS-Equity-[27]LC!$C$17:$E$93</definedName>
    <definedName name="BExS3CC40CRIOEG0U25CJ356PEMC" hidden="1">BS-Equity-[27]LC!$C$17:$E$93</definedName>
    <definedName name="BExS3U5ZAQJWK7RE9NMZJLV0FKB2" localSheetId="18" hidden="1">BS-non Monetary-[27]LC!$D$8:$D$8</definedName>
    <definedName name="BExS3U5ZAQJWK7RE9NMZJLV0FKB2" localSheetId="16" hidden="1">BS-non Monetary-[27]LC!$D$8:$D$8</definedName>
    <definedName name="BExS3U5ZAQJWK7RE9NMZJLV0FKB2" localSheetId="21" hidden="1">BS-non Monetary-[27]LC!$D$8:$D$8</definedName>
    <definedName name="BExS3U5ZAQJWK7RE9NMZJLV0FKB2" localSheetId="19" hidden="1">BS-non Monetary-[27]LC!$D$8:$D$8</definedName>
    <definedName name="BExS3U5ZAQJWK7RE9NMZJLV0FKB2" localSheetId="17" hidden="1">BS-non Monetary-[27]LC!$D$8:$D$8</definedName>
    <definedName name="BExS3U5ZAQJWK7RE9NMZJLV0FKB2" hidden="1">BS-non Monetary-[27]LC!$D$8:$D$8</definedName>
    <definedName name="BExS48ELFFNVVQBLXIBB3ME4D6XP" localSheetId="18" hidden="1">BS-[34]Monitory!$C$17:$F$760</definedName>
    <definedName name="BExS48ELFFNVVQBLXIBB3ME4D6XP" localSheetId="16" hidden="1">BS-[34]Monitory!$C$17:$F$760</definedName>
    <definedName name="BExS48ELFFNVVQBLXIBB3ME4D6XP" localSheetId="21" hidden="1">BS-[34]Monitory!$C$17:$F$760</definedName>
    <definedName name="BExS48ELFFNVVQBLXIBB3ME4D6XP" localSheetId="19" hidden="1">BS-[34]Monitory!$C$17:$F$760</definedName>
    <definedName name="BExS48ELFFNVVQBLXIBB3ME4D6XP" localSheetId="17" hidden="1">BS-[34]Monitory!$C$17:$F$760</definedName>
    <definedName name="BExS48ELFFNVVQBLXIBB3ME4D6XP" hidden="1">BS-[34]Monitory!$C$17:$F$760</definedName>
    <definedName name="BExS49AXPPPD8SYJDP6DZZZGX4C5" localSheetId="18" hidden="1">BS-[29]Monetary!$D$6:$D$6</definedName>
    <definedName name="BExS49AXPPPD8SYJDP6DZZZGX4C5" localSheetId="16" hidden="1">BS-[29]Monetary!$D$6:$D$6</definedName>
    <definedName name="BExS49AXPPPD8SYJDP6DZZZGX4C5" localSheetId="21" hidden="1">BS-[29]Monetary!$D$6:$D$6</definedName>
    <definedName name="BExS49AXPPPD8SYJDP6DZZZGX4C5" localSheetId="19" hidden="1">BS-[29]Monetary!$D$6:$D$6</definedName>
    <definedName name="BExS49AXPPPD8SYJDP6DZZZGX4C5" localSheetId="17" hidden="1">BS-[29]Monetary!$D$6:$D$6</definedName>
    <definedName name="BExS49AXPPPD8SYJDP6DZZZGX4C5" hidden="1">BS-[29]Monetary!$D$6:$D$6</definedName>
    <definedName name="BExS4DNBBA0MDUXW6QV1QNTNL3OS" localSheetId="18" hidden="1">BS-non Monetary-[27]LC!$D$8:$D$8</definedName>
    <definedName name="BExS4DNBBA0MDUXW6QV1QNTNL3OS" localSheetId="16" hidden="1">BS-non Monetary-[27]LC!$D$8:$D$8</definedName>
    <definedName name="BExS4DNBBA0MDUXW6QV1QNTNL3OS" localSheetId="21" hidden="1">BS-non Monetary-[27]LC!$D$8:$D$8</definedName>
    <definedName name="BExS4DNBBA0MDUXW6QV1QNTNL3OS" localSheetId="19" hidden="1">BS-non Monetary-[27]LC!$D$8:$D$8</definedName>
    <definedName name="BExS4DNBBA0MDUXW6QV1QNTNL3OS" localSheetId="17" hidden="1">BS-non Monetary-[27]LC!$D$8:$D$8</definedName>
    <definedName name="BExS4DNBBA0MDUXW6QV1QNTNL3OS" hidden="1">BS-non Monetary-[27]LC!$D$8:$D$8</definedName>
    <definedName name="BExS4FAQERATD1PU7TSO5M3P58PE" localSheetId="18" hidden="1">BS-non Monetary-[28]TC!$D$6:$D$6</definedName>
    <definedName name="BExS4FAQERATD1PU7TSO5M3P58PE" localSheetId="16" hidden="1">BS-non Monetary-[28]TC!$D$6:$D$6</definedName>
    <definedName name="BExS4FAQERATD1PU7TSO5M3P58PE" localSheetId="21" hidden="1">BS-non Monetary-[28]TC!$D$6:$D$6</definedName>
    <definedName name="BExS4FAQERATD1PU7TSO5M3P58PE" localSheetId="19" hidden="1">BS-non Monetary-[28]TC!$D$6:$D$6</definedName>
    <definedName name="BExS4FAQERATD1PU7TSO5M3P58PE" localSheetId="17" hidden="1">BS-non Monetary-[28]TC!$D$6:$D$6</definedName>
    <definedName name="BExS4FAQERATD1PU7TSO5M3P58PE" hidden="1">BS-non Monetary-[28]TC!$D$6:$D$6</definedName>
    <definedName name="BExS4ZOGCW69ZLFAG2P7R8R13YYO" hidden="1">#N/A</definedName>
    <definedName name="BExS54X6PDO30CQHGECE8O07E6R0" localSheetId="18" hidden="1">BS-non Monetary-[28]TC!$D$7:$D$7</definedName>
    <definedName name="BExS54X6PDO30CQHGECE8O07E6R0" localSheetId="16" hidden="1">BS-non Monetary-[28]TC!$D$7:$D$7</definedName>
    <definedName name="BExS54X6PDO30CQHGECE8O07E6R0" localSheetId="21" hidden="1">BS-non Monetary-[28]TC!$D$7:$D$7</definedName>
    <definedName name="BExS54X6PDO30CQHGECE8O07E6R0" localSheetId="19" hidden="1">BS-non Monetary-[28]TC!$D$7:$D$7</definedName>
    <definedName name="BExS54X6PDO30CQHGECE8O07E6R0" localSheetId="17" hidden="1">BS-non Monetary-[28]TC!$D$7:$D$7</definedName>
    <definedName name="BExS54X6PDO30CQHGECE8O07E6R0" hidden="1">BS-non Monetary-[28]TC!$D$7:$D$7</definedName>
    <definedName name="BExS55YUEAJSIB521IVZUH26FZPP" localSheetId="18" hidden="1">BS-non Monetary-[28]TC!$C$17:$F$530</definedName>
    <definedName name="BExS55YUEAJSIB521IVZUH26FZPP" localSheetId="16" hidden="1">BS-non Monetary-[28]TC!$C$17:$F$530</definedName>
    <definedName name="BExS55YUEAJSIB521IVZUH26FZPP" localSheetId="21" hidden="1">BS-non Monetary-[28]TC!$C$17:$F$530</definedName>
    <definedName name="BExS55YUEAJSIB521IVZUH26FZPP" localSheetId="19" hidden="1">BS-non Monetary-[28]TC!$C$17:$F$530</definedName>
    <definedName name="BExS55YUEAJSIB521IVZUH26FZPP" localSheetId="17" hidden="1">BS-non Monetary-[28]TC!$C$17:$F$530</definedName>
    <definedName name="BExS55YUEAJSIB521IVZUH26FZPP" hidden="1">BS-non Monetary-[28]TC!$C$17:$F$530</definedName>
    <definedName name="BExS564AUC2W6ZNQY69BI0WUL9E7" hidden="1">#N/A</definedName>
    <definedName name="BExS5DRE6SF24YIKQP1R0PTQKDNK" localSheetId="18" hidden="1">BS-Equity-[28]TC!$D$6:$D$6</definedName>
    <definedName name="BExS5DRE6SF24YIKQP1R0PTQKDNK" localSheetId="16" hidden="1">BS-Equity-[28]TC!$D$6:$D$6</definedName>
    <definedName name="BExS5DRE6SF24YIKQP1R0PTQKDNK" localSheetId="21" hidden="1">BS-Equity-[28]TC!$D$6:$D$6</definedName>
    <definedName name="BExS5DRE6SF24YIKQP1R0PTQKDNK" localSheetId="19" hidden="1">BS-Equity-[28]TC!$D$6:$D$6</definedName>
    <definedName name="BExS5DRE6SF24YIKQP1R0PTQKDNK" localSheetId="17" hidden="1">BS-Equity-[28]TC!$D$6:$D$6</definedName>
    <definedName name="BExS5DRE6SF24YIKQP1R0PTQKDNK" hidden="1">BS-Equity-[28]TC!$D$6:$D$6</definedName>
    <definedName name="BExS5ET9JMSREFGI5A6FEASX32FM" localSheetId="18" hidden="1">BS-non Monetary-[28]TC!$D$7:$D$7</definedName>
    <definedName name="BExS5ET9JMSREFGI5A6FEASX32FM" localSheetId="16" hidden="1">BS-non Monetary-[28]TC!$D$7:$D$7</definedName>
    <definedName name="BExS5ET9JMSREFGI5A6FEASX32FM" localSheetId="21" hidden="1">BS-non Monetary-[28]TC!$D$7:$D$7</definedName>
    <definedName name="BExS5ET9JMSREFGI5A6FEASX32FM" localSheetId="19" hidden="1">BS-non Monetary-[28]TC!$D$7:$D$7</definedName>
    <definedName name="BExS5ET9JMSREFGI5A6FEASX32FM" localSheetId="17" hidden="1">BS-non Monetary-[28]TC!$D$7:$D$7</definedName>
    <definedName name="BExS5ET9JMSREFGI5A6FEASX32FM" hidden="1">BS-non Monetary-[28]TC!$D$7:$D$7</definedName>
    <definedName name="BExS5M06VCEAOO8WSOXMTN2C2382" hidden="1">#N/A</definedName>
    <definedName name="BExS6K0QB0KMTI7UG8YFC9LBWEHF" localSheetId="18" hidden="1">BS-non Monetary-[27]LC!$D$8:$D$8</definedName>
    <definedName name="BExS6K0QB0KMTI7UG8YFC9LBWEHF" localSheetId="16" hidden="1">BS-non Monetary-[27]LC!$D$8:$D$8</definedName>
    <definedName name="BExS6K0QB0KMTI7UG8YFC9LBWEHF" localSheetId="21" hidden="1">BS-non Monetary-[27]LC!$D$8:$D$8</definedName>
    <definedName name="BExS6K0QB0KMTI7UG8YFC9LBWEHF" localSheetId="19" hidden="1">BS-non Monetary-[27]LC!$D$8:$D$8</definedName>
    <definedName name="BExS6K0QB0KMTI7UG8YFC9LBWEHF" localSheetId="17" hidden="1">BS-non Monetary-[27]LC!$D$8:$D$8</definedName>
    <definedName name="BExS6K0QB0KMTI7UG8YFC9LBWEHF" hidden="1">BS-non Monetary-[27]LC!$D$8:$D$8</definedName>
    <definedName name="BExS9RUOELWQ7FWJIMZMRS0APL0E" localSheetId="18" hidden="1">BS-[29]Monetary!$D$7:$D$7</definedName>
    <definedName name="BExS9RUOELWQ7FWJIMZMRS0APL0E" localSheetId="16" hidden="1">BS-[29]Monetary!$D$7:$D$7</definedName>
    <definedName name="BExS9RUOELWQ7FWJIMZMRS0APL0E" localSheetId="21" hidden="1">BS-[29]Monetary!$D$7:$D$7</definedName>
    <definedName name="BExS9RUOELWQ7FWJIMZMRS0APL0E" localSheetId="19" hidden="1">BS-[29]Monetary!$D$7:$D$7</definedName>
    <definedName name="BExS9RUOELWQ7FWJIMZMRS0APL0E" localSheetId="17" hidden="1">BS-[29]Monetary!$D$7:$D$7</definedName>
    <definedName name="BExS9RUOELWQ7FWJIMZMRS0APL0E" hidden="1">BS-[29]Monetary!$D$7:$D$7</definedName>
    <definedName name="BExS9UUPZ5HDCX7LB8WPWOIOMAY2" hidden="1">#N/A</definedName>
    <definedName name="BExS9ZCF6LUH509DUDRKZ9C14QI8" localSheetId="18" hidden="1">BS-non Monetary-[28]TC!$D$6:$D$6</definedName>
    <definedName name="BExS9ZCF6LUH509DUDRKZ9C14QI8" localSheetId="16" hidden="1">BS-non Monetary-[28]TC!$D$6:$D$6</definedName>
    <definedName name="BExS9ZCF6LUH509DUDRKZ9C14QI8" localSheetId="21" hidden="1">BS-non Monetary-[28]TC!$D$6:$D$6</definedName>
    <definedName name="BExS9ZCF6LUH509DUDRKZ9C14QI8" localSheetId="19" hidden="1">BS-non Monetary-[28]TC!$D$6:$D$6</definedName>
    <definedName name="BExS9ZCF6LUH509DUDRKZ9C14QI8" localSheetId="17" hidden="1">BS-non Monetary-[28]TC!$D$6:$D$6</definedName>
    <definedName name="BExS9ZCF6LUH509DUDRKZ9C14QI8" hidden="1">BS-non Monetary-[28]TC!$D$6:$D$6</definedName>
    <definedName name="BExSA33DC9QX1XSX0C4CEYGS6CGW" hidden="1">#N/A</definedName>
    <definedName name="BExSA8MX0ZNSWJ3JR5NI5UA1KUFE" localSheetId="18" hidden="1">BS-non Monetary-[28]TC!$C$13:$D$14</definedName>
    <definedName name="BExSA8MX0ZNSWJ3JR5NI5UA1KUFE" localSheetId="16" hidden="1">BS-non Monetary-[28]TC!$C$13:$D$14</definedName>
    <definedName name="BExSA8MX0ZNSWJ3JR5NI5UA1KUFE" localSheetId="21" hidden="1">BS-non Monetary-[28]TC!$C$13:$D$14</definedName>
    <definedName name="BExSA8MX0ZNSWJ3JR5NI5UA1KUFE" localSheetId="19" hidden="1">BS-non Monetary-[28]TC!$C$13:$D$14</definedName>
    <definedName name="BExSA8MX0ZNSWJ3JR5NI5UA1KUFE" localSheetId="17" hidden="1">BS-non Monetary-[28]TC!$C$13:$D$14</definedName>
    <definedName name="BExSA8MX0ZNSWJ3JR5NI5UA1KUFE" hidden="1">BS-non Monetary-[28]TC!$C$13:$D$14</definedName>
    <definedName name="BExSAFJ2HLH2UK5HNOX110E3GPIE" hidden="1">#N/A</definedName>
    <definedName name="BExSARO4FCTV6QOUSANXL83P6GW5" hidden="1">#N/A</definedName>
    <definedName name="BExSAUYSLWZNCK2KLFWDPBHR1OC9" localSheetId="18" hidden="1">BS-Equity-[27]LC!$C$17:$R$93</definedName>
    <definedName name="BExSAUYSLWZNCK2KLFWDPBHR1OC9" localSheetId="16" hidden="1">BS-Equity-[27]LC!$C$17:$R$93</definedName>
    <definedName name="BExSAUYSLWZNCK2KLFWDPBHR1OC9" localSheetId="21" hidden="1">BS-Equity-[27]LC!$C$17:$R$93</definedName>
    <definedName name="BExSAUYSLWZNCK2KLFWDPBHR1OC9" localSheetId="19" hidden="1">BS-Equity-[27]LC!$C$17:$R$93</definedName>
    <definedName name="BExSAUYSLWZNCK2KLFWDPBHR1OC9" localSheetId="17" hidden="1">BS-Equity-[27]LC!$C$17:$R$93</definedName>
    <definedName name="BExSAUYSLWZNCK2KLFWDPBHR1OC9" hidden="1">BS-Equity-[27]LC!$C$17:$R$93</definedName>
    <definedName name="BExSAVUZYEXXBPTSVMBUG7C20V89" localSheetId="18" hidden="1">TB BS Monetary [30]Item!$C$17:$F$761</definedName>
    <definedName name="BExSAVUZYEXXBPTSVMBUG7C20V89" localSheetId="16" hidden="1">TB BS Monetary [30]Item!$C$17:$F$761</definedName>
    <definedName name="BExSAVUZYEXXBPTSVMBUG7C20V89" localSheetId="21" hidden="1">TB BS Monetary [30]Item!$C$17:$F$761</definedName>
    <definedName name="BExSAVUZYEXXBPTSVMBUG7C20V89" localSheetId="19" hidden="1">TB BS Monetary [30]Item!$C$17:$F$761</definedName>
    <definedName name="BExSAVUZYEXXBPTSVMBUG7C20V89" localSheetId="17" hidden="1">TB BS Monetary [30]Item!$C$17:$F$761</definedName>
    <definedName name="BExSAVUZYEXXBPTSVMBUG7C20V89" hidden="1">TB BS Monetary [30]Item!$C$17:$F$761</definedName>
    <definedName name="BExSBMU2QYB7EARSBH0RW5MORE7D" localSheetId="18" hidden="1">BS-[29]Monetary!$D$8:$D$8</definedName>
    <definedName name="BExSBMU2QYB7EARSBH0RW5MORE7D" localSheetId="16" hidden="1">BS-[29]Monetary!$D$8:$D$8</definedName>
    <definedName name="BExSBMU2QYB7EARSBH0RW5MORE7D" localSheetId="21" hidden="1">BS-[29]Monetary!$D$8:$D$8</definedName>
    <definedName name="BExSBMU2QYB7EARSBH0RW5MORE7D" localSheetId="19" hidden="1">BS-[29]Monetary!$D$8:$D$8</definedName>
    <definedName name="BExSBMU2QYB7EARSBH0RW5MORE7D" localSheetId="17" hidden="1">BS-[29]Monetary!$D$8:$D$8</definedName>
    <definedName name="BExSBMU2QYB7EARSBH0RW5MORE7D" hidden="1">BS-[29]Monetary!$D$8:$D$8</definedName>
    <definedName name="BExSBVDORQNJJ5MM6RHT3C3UDN2K" hidden="1">#N/A</definedName>
    <definedName name="BExSC3X4UOTARXHQ1ZL0W7315MX9" localSheetId="18" hidden="1">BS-non Monetary-[28]TC!$C$13:$D$14</definedName>
    <definedName name="BExSC3X4UOTARXHQ1ZL0W7315MX9" localSheetId="16" hidden="1">BS-non Monetary-[28]TC!$C$13:$D$14</definedName>
    <definedName name="BExSC3X4UOTARXHQ1ZL0W7315MX9" localSheetId="21" hidden="1">BS-non Monetary-[28]TC!$C$13:$D$14</definedName>
    <definedName name="BExSC3X4UOTARXHQ1ZL0W7315MX9" localSheetId="19" hidden="1">BS-non Monetary-[28]TC!$C$13:$D$14</definedName>
    <definedName name="BExSC3X4UOTARXHQ1ZL0W7315MX9" localSheetId="17" hidden="1">BS-non Monetary-[28]TC!$C$13:$D$14</definedName>
    <definedName name="BExSC3X4UOTARXHQ1ZL0W7315MX9" hidden="1">BS-non Monetary-[28]TC!$C$13:$D$14</definedName>
    <definedName name="BExSCGYJP4PY4X4JD16UK7NPE776" localSheetId="18" hidden="1">Balance [33]Sheet!$D$8:$D$8</definedName>
    <definedName name="BExSCGYJP4PY4X4JD16UK7NPE776" localSheetId="16" hidden="1">Balance [33]Sheet!$D$8:$D$8</definedName>
    <definedName name="BExSCGYJP4PY4X4JD16UK7NPE776" localSheetId="21" hidden="1">Balance [33]Sheet!$D$8:$D$8</definedName>
    <definedName name="BExSCGYJP4PY4X4JD16UK7NPE776" localSheetId="19" hidden="1">Balance [33]Sheet!$D$8:$D$8</definedName>
    <definedName name="BExSCGYJP4PY4X4JD16UK7NPE776" localSheetId="17" hidden="1">Balance [33]Sheet!$D$8:$D$8</definedName>
    <definedName name="BExSCGYJP4PY4X4JD16UK7NPE776" hidden="1">Balance [33]Sheet!$D$8:$D$8</definedName>
    <definedName name="BExSCWOWDRBGK9RN4WELEDGE7WV7" localSheetId="18" hidden="1">BS-Equity-[27]LC!$C$13:$D$15</definedName>
    <definedName name="BExSCWOWDRBGK9RN4WELEDGE7WV7" localSheetId="16" hidden="1">BS-Equity-[27]LC!$C$13:$D$15</definedName>
    <definedName name="BExSCWOWDRBGK9RN4WELEDGE7WV7" localSheetId="21" hidden="1">BS-Equity-[27]LC!$C$13:$D$15</definedName>
    <definedName name="BExSCWOWDRBGK9RN4WELEDGE7WV7" localSheetId="19" hidden="1">BS-Equity-[27]LC!$C$13:$D$15</definedName>
    <definedName name="BExSCWOWDRBGK9RN4WELEDGE7WV7" localSheetId="17" hidden="1">BS-Equity-[27]LC!$C$13:$D$15</definedName>
    <definedName name="BExSCWOWDRBGK9RN4WELEDGE7WV7" hidden="1">BS-Equity-[27]LC!$C$13:$D$15</definedName>
    <definedName name="BExSDWCUL6CV6TV0B75YLSF9QBCC" localSheetId="18" hidden="1">BS-non Monitory-[28]TC!$D$7:$D$7</definedName>
    <definedName name="BExSDWCUL6CV6TV0B75YLSF9QBCC" localSheetId="16" hidden="1">BS-non Monitory-[28]TC!$D$7:$D$7</definedName>
    <definedName name="BExSDWCUL6CV6TV0B75YLSF9QBCC" localSheetId="21" hidden="1">BS-non Monitory-[28]TC!$D$7:$D$7</definedName>
    <definedName name="BExSDWCUL6CV6TV0B75YLSF9QBCC" localSheetId="19" hidden="1">BS-non Monitory-[28]TC!$D$7:$D$7</definedName>
    <definedName name="BExSDWCUL6CV6TV0B75YLSF9QBCC" localSheetId="17" hidden="1">BS-non Monitory-[28]TC!$D$7:$D$7</definedName>
    <definedName name="BExSDWCUL6CV6TV0B75YLSF9QBCC" hidden="1">BS-non Monitory-[28]TC!$D$7:$D$7</definedName>
    <definedName name="BExSDYLPZPHT3DM8YVYTOF0RV0QW" hidden="1">#N/A</definedName>
    <definedName name="BExSENBSVQ1M2E1RV8TVLN0MIXIG" localSheetId="18" hidden="1">TB BS Monetary [30]Item!$C$17:$F$761</definedName>
    <definedName name="BExSENBSVQ1M2E1RV8TVLN0MIXIG" localSheetId="16" hidden="1">TB BS Monetary [30]Item!$C$17:$F$761</definedName>
    <definedName name="BExSENBSVQ1M2E1RV8TVLN0MIXIG" localSheetId="21" hidden="1">TB BS Monetary [30]Item!$C$17:$F$761</definedName>
    <definedName name="BExSENBSVQ1M2E1RV8TVLN0MIXIG" localSheetId="19" hidden="1">TB BS Monetary [30]Item!$C$17:$F$761</definedName>
    <definedName name="BExSENBSVQ1M2E1RV8TVLN0MIXIG" localSheetId="17" hidden="1">TB BS Monetary [30]Item!$C$17:$F$761</definedName>
    <definedName name="BExSENBSVQ1M2E1RV8TVLN0MIXIG" hidden="1">TB BS Monetary [30]Item!$C$17:$F$761</definedName>
    <definedName name="BExSEQX9JSJUUICFSPJDQ2KPF8AA" localSheetId="18" hidden="1">BS-non Monitory-[28]TC!$C$17:$F$417</definedName>
    <definedName name="BExSEQX9JSJUUICFSPJDQ2KPF8AA" localSheetId="16" hidden="1">BS-non Monitory-[28]TC!$C$17:$F$417</definedName>
    <definedName name="BExSEQX9JSJUUICFSPJDQ2KPF8AA" localSheetId="21" hidden="1">BS-non Monitory-[28]TC!$C$17:$F$417</definedName>
    <definedName name="BExSEQX9JSJUUICFSPJDQ2KPF8AA" localSheetId="19" hidden="1">BS-non Monitory-[28]TC!$C$17:$F$417</definedName>
    <definedName name="BExSEQX9JSJUUICFSPJDQ2KPF8AA" localSheetId="17" hidden="1">BS-non Monitory-[28]TC!$C$17:$F$417</definedName>
    <definedName name="BExSEQX9JSJUUICFSPJDQ2KPF8AA" hidden="1">BS-non Monitory-[28]TC!$C$17:$F$417</definedName>
    <definedName name="BExSF0TBU7AXD6GO17GBKCRIAQ05" hidden="1">#N/A</definedName>
    <definedName name="BExSFNW3MLDNRLKDEZUJD5I43D1V" localSheetId="18" hidden="1">BS-non Monitory-[28]TC!$D$8:$D$8</definedName>
    <definedName name="BExSFNW3MLDNRLKDEZUJD5I43D1V" localSheetId="16" hidden="1">BS-non Monitory-[28]TC!$D$8:$D$8</definedName>
    <definedName name="BExSFNW3MLDNRLKDEZUJD5I43D1V" localSheetId="21" hidden="1">BS-non Monitory-[28]TC!$D$8:$D$8</definedName>
    <definedName name="BExSFNW3MLDNRLKDEZUJD5I43D1V" localSheetId="19" hidden="1">BS-non Monitory-[28]TC!$D$8:$D$8</definedName>
    <definedName name="BExSFNW3MLDNRLKDEZUJD5I43D1V" localSheetId="17" hidden="1">BS-non Monitory-[28]TC!$D$8:$D$8</definedName>
    <definedName name="BExSFNW3MLDNRLKDEZUJD5I43D1V" hidden="1">BS-non Monitory-[28]TC!$D$8:$D$8</definedName>
    <definedName name="BExSFYJ1QDXKH0L0ITCJ03BHS741" localSheetId="18" hidden="1">BS-Equity-[27]LC!$D$6:$D$6</definedName>
    <definedName name="BExSFYJ1QDXKH0L0ITCJ03BHS741" localSheetId="16" hidden="1">BS-Equity-[27]LC!$D$6:$D$6</definedName>
    <definedName name="BExSFYJ1QDXKH0L0ITCJ03BHS741" localSheetId="21" hidden="1">BS-Equity-[27]LC!$D$6:$D$6</definedName>
    <definedName name="BExSFYJ1QDXKH0L0ITCJ03BHS741" localSheetId="19" hidden="1">BS-Equity-[27]LC!$D$6:$D$6</definedName>
    <definedName name="BExSFYJ1QDXKH0L0ITCJ03BHS741" localSheetId="17" hidden="1">BS-Equity-[27]LC!$D$6:$D$6</definedName>
    <definedName name="BExSFYJ1QDXKH0L0ITCJ03BHS741" hidden="1">BS-Equity-[27]LC!$D$6:$D$6</definedName>
    <definedName name="BExSGAIMXNAZ5Y0ZOUQ31DFG1S27" hidden="1">#N/A</definedName>
    <definedName name="BExSGY714OVL16QYE077KFEQDOPJ" hidden="1">#N/A</definedName>
    <definedName name="BExSH833RH66ZWVNU84KNE1KQWPX" localSheetId="18" hidden="1">BS-non Monetary-[27]LC!$D$7:$D$7</definedName>
    <definedName name="BExSH833RH66ZWVNU84KNE1KQWPX" localSheetId="16" hidden="1">BS-non Monetary-[27]LC!$D$7:$D$7</definedName>
    <definedName name="BExSH833RH66ZWVNU84KNE1KQWPX" localSheetId="21" hidden="1">BS-non Monetary-[27]LC!$D$7:$D$7</definedName>
    <definedName name="BExSH833RH66ZWVNU84KNE1KQWPX" localSheetId="19" hidden="1">BS-non Monetary-[27]LC!$D$7:$D$7</definedName>
    <definedName name="BExSH833RH66ZWVNU84KNE1KQWPX" localSheetId="17" hidden="1">BS-non Monetary-[27]LC!$D$7:$D$7</definedName>
    <definedName name="BExSH833RH66ZWVNU84KNE1KQWPX" hidden="1">BS-non Monetary-[27]LC!$D$7:$D$7</definedName>
    <definedName name="BExSHDS4AJ9AUUL37XCWDI3O9A8H" hidden="1">#N/A</definedName>
    <definedName name="BExTUMFSHWTWBWK5QQUILZYA6B8I" hidden="1">#N/A</definedName>
    <definedName name="BExTVERAY3G1GCHWD6V65BPL3ZSM" localSheetId="18" hidden="1">BS-non Monetary-[28]TC!$D$6:$D$6</definedName>
    <definedName name="BExTVERAY3G1GCHWD6V65BPL3ZSM" localSheetId="16" hidden="1">BS-non Monetary-[28]TC!$D$6:$D$6</definedName>
    <definedName name="BExTVERAY3G1GCHWD6V65BPL3ZSM" localSheetId="21" hidden="1">BS-non Monetary-[28]TC!$D$6:$D$6</definedName>
    <definedName name="BExTVERAY3G1GCHWD6V65BPL3ZSM" localSheetId="19" hidden="1">BS-non Monetary-[28]TC!$D$6:$D$6</definedName>
    <definedName name="BExTVERAY3G1GCHWD6V65BPL3ZSM" localSheetId="17" hidden="1">BS-non Monetary-[28]TC!$D$6:$D$6</definedName>
    <definedName name="BExTVERAY3G1GCHWD6V65BPL3ZSM" hidden="1">BS-non Monetary-[28]TC!$D$6:$D$6</definedName>
    <definedName name="BExTVJ95PQGB39YZHY8B8V4T8SNJ" localSheetId="18" hidden="1">BS-Equity-[28]TC!$C$13:$D$14</definedName>
    <definedName name="BExTVJ95PQGB39YZHY8B8V4T8SNJ" localSheetId="16" hidden="1">BS-Equity-[28]TC!$C$13:$D$14</definedName>
    <definedName name="BExTVJ95PQGB39YZHY8B8V4T8SNJ" localSheetId="21" hidden="1">BS-Equity-[28]TC!$C$13:$D$14</definedName>
    <definedName name="BExTVJ95PQGB39YZHY8B8V4T8SNJ" localSheetId="19" hidden="1">BS-Equity-[28]TC!$C$13:$D$14</definedName>
    <definedName name="BExTVJ95PQGB39YZHY8B8V4T8SNJ" localSheetId="17" hidden="1">BS-Equity-[28]TC!$C$13:$D$14</definedName>
    <definedName name="BExTVJ95PQGB39YZHY8B8V4T8SNJ" hidden="1">BS-Equity-[28]TC!$C$13:$D$14</definedName>
    <definedName name="BExTVPJPD8KKYBFVCUK33CGXSSHN" localSheetId="18" hidden="1">BS-non Monetary-[28]TC!$D$6:$D$6</definedName>
    <definedName name="BExTVPJPD8KKYBFVCUK33CGXSSHN" localSheetId="16" hidden="1">BS-non Monetary-[28]TC!$D$6:$D$6</definedName>
    <definedName name="BExTVPJPD8KKYBFVCUK33CGXSSHN" localSheetId="21" hidden="1">BS-non Monetary-[28]TC!$D$6:$D$6</definedName>
    <definedName name="BExTVPJPD8KKYBFVCUK33CGXSSHN" localSheetId="19" hidden="1">BS-non Monetary-[28]TC!$D$6:$D$6</definedName>
    <definedName name="BExTVPJPD8KKYBFVCUK33CGXSSHN" localSheetId="17" hidden="1">BS-non Monetary-[28]TC!$D$6:$D$6</definedName>
    <definedName name="BExTVPJPD8KKYBFVCUK33CGXSSHN" hidden="1">BS-non Monetary-[28]TC!$D$6:$D$6</definedName>
    <definedName name="BExTWPIHMX3BDAOXLSG8SVPIQB2J" hidden="1">#N/A</definedName>
    <definedName name="BExTXGC21UTNJML1K5PW2W5HNBTZ" localSheetId="18" hidden="1">BS-non Monetary-[28]TC!$D$8:$D$8</definedName>
    <definedName name="BExTXGC21UTNJML1K5PW2W5HNBTZ" localSheetId="16" hidden="1">BS-non Monetary-[28]TC!$D$8:$D$8</definedName>
    <definedName name="BExTXGC21UTNJML1K5PW2W5HNBTZ" localSheetId="21" hidden="1">BS-non Monetary-[28]TC!$D$8:$D$8</definedName>
    <definedName name="BExTXGC21UTNJML1K5PW2W5HNBTZ" localSheetId="19" hidden="1">BS-non Monetary-[28]TC!$D$8:$D$8</definedName>
    <definedName name="BExTXGC21UTNJML1K5PW2W5HNBTZ" localSheetId="17" hidden="1">BS-non Monetary-[28]TC!$D$8:$D$8</definedName>
    <definedName name="BExTXGC21UTNJML1K5PW2W5HNBTZ" hidden="1">BS-non Monetary-[28]TC!$D$8:$D$8</definedName>
    <definedName name="BExTXQ2TCZTPGPG4ZTZMLX1PHBC1" localSheetId="18" hidden="1">BS-[29]Monetary!$D$6:$D$6</definedName>
    <definedName name="BExTXQ2TCZTPGPG4ZTZMLX1PHBC1" localSheetId="16" hidden="1">BS-[29]Monetary!$D$6:$D$6</definedName>
    <definedName name="BExTXQ2TCZTPGPG4ZTZMLX1PHBC1" localSheetId="21" hidden="1">BS-[29]Monetary!$D$6:$D$6</definedName>
    <definedName name="BExTXQ2TCZTPGPG4ZTZMLX1PHBC1" localSheetId="19" hidden="1">BS-[29]Monetary!$D$6:$D$6</definedName>
    <definedName name="BExTXQ2TCZTPGPG4ZTZMLX1PHBC1" localSheetId="17" hidden="1">BS-[29]Monetary!$D$6:$D$6</definedName>
    <definedName name="BExTXQ2TCZTPGPG4ZTZMLX1PHBC1" hidden="1">BS-[29]Monetary!$D$6:$D$6</definedName>
    <definedName name="BExTY5IFO2O8JNB3VNV5LZJPC6DF" localSheetId="18" hidden="1">BS-[29]Monetary!$C$17:$I$208</definedName>
    <definedName name="BExTY5IFO2O8JNB3VNV5LZJPC6DF" localSheetId="16" hidden="1">BS-[29]Monetary!$C$17:$I$208</definedName>
    <definedName name="BExTY5IFO2O8JNB3VNV5LZJPC6DF" localSheetId="21" hidden="1">BS-[29]Monetary!$C$17:$I$208</definedName>
    <definedName name="BExTY5IFO2O8JNB3VNV5LZJPC6DF" localSheetId="19" hidden="1">BS-[29]Monetary!$C$17:$I$208</definedName>
    <definedName name="BExTY5IFO2O8JNB3VNV5LZJPC6DF" localSheetId="17" hidden="1">BS-[29]Monetary!$C$17:$I$208</definedName>
    <definedName name="BExTY5IFO2O8JNB3VNV5LZJPC6DF" hidden="1">BS-[29]Monetary!$C$17:$I$208</definedName>
    <definedName name="BExTY5NWC0E7X6RIUKYE4G1YP93R" localSheetId="18" hidden="1">BS-non Monetary-[28]TC!$D$6:$D$6</definedName>
    <definedName name="BExTY5NWC0E7X6RIUKYE4G1YP93R" localSheetId="16" hidden="1">BS-non Monetary-[28]TC!$D$6:$D$6</definedName>
    <definedName name="BExTY5NWC0E7X6RIUKYE4G1YP93R" localSheetId="21" hidden="1">BS-non Monetary-[28]TC!$D$6:$D$6</definedName>
    <definedName name="BExTY5NWC0E7X6RIUKYE4G1YP93R" localSheetId="19" hidden="1">BS-non Monetary-[28]TC!$D$6:$D$6</definedName>
    <definedName name="BExTY5NWC0E7X6RIUKYE4G1YP93R" localSheetId="17" hidden="1">BS-non Monetary-[28]TC!$D$6:$D$6</definedName>
    <definedName name="BExTY5NWC0E7X6RIUKYE4G1YP93R" hidden="1">BS-non Monetary-[28]TC!$D$6:$D$6</definedName>
    <definedName name="BExTZ97YCXH5EGMCYKP3OKJ943Q2" localSheetId="18" hidden="1">TB BS non Monetary [28]TC!$D$7:$D$7</definedName>
    <definedName name="BExTZ97YCXH5EGMCYKP3OKJ943Q2" localSheetId="16" hidden="1">TB BS non Monetary [28]TC!$D$7:$D$7</definedName>
    <definedName name="BExTZ97YCXH5EGMCYKP3OKJ943Q2" localSheetId="21" hidden="1">TB BS non Monetary [28]TC!$D$7:$D$7</definedName>
    <definedName name="BExTZ97YCXH5EGMCYKP3OKJ943Q2" localSheetId="19" hidden="1">TB BS non Monetary [28]TC!$D$7:$D$7</definedName>
    <definedName name="BExTZ97YCXH5EGMCYKP3OKJ943Q2" localSheetId="17" hidden="1">TB BS non Monetary [28]TC!$D$7:$D$7</definedName>
    <definedName name="BExTZ97YCXH5EGMCYKP3OKJ943Q2" hidden="1">TB BS non Monetary [28]TC!$D$7:$D$7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18PKMJ0ZVNRUFXGCDQQH41N" localSheetId="18" hidden="1">BS Equity [30]Item!$D$7:$D$7</definedName>
    <definedName name="BExU018PKMJ0ZVNRUFXGCDQQH41N" localSheetId="16" hidden="1">BS Equity [30]Item!$D$7:$D$7</definedName>
    <definedName name="BExU018PKMJ0ZVNRUFXGCDQQH41N" localSheetId="21" hidden="1">BS Equity [30]Item!$D$7:$D$7</definedName>
    <definedName name="BExU018PKMJ0ZVNRUFXGCDQQH41N" localSheetId="19" hidden="1">BS Equity [30]Item!$D$7:$D$7</definedName>
    <definedName name="BExU018PKMJ0ZVNRUFXGCDQQH41N" localSheetId="17" hidden="1">BS Equity [30]Item!$D$7:$D$7</definedName>
    <definedName name="BExU018PKMJ0ZVNRUFXGCDQQH41N" hidden="1">BS Equity [30]Item!$D$7:$D$7</definedName>
    <definedName name="BExU0IMI0UFK98Q441PLJG5CX0I9" hidden="1">#N/A</definedName>
    <definedName name="BExU0L0TQ32RNXLW32U7QN4HRTV6" localSheetId="18" hidden="1">BS-[29]Monetary!$C$13:$D$14</definedName>
    <definedName name="BExU0L0TQ32RNXLW32U7QN4HRTV6" localSheetId="16" hidden="1">BS-[29]Monetary!$C$13:$D$14</definedName>
    <definedName name="BExU0L0TQ32RNXLW32U7QN4HRTV6" localSheetId="21" hidden="1">BS-[29]Monetary!$C$13:$D$14</definedName>
    <definedName name="BExU0L0TQ32RNXLW32U7QN4HRTV6" localSheetId="19" hidden="1">BS-[29]Monetary!$C$13:$D$14</definedName>
    <definedName name="BExU0L0TQ32RNXLW32U7QN4HRTV6" localSheetId="17" hidden="1">BS-[29]Monetary!$C$13:$D$14</definedName>
    <definedName name="BExU0L0TQ32RNXLW32U7QN4HRTV6" hidden="1">BS-[29]Monetary!$C$13:$D$14</definedName>
    <definedName name="BExU0TEYMXM370MY9GAU071DDOY8" localSheetId="18" hidden="1">BS-non Monitory-[28]TC!$C$17:$F$417</definedName>
    <definedName name="BExU0TEYMXM370MY9GAU071DDOY8" localSheetId="16" hidden="1">BS-non Monitory-[28]TC!$C$17:$F$417</definedName>
    <definedName name="BExU0TEYMXM370MY9GAU071DDOY8" localSheetId="21" hidden="1">BS-non Monitory-[28]TC!$C$17:$F$417</definedName>
    <definedName name="BExU0TEYMXM370MY9GAU071DDOY8" localSheetId="19" hidden="1">BS-non Monitory-[28]TC!$C$17:$F$417</definedName>
    <definedName name="BExU0TEYMXM370MY9GAU071DDOY8" localSheetId="17" hidden="1">BS-non Monitory-[28]TC!$C$17:$F$417</definedName>
    <definedName name="BExU0TEYMXM370MY9GAU071DDOY8" hidden="1">BS-non Monitory-[28]TC!$C$17:$F$417</definedName>
    <definedName name="BExU0Z3YJ5TPCGJDCJIKACBL0P5L" localSheetId="18" hidden="1">BS-Equity-[27]LC!$D$8:$D$8</definedName>
    <definedName name="BExU0Z3YJ5TPCGJDCJIKACBL0P5L" localSheetId="16" hidden="1">BS-Equity-[27]LC!$D$8:$D$8</definedName>
    <definedName name="BExU0Z3YJ5TPCGJDCJIKACBL0P5L" localSheetId="21" hidden="1">BS-Equity-[27]LC!$D$8:$D$8</definedName>
    <definedName name="BExU0Z3YJ5TPCGJDCJIKACBL0P5L" localSheetId="19" hidden="1">BS-Equity-[27]LC!$D$8:$D$8</definedName>
    <definedName name="BExU0Z3YJ5TPCGJDCJIKACBL0P5L" localSheetId="17" hidden="1">BS-Equity-[27]LC!$D$8:$D$8</definedName>
    <definedName name="BExU0Z3YJ5TPCGJDCJIKACBL0P5L" hidden="1">BS-Equity-[27]LC!$D$8:$D$8</definedName>
    <definedName name="BExU153PYYYZB6JPLOT7TVMVSERI" localSheetId="18" hidden="1">BS-non Monetary-[27]LC!$C$13:$D$14</definedName>
    <definedName name="BExU153PYYYZB6JPLOT7TVMVSERI" localSheetId="16" hidden="1">BS-non Monetary-[27]LC!$C$13:$D$14</definedName>
    <definedName name="BExU153PYYYZB6JPLOT7TVMVSERI" localSheetId="21" hidden="1">BS-non Monetary-[27]LC!$C$13:$D$14</definedName>
    <definedName name="BExU153PYYYZB6JPLOT7TVMVSERI" localSheetId="19" hidden="1">BS-non Monetary-[27]LC!$C$13:$D$14</definedName>
    <definedName name="BExU153PYYYZB6JPLOT7TVMVSERI" localSheetId="17" hidden="1">BS-non Monetary-[27]LC!$C$13:$D$14</definedName>
    <definedName name="BExU153PYYYZB6JPLOT7TVMVSERI" hidden="1">BS-non Monetary-[27]LC!$C$13:$D$14</definedName>
    <definedName name="BExU1F54H8ZIDTMXJIP60MTNANIT" localSheetId="18" hidden="1">TB BS Monetary [30]Item!$C$17:$F$705</definedName>
    <definedName name="BExU1F54H8ZIDTMXJIP60MTNANIT" localSheetId="16" hidden="1">TB BS Monetary [30]Item!$C$17:$F$705</definedName>
    <definedName name="BExU1F54H8ZIDTMXJIP60MTNANIT" localSheetId="21" hidden="1">TB BS Monetary [30]Item!$C$17:$F$705</definedName>
    <definedName name="BExU1F54H8ZIDTMXJIP60MTNANIT" localSheetId="19" hidden="1">TB BS Monetary [30]Item!$C$17:$F$705</definedName>
    <definedName name="BExU1F54H8ZIDTMXJIP60MTNANIT" localSheetId="17" hidden="1">TB BS Monetary [30]Item!$C$17:$F$705</definedName>
    <definedName name="BExU1F54H8ZIDTMXJIP60MTNANIT" hidden="1">TB BS Monetary [30]Item!$C$17:$F$705</definedName>
    <definedName name="BExU1IQL666K82YWROP4IWEX9IW2" localSheetId="18" hidden="1">Trial [32]Balance!$C$17:$K$707</definedName>
    <definedName name="BExU1IQL666K82YWROP4IWEX9IW2" localSheetId="16" hidden="1">Trial [32]Balance!$C$17:$K$707</definedName>
    <definedName name="BExU1IQL666K82YWROP4IWEX9IW2" localSheetId="21" hidden="1">Trial [32]Balance!$C$17:$K$707</definedName>
    <definedName name="BExU1IQL666K82YWROP4IWEX9IW2" localSheetId="19" hidden="1">Trial [32]Balance!$C$17:$K$707</definedName>
    <definedName name="BExU1IQL666K82YWROP4IWEX9IW2" localSheetId="17" hidden="1">Trial [32]Balance!$C$17:$K$707</definedName>
    <definedName name="BExU1IQL666K82YWROP4IWEX9IW2" hidden="1">Trial [32]Balance!$C$17:$K$707</definedName>
    <definedName name="BExU27RGBSV2J3PK6XFIAFFYQ34K" localSheetId="18" hidden="1">BS-[29]Monetary!$D$6:$D$6</definedName>
    <definedName name="BExU27RGBSV2J3PK6XFIAFFYQ34K" localSheetId="16" hidden="1">BS-[29]Monetary!$D$6:$D$6</definedName>
    <definedName name="BExU27RGBSV2J3PK6XFIAFFYQ34K" localSheetId="21" hidden="1">BS-[29]Monetary!$D$6:$D$6</definedName>
    <definedName name="BExU27RGBSV2J3PK6XFIAFFYQ34K" localSheetId="19" hidden="1">BS-[29]Monetary!$D$6:$D$6</definedName>
    <definedName name="BExU27RGBSV2J3PK6XFIAFFYQ34K" localSheetId="17" hidden="1">BS-[29]Monetary!$D$6:$D$6</definedName>
    <definedName name="BExU27RGBSV2J3PK6XFIAFFYQ34K" hidden="1">BS-[29]Monetary!$D$6:$D$6</definedName>
    <definedName name="BExU2ARC5RDX7VIEQHKXHQ40HNC8" hidden="1">#N/A</definedName>
    <definedName name="BExU2C9AM5MZ3ESAUI90OGXKTWBR" localSheetId="18" hidden="1">BS-[29]Monetary!$C$17:$S$189</definedName>
    <definedName name="BExU2C9AM5MZ3ESAUI90OGXKTWBR" localSheetId="16" hidden="1">BS-[29]Monetary!$C$17:$S$189</definedName>
    <definedName name="BExU2C9AM5MZ3ESAUI90OGXKTWBR" localSheetId="21" hidden="1">BS-[29]Monetary!$C$17:$S$189</definedName>
    <definedName name="BExU2C9AM5MZ3ESAUI90OGXKTWBR" localSheetId="19" hidden="1">BS-[29]Monetary!$C$17:$S$189</definedName>
    <definedName name="BExU2C9AM5MZ3ESAUI90OGXKTWBR" localSheetId="17" hidden="1">BS-[29]Monetary!$C$17:$S$189</definedName>
    <definedName name="BExU2C9AM5MZ3ESAUI90OGXKTWBR" hidden="1">BS-[29]Monetary!$C$17:$S$189</definedName>
    <definedName name="BExU2YQGY17B3YDT901PMGKU9KXS" localSheetId="18" hidden="1">BS Equity [30]Item!$C$13:$D$21</definedName>
    <definedName name="BExU2YQGY17B3YDT901PMGKU9KXS" localSheetId="16" hidden="1">BS Equity [30]Item!$C$13:$D$21</definedName>
    <definedName name="BExU2YQGY17B3YDT901PMGKU9KXS" localSheetId="21" hidden="1">BS Equity [30]Item!$C$13:$D$21</definedName>
    <definedName name="BExU2YQGY17B3YDT901PMGKU9KXS" localSheetId="19" hidden="1">BS Equity [30]Item!$C$13:$D$21</definedName>
    <definedName name="BExU2YQGY17B3YDT901PMGKU9KXS" localSheetId="17" hidden="1">BS Equity [30]Item!$C$13:$D$21</definedName>
    <definedName name="BExU2YQGY17B3YDT901PMGKU9KXS" hidden="1">BS Equity [30]Item!$C$13:$D$21</definedName>
    <definedName name="BExU3LTC5R0KKNOB2L7Z2MNJZQP8" localSheetId="18" hidden="1">Trial [32]Balance!$C$17:$N$710</definedName>
    <definedName name="BExU3LTC5R0KKNOB2L7Z2MNJZQP8" localSheetId="16" hidden="1">Trial [32]Balance!$C$17:$N$710</definedName>
    <definedName name="BExU3LTC5R0KKNOB2L7Z2MNJZQP8" localSheetId="21" hidden="1">Trial [32]Balance!$C$17:$N$710</definedName>
    <definedName name="BExU3LTC5R0KKNOB2L7Z2MNJZQP8" localSheetId="19" hidden="1">Trial [32]Balance!$C$17:$N$710</definedName>
    <definedName name="BExU3LTC5R0KKNOB2L7Z2MNJZQP8" localSheetId="17" hidden="1">Trial [32]Balance!$C$17:$N$710</definedName>
    <definedName name="BExU3LTC5R0KKNOB2L7Z2MNJZQP8" hidden="1">Trial [32]Balance!$C$17:$N$710</definedName>
    <definedName name="BExU3WWJ3OJ88BIJCDTHGKEDX5R8" localSheetId="18" hidden="1">BS-[29]Monetary!$C$17:$I$189</definedName>
    <definedName name="BExU3WWJ3OJ88BIJCDTHGKEDX5R8" localSheetId="16" hidden="1">BS-[29]Monetary!$C$17:$I$189</definedName>
    <definedName name="BExU3WWJ3OJ88BIJCDTHGKEDX5R8" localSheetId="21" hidden="1">BS-[29]Monetary!$C$17:$I$189</definedName>
    <definedName name="BExU3WWJ3OJ88BIJCDTHGKEDX5R8" localSheetId="19" hidden="1">BS-[29]Monetary!$C$17:$I$189</definedName>
    <definedName name="BExU3WWJ3OJ88BIJCDTHGKEDX5R8" localSheetId="17" hidden="1">BS-[29]Monetary!$C$17:$I$189</definedName>
    <definedName name="BExU3WWJ3OJ88BIJCDTHGKEDX5R8" hidden="1">BS-[29]Monetary!$C$17:$I$189</definedName>
    <definedName name="BExU4CS7EU9KGK36IZVQGD4NCVBA" hidden="1">#N/A</definedName>
    <definedName name="BExU4I13MLRF8QR4L3QPRS1OF4H0" localSheetId="18" hidden="1">BS-Equity-[27]LC!$C$13:$D$15</definedName>
    <definedName name="BExU4I13MLRF8QR4L3QPRS1OF4H0" localSheetId="16" hidden="1">BS-Equity-[27]LC!$C$13:$D$15</definedName>
    <definedName name="BExU4I13MLRF8QR4L3QPRS1OF4H0" localSheetId="21" hidden="1">BS-Equity-[27]LC!$C$13:$D$15</definedName>
    <definedName name="BExU4I13MLRF8QR4L3QPRS1OF4H0" localSheetId="19" hidden="1">BS-Equity-[27]LC!$C$13:$D$15</definedName>
    <definedName name="BExU4I13MLRF8QR4L3QPRS1OF4H0" localSheetId="17" hidden="1">BS-Equity-[27]LC!$C$13:$D$15</definedName>
    <definedName name="BExU4I13MLRF8QR4L3QPRS1OF4H0" hidden="1">BS-Equity-[27]LC!$C$13:$D$15</definedName>
    <definedName name="BExU4JZB88DUV0VQ0BBEWHQN869X" localSheetId="18" hidden="1">BS-non Monetary-[28]TC!$D$7:$D$7</definedName>
    <definedName name="BExU4JZB88DUV0VQ0BBEWHQN869X" localSheetId="16" hidden="1">BS-non Monetary-[28]TC!$D$7:$D$7</definedName>
    <definedName name="BExU4JZB88DUV0VQ0BBEWHQN869X" localSheetId="21" hidden="1">BS-non Monetary-[28]TC!$D$7:$D$7</definedName>
    <definedName name="BExU4JZB88DUV0VQ0BBEWHQN869X" localSheetId="19" hidden="1">BS-non Monetary-[28]TC!$D$7:$D$7</definedName>
    <definedName name="BExU4JZB88DUV0VQ0BBEWHQN869X" localSheetId="17" hidden="1">BS-non Monetary-[28]TC!$D$7:$D$7</definedName>
    <definedName name="BExU4JZB88DUV0VQ0BBEWHQN869X" hidden="1">BS-non Monetary-[28]TC!$D$7:$D$7</definedName>
    <definedName name="BExU4RH21Q4FU86OVQQ7UM69VS30" localSheetId="18" hidden="1">BS-non Monetary-[28]TC!$D$6:$D$6</definedName>
    <definedName name="BExU4RH21Q4FU86OVQQ7UM69VS30" localSheetId="16" hidden="1">BS-non Monetary-[28]TC!$D$6:$D$6</definedName>
    <definedName name="BExU4RH21Q4FU86OVQQ7UM69VS30" localSheetId="21" hidden="1">BS-non Monetary-[28]TC!$D$6:$D$6</definedName>
    <definedName name="BExU4RH21Q4FU86OVQQ7UM69VS30" localSheetId="19" hidden="1">BS-non Monetary-[28]TC!$D$6:$D$6</definedName>
    <definedName name="BExU4RH21Q4FU86OVQQ7UM69VS30" localSheetId="17" hidden="1">BS-non Monetary-[28]TC!$D$6:$D$6</definedName>
    <definedName name="BExU4RH21Q4FU86OVQQ7UM69VS30" hidden="1">BS-non Monetary-[28]TC!$D$6:$D$6</definedName>
    <definedName name="BExU5HEBQABXKO62ZNTQ8V3S25KR" hidden="1">#N/A</definedName>
    <definedName name="BExU5J715ZUAK3PWFBX889DSDCIP" localSheetId="18" hidden="1">BS-non Monetary-[27]LC!$C$17:$G$504</definedName>
    <definedName name="BExU5J715ZUAK3PWFBX889DSDCIP" localSheetId="16" hidden="1">BS-non Monetary-[27]LC!$C$17:$G$504</definedName>
    <definedName name="BExU5J715ZUAK3PWFBX889DSDCIP" localSheetId="21" hidden="1">BS-non Monetary-[27]LC!$C$17:$G$504</definedName>
    <definedName name="BExU5J715ZUAK3PWFBX889DSDCIP" localSheetId="19" hidden="1">BS-non Monetary-[27]LC!$C$17:$G$504</definedName>
    <definedName name="BExU5J715ZUAK3PWFBX889DSDCIP" localSheetId="17" hidden="1">BS-non Monetary-[27]LC!$C$17:$G$504</definedName>
    <definedName name="BExU5J715ZUAK3PWFBX889DSDCIP" hidden="1">BS-non Monetary-[27]LC!$C$17:$G$504</definedName>
    <definedName name="BExU5OAGTVLC00XP6TAM7X9VCJI7" localSheetId="18" hidden="1">BS-non Monetary-[28]TC!$D$7:$D$7</definedName>
    <definedName name="BExU5OAGTVLC00XP6TAM7X9VCJI7" localSheetId="16" hidden="1">BS-non Monetary-[28]TC!$D$7:$D$7</definedName>
    <definedName name="BExU5OAGTVLC00XP6TAM7X9VCJI7" localSheetId="21" hidden="1">BS-non Monetary-[28]TC!$D$7:$D$7</definedName>
    <definedName name="BExU5OAGTVLC00XP6TAM7X9VCJI7" localSheetId="19" hidden="1">BS-non Monetary-[28]TC!$D$7:$D$7</definedName>
    <definedName name="BExU5OAGTVLC00XP6TAM7X9VCJI7" localSheetId="17" hidden="1">BS-non Monetary-[28]TC!$D$7:$D$7</definedName>
    <definedName name="BExU5OAGTVLC00XP6TAM7X9VCJI7" hidden="1">BS-non Monetary-[28]TC!$D$7:$D$7</definedName>
    <definedName name="BExU622T1E20ULZ2FMIZARLXX5RW" localSheetId="18" hidden="1">BS-[34]Monitory!$D$8:$D$8</definedName>
    <definedName name="BExU622T1E20ULZ2FMIZARLXX5RW" localSheetId="16" hidden="1">BS-[34]Monitory!$D$8:$D$8</definedName>
    <definedName name="BExU622T1E20ULZ2FMIZARLXX5RW" localSheetId="21" hidden="1">BS-[34]Monitory!$D$8:$D$8</definedName>
    <definedName name="BExU622T1E20ULZ2FMIZARLXX5RW" localSheetId="19" hidden="1">BS-[34]Monitory!$D$8:$D$8</definedName>
    <definedName name="BExU622T1E20ULZ2FMIZARLXX5RW" localSheetId="17" hidden="1">BS-[34]Monitory!$D$8:$D$8</definedName>
    <definedName name="BExU622T1E20ULZ2FMIZARLXX5RW" hidden="1">BS-[34]Monitory!$D$8:$D$8</definedName>
    <definedName name="BExU69KINCSW6ABQ5QJQB2P5L0RE" hidden="1">#N/A</definedName>
    <definedName name="BExU6ARNQG8EC8R4S0RJV66166T6" hidden="1">#N/A</definedName>
    <definedName name="BExU71LAKNM8J3V6IU8C6C07TZM6" localSheetId="18" hidden="1">BS-non Monetary-[27]LC!$C$13:$D$14</definedName>
    <definedName name="BExU71LAKNM8J3V6IU8C6C07TZM6" localSheetId="16" hidden="1">BS-non Monetary-[27]LC!$C$13:$D$14</definedName>
    <definedName name="BExU71LAKNM8J3V6IU8C6C07TZM6" localSheetId="21" hidden="1">BS-non Monetary-[27]LC!$C$13:$D$14</definedName>
    <definedName name="BExU71LAKNM8J3V6IU8C6C07TZM6" localSheetId="19" hidden="1">BS-non Monetary-[27]LC!$C$13:$D$14</definedName>
    <definedName name="BExU71LAKNM8J3V6IU8C6C07TZM6" localSheetId="17" hidden="1">BS-non Monetary-[27]LC!$C$13:$D$14</definedName>
    <definedName name="BExU71LAKNM8J3V6IU8C6C07TZM6" hidden="1">BS-non Monetary-[27]LC!$C$13:$D$14</definedName>
    <definedName name="BExU71W1Y9J8XB9XD7YN3N0B19EU" localSheetId="18" hidden="1">BS-[29]Monetary!$C$17:$W$189</definedName>
    <definedName name="BExU71W1Y9J8XB9XD7YN3N0B19EU" localSheetId="16" hidden="1">BS-[29]Monetary!$C$17:$W$189</definedName>
    <definedName name="BExU71W1Y9J8XB9XD7YN3N0B19EU" localSheetId="21" hidden="1">BS-[29]Monetary!$C$17:$W$189</definedName>
    <definedName name="BExU71W1Y9J8XB9XD7YN3N0B19EU" localSheetId="19" hidden="1">BS-[29]Monetary!$C$17:$W$189</definedName>
    <definedName name="BExU71W1Y9J8XB9XD7YN3N0B19EU" localSheetId="17" hidden="1">BS-[29]Monetary!$C$17:$W$189</definedName>
    <definedName name="BExU71W1Y9J8XB9XD7YN3N0B19EU" hidden="1">BS-[29]Monetary!$C$17:$W$189</definedName>
    <definedName name="BExU7K0RA256R6VIR1RMI554YDD3" localSheetId="18" hidden="1">BS-[29]Monetary!$C$13:$D$14</definedName>
    <definedName name="BExU7K0RA256R6VIR1RMI554YDD3" localSheetId="16" hidden="1">BS-[29]Monetary!$C$13:$D$14</definedName>
    <definedName name="BExU7K0RA256R6VIR1RMI554YDD3" localSheetId="21" hidden="1">BS-[29]Monetary!$C$13:$D$14</definedName>
    <definedName name="BExU7K0RA256R6VIR1RMI554YDD3" localSheetId="19" hidden="1">BS-[29]Monetary!$C$13:$D$14</definedName>
    <definedName name="BExU7K0RA256R6VIR1RMI554YDD3" localSheetId="17" hidden="1">BS-[29]Monetary!$C$13:$D$14</definedName>
    <definedName name="BExU7K0RA256R6VIR1RMI554YDD3" hidden="1">BS-[29]Monetary!$C$13:$D$14</definedName>
    <definedName name="BExU7U7LRIVJ9XQH3NIWY0JMAIZ8" localSheetId="18" hidden="1">BS-non Monetary-[27]LC!$D$8:$D$8</definedName>
    <definedName name="BExU7U7LRIVJ9XQH3NIWY0JMAIZ8" localSheetId="16" hidden="1">BS-non Monetary-[27]LC!$D$8:$D$8</definedName>
    <definedName name="BExU7U7LRIVJ9XQH3NIWY0JMAIZ8" localSheetId="21" hidden="1">BS-non Monetary-[27]LC!$D$8:$D$8</definedName>
    <definedName name="BExU7U7LRIVJ9XQH3NIWY0JMAIZ8" localSheetId="19" hidden="1">BS-non Monetary-[27]LC!$D$8:$D$8</definedName>
    <definedName name="BExU7U7LRIVJ9XQH3NIWY0JMAIZ8" localSheetId="17" hidden="1">BS-non Monetary-[27]LC!$D$8:$D$8</definedName>
    <definedName name="BExU7U7LRIVJ9XQH3NIWY0JMAIZ8" hidden="1">BS-non Monetary-[27]LC!$D$8:$D$8</definedName>
    <definedName name="BExU7XT1Z5VSJU0HK7H7D6CSWF0O" hidden="1">#N/A</definedName>
    <definedName name="BExU89CDPGGBNBNDEOXNJT77ONLB" localSheetId="18" hidden="1">BS-[29]Monetary!$C$13:$D$14</definedName>
    <definedName name="BExU89CDPGGBNBNDEOXNJT77ONLB" localSheetId="16" hidden="1">BS-[29]Monetary!$C$13:$D$14</definedName>
    <definedName name="BExU89CDPGGBNBNDEOXNJT77ONLB" localSheetId="21" hidden="1">BS-[29]Monetary!$C$13:$D$14</definedName>
    <definedName name="BExU89CDPGGBNBNDEOXNJT77ONLB" localSheetId="19" hidden="1">BS-[29]Monetary!$C$13:$D$14</definedName>
    <definedName name="BExU89CDPGGBNBNDEOXNJT77ONLB" localSheetId="17" hidden="1">BS-[29]Monetary!$C$13:$D$14</definedName>
    <definedName name="BExU89CDPGGBNBNDEOXNJT77ONLB" hidden="1">BS-[29]Monetary!$C$13:$D$14</definedName>
    <definedName name="BExU8DE5H651E3BRQ3DEGUMVDEBH" hidden="1">#N/A</definedName>
    <definedName name="BExU8QVNNHH4WH4DSQUCLPWA3DF1" hidden="1">#N/A</definedName>
    <definedName name="BExU8YIQ8UAQBGO0QYQ5XY74RKI5" localSheetId="18" hidden="1">BS-[29]Monetary!$D$7:$D$7</definedName>
    <definedName name="BExU8YIQ8UAQBGO0QYQ5XY74RKI5" localSheetId="16" hidden="1">BS-[29]Monetary!$D$7:$D$7</definedName>
    <definedName name="BExU8YIQ8UAQBGO0QYQ5XY74RKI5" localSheetId="21" hidden="1">BS-[29]Monetary!$D$7:$D$7</definedName>
    <definedName name="BExU8YIQ8UAQBGO0QYQ5XY74RKI5" localSheetId="19" hidden="1">BS-[29]Monetary!$D$7:$D$7</definedName>
    <definedName name="BExU8YIQ8UAQBGO0QYQ5XY74RKI5" localSheetId="17" hidden="1">BS-[29]Monetary!$D$7:$D$7</definedName>
    <definedName name="BExU8YIQ8UAQBGO0QYQ5XY74RKI5" hidden="1">BS-[29]Monetary!$D$7:$D$7</definedName>
    <definedName name="BExU8Z49ZOW1MKK0LUNJFOEP5PDT" localSheetId="18" hidden="1">BS-non Monetary-[28]TC!$C$17:$AU$736</definedName>
    <definedName name="BExU8Z49ZOW1MKK0LUNJFOEP5PDT" localSheetId="16" hidden="1">BS-non Monetary-[28]TC!$C$17:$AU$736</definedName>
    <definedName name="BExU8Z49ZOW1MKK0LUNJFOEP5PDT" localSheetId="21" hidden="1">BS-non Monetary-[28]TC!$C$17:$AU$736</definedName>
    <definedName name="BExU8Z49ZOW1MKK0LUNJFOEP5PDT" localSheetId="19" hidden="1">BS-non Monetary-[28]TC!$C$17:$AU$736</definedName>
    <definedName name="BExU8Z49ZOW1MKK0LUNJFOEP5PDT" localSheetId="17" hidden="1">BS-non Monetary-[28]TC!$C$17:$AU$736</definedName>
    <definedName name="BExU8Z49ZOW1MKK0LUNJFOEP5PDT" hidden="1">BS-non Monetary-[28]TC!$C$17:$AU$736</definedName>
    <definedName name="BExU92KH4C2H9WRJA0I5O8ZL88WE" localSheetId="18" hidden="1">BS-non Monetary-[27]LC!$D$8:$D$8</definedName>
    <definedName name="BExU92KH4C2H9WRJA0I5O8ZL88WE" localSheetId="16" hidden="1">BS-non Monetary-[27]LC!$D$8:$D$8</definedName>
    <definedName name="BExU92KH4C2H9WRJA0I5O8ZL88WE" localSheetId="21" hidden="1">BS-non Monetary-[27]LC!$D$8:$D$8</definedName>
    <definedName name="BExU92KH4C2H9WRJA0I5O8ZL88WE" localSheetId="19" hidden="1">BS-non Monetary-[27]LC!$D$8:$D$8</definedName>
    <definedName name="BExU92KH4C2H9WRJA0I5O8ZL88WE" localSheetId="17" hidden="1">BS-non Monetary-[27]LC!$D$8:$D$8</definedName>
    <definedName name="BExU92KH4C2H9WRJA0I5O8ZL88WE" hidden="1">BS-non Monetary-[27]LC!$D$8:$D$8</definedName>
    <definedName name="BExU959KKU8PZJB0OZ8DNWCA608S" localSheetId="18" hidden="1">BS-non Monetary-[28]TC!$D$8:$D$8</definedName>
    <definedName name="BExU959KKU8PZJB0OZ8DNWCA608S" localSheetId="16" hidden="1">BS-non Monetary-[28]TC!$D$8:$D$8</definedName>
    <definedName name="BExU959KKU8PZJB0OZ8DNWCA608S" localSheetId="21" hidden="1">BS-non Monetary-[28]TC!$D$8:$D$8</definedName>
    <definedName name="BExU959KKU8PZJB0OZ8DNWCA608S" localSheetId="19" hidden="1">BS-non Monetary-[28]TC!$D$8:$D$8</definedName>
    <definedName name="BExU959KKU8PZJB0OZ8DNWCA608S" localSheetId="17" hidden="1">BS-non Monetary-[28]TC!$D$8:$D$8</definedName>
    <definedName name="BExU959KKU8PZJB0OZ8DNWCA608S" hidden="1">BS-non Monetary-[28]TC!$D$8:$D$8</definedName>
    <definedName name="BExU9FLRCIOXIB6M6PQ7EBZ7WAJN" localSheetId="18" hidden="1">BS-non Monetary-[28]TC!$D$8:$D$8</definedName>
    <definedName name="BExU9FLRCIOXIB6M6PQ7EBZ7WAJN" localSheetId="16" hidden="1">BS-non Monetary-[28]TC!$D$8:$D$8</definedName>
    <definedName name="BExU9FLRCIOXIB6M6PQ7EBZ7WAJN" localSheetId="21" hidden="1">BS-non Monetary-[28]TC!$D$8:$D$8</definedName>
    <definedName name="BExU9FLRCIOXIB6M6PQ7EBZ7WAJN" localSheetId="19" hidden="1">BS-non Monetary-[28]TC!$D$8:$D$8</definedName>
    <definedName name="BExU9FLRCIOXIB6M6PQ7EBZ7WAJN" localSheetId="17" hidden="1">BS-non Monetary-[28]TC!$D$8:$D$8</definedName>
    <definedName name="BExU9FLRCIOXIB6M6PQ7EBZ7WAJN" hidden="1">BS-non Monetary-[28]TC!$D$8:$D$8</definedName>
    <definedName name="BExU9HEHMB9UYHVZ3GEN0046NEP8" hidden="1">#N/A</definedName>
    <definedName name="BExUA34NB2WEXEC9MFIEET98CHPH" localSheetId="18" hidden="1">BS-non Monetary-[27]LC!$C$13:$D$14</definedName>
    <definedName name="BExUA34NB2WEXEC9MFIEET98CHPH" localSheetId="16" hidden="1">BS-non Monetary-[27]LC!$C$13:$D$14</definedName>
    <definedName name="BExUA34NB2WEXEC9MFIEET98CHPH" localSheetId="21" hidden="1">BS-non Monetary-[27]LC!$C$13:$D$14</definedName>
    <definedName name="BExUA34NB2WEXEC9MFIEET98CHPH" localSheetId="19" hidden="1">BS-non Monetary-[27]LC!$C$13:$D$14</definedName>
    <definedName name="BExUA34NB2WEXEC9MFIEET98CHPH" localSheetId="17" hidden="1">BS-non Monetary-[27]LC!$C$13:$D$14</definedName>
    <definedName name="BExUA34NB2WEXEC9MFIEET98CHPH" hidden="1">BS-non Monetary-[27]LC!$C$13:$D$14</definedName>
    <definedName name="BExUACPWC16ION1F0Z9P2MOPIAVR" localSheetId="18" hidden="1">TB BS Monetary [30]Item!$C$13:$D$15</definedName>
    <definedName name="BExUACPWC16ION1F0Z9P2MOPIAVR" localSheetId="16" hidden="1">TB BS Monetary [30]Item!$C$13:$D$15</definedName>
    <definedName name="BExUACPWC16ION1F0Z9P2MOPIAVR" localSheetId="21" hidden="1">TB BS Monetary [30]Item!$C$13:$D$15</definedName>
    <definedName name="BExUACPWC16ION1F0Z9P2MOPIAVR" localSheetId="19" hidden="1">TB BS Monetary [30]Item!$C$13:$D$15</definedName>
    <definedName name="BExUACPWC16ION1F0Z9P2MOPIAVR" localSheetId="17" hidden="1">TB BS Monetary [30]Item!$C$13:$D$15</definedName>
    <definedName name="BExUACPWC16ION1F0Z9P2MOPIAVR" hidden="1">TB BS Monetary [30]Item!$C$13:$D$15</definedName>
    <definedName name="BExUAVLO4FTVO5MFXGN1K81PFNC9" hidden="1">#N/A</definedName>
    <definedName name="BExUC2R86XFOQ504U9U6ITCC21N8" localSheetId="18" hidden="1">BS-Equity-[27]LC!$C$13:$D$15</definedName>
    <definedName name="BExUC2R86XFOQ504U9U6ITCC21N8" localSheetId="16" hidden="1">BS-Equity-[27]LC!$C$13:$D$15</definedName>
    <definedName name="BExUC2R86XFOQ504U9U6ITCC21N8" localSheetId="21" hidden="1">BS-Equity-[27]LC!$C$13:$D$15</definedName>
    <definedName name="BExUC2R86XFOQ504U9U6ITCC21N8" localSheetId="19" hidden="1">BS-Equity-[27]LC!$C$13:$D$15</definedName>
    <definedName name="BExUC2R86XFOQ504U9U6ITCC21N8" localSheetId="17" hidden="1">BS-Equity-[27]LC!$C$13:$D$15</definedName>
    <definedName name="BExUC2R86XFOQ504U9U6ITCC21N8" hidden="1">BS-Equity-[27]LC!$C$13:$D$15</definedName>
    <definedName name="BExUCHAM5VKSBOQ9D0FLH5W302LG" localSheetId="18" hidden="1">BS-[29]Monetary!$C$13:$D$14</definedName>
    <definedName name="BExUCHAM5VKSBOQ9D0FLH5W302LG" localSheetId="16" hidden="1">BS-[29]Monetary!$C$13:$D$14</definedName>
    <definedName name="BExUCHAM5VKSBOQ9D0FLH5W302LG" localSheetId="21" hidden="1">BS-[29]Monetary!$C$13:$D$14</definedName>
    <definedName name="BExUCHAM5VKSBOQ9D0FLH5W302LG" localSheetId="19" hidden="1">BS-[29]Monetary!$C$13:$D$14</definedName>
    <definedName name="BExUCHAM5VKSBOQ9D0FLH5W302LG" localSheetId="17" hidden="1">BS-[29]Monetary!$C$13:$D$14</definedName>
    <definedName name="BExUCHAM5VKSBOQ9D0FLH5W302LG" hidden="1">BS-[29]Monetary!$C$13:$D$14</definedName>
    <definedName name="BExUCTKYT3CZTZJOG3CNCAADHZ0J" localSheetId="18" hidden="1">BS-non Monetary-[28]TC!$D$8:$D$8</definedName>
    <definedName name="BExUCTKYT3CZTZJOG3CNCAADHZ0J" localSheetId="16" hidden="1">BS-non Monetary-[28]TC!$D$8:$D$8</definedName>
    <definedName name="BExUCTKYT3CZTZJOG3CNCAADHZ0J" localSheetId="21" hidden="1">BS-non Monetary-[28]TC!$D$8:$D$8</definedName>
    <definedName name="BExUCTKYT3CZTZJOG3CNCAADHZ0J" localSheetId="19" hidden="1">BS-non Monetary-[28]TC!$D$8:$D$8</definedName>
    <definedName name="BExUCTKYT3CZTZJOG3CNCAADHZ0J" localSheetId="17" hidden="1">BS-non Monetary-[28]TC!$D$8:$D$8</definedName>
    <definedName name="BExUCTKYT3CZTZJOG3CNCAADHZ0J" hidden="1">BS-non Monetary-[28]TC!$D$8:$D$8</definedName>
    <definedName name="BExUDH3VL3MXZYRNJBHNSIJ5YHVT" localSheetId="18" hidden="1">BS-[29]Monetary!$D$6:$D$6</definedName>
    <definedName name="BExUDH3VL3MXZYRNJBHNSIJ5YHVT" localSheetId="16" hidden="1">BS-[29]Monetary!$D$6:$D$6</definedName>
    <definedName name="BExUDH3VL3MXZYRNJBHNSIJ5YHVT" localSheetId="21" hidden="1">BS-[29]Monetary!$D$6:$D$6</definedName>
    <definedName name="BExUDH3VL3MXZYRNJBHNSIJ5YHVT" localSheetId="19" hidden="1">BS-[29]Monetary!$D$6:$D$6</definedName>
    <definedName name="BExUDH3VL3MXZYRNJBHNSIJ5YHVT" localSheetId="17" hidden="1">BS-[29]Monetary!$D$6:$D$6</definedName>
    <definedName name="BExUDH3VL3MXZYRNJBHNSIJ5YHVT" hidden="1">BS-[29]Monetary!$D$6:$D$6</definedName>
    <definedName name="BExUDMSVXBVYLCUKIFFSZH8DW5IX" localSheetId="18" hidden="1">BS-non Monetary-[27]LC!$C$17:$G$515</definedName>
    <definedName name="BExUDMSVXBVYLCUKIFFSZH8DW5IX" localSheetId="16" hidden="1">BS-non Monetary-[27]LC!$C$17:$G$515</definedName>
    <definedName name="BExUDMSVXBVYLCUKIFFSZH8DW5IX" localSheetId="21" hidden="1">BS-non Monetary-[27]LC!$C$17:$G$515</definedName>
    <definedName name="BExUDMSVXBVYLCUKIFFSZH8DW5IX" localSheetId="19" hidden="1">BS-non Monetary-[27]LC!$C$17:$G$515</definedName>
    <definedName name="BExUDMSVXBVYLCUKIFFSZH8DW5IX" localSheetId="17" hidden="1">BS-non Monetary-[27]LC!$C$17:$G$515</definedName>
    <definedName name="BExUDMSVXBVYLCUKIFFSZH8DW5IX" hidden="1">BS-non Monetary-[27]LC!$C$17:$G$515</definedName>
    <definedName name="BExUDZE19Y7J0OWP2528YT3P02BO" hidden="1">#N/A</definedName>
    <definedName name="BExVQ6L1GRC8LT88ZO5LKJ25ISZM" hidden="1">#N/A</definedName>
    <definedName name="BExVRU84ZNGHAU1DD3KXOBWI0P1L" localSheetId="18" hidden="1">BS-non Monetary-[28]TC!$C$17:$F$530</definedName>
    <definedName name="BExVRU84ZNGHAU1DD3KXOBWI0P1L" localSheetId="16" hidden="1">BS-non Monetary-[28]TC!$C$17:$F$530</definedName>
    <definedName name="BExVRU84ZNGHAU1DD3KXOBWI0P1L" localSheetId="21" hidden="1">BS-non Monetary-[28]TC!$C$17:$F$530</definedName>
    <definedName name="BExVRU84ZNGHAU1DD3KXOBWI0P1L" localSheetId="19" hidden="1">BS-non Monetary-[28]TC!$C$17:$F$530</definedName>
    <definedName name="BExVRU84ZNGHAU1DD3KXOBWI0P1L" localSheetId="17" hidden="1">BS-non Monetary-[28]TC!$C$17:$F$530</definedName>
    <definedName name="BExVRU84ZNGHAU1DD3KXOBWI0P1L" hidden="1">BS-non Monetary-[28]TC!$C$17:$F$530</definedName>
    <definedName name="BExVSP3GMO7T2HQGVBKC431HN5KQ" hidden="1">#N/A</definedName>
    <definedName name="BExVTMCZ5F60JEAQ58TIHNTLN7ST" hidden="1">#N/A</definedName>
    <definedName name="BExVTPIBMODY0UG62AF2GL1Q9EQF" hidden="1">#N/A</definedName>
    <definedName name="BExVTU5HD5T7JX1XUJK4JL0BGVV9" localSheetId="18" hidden="1">BS-[29]Monetary!$D$6:$D$6</definedName>
    <definedName name="BExVTU5HD5T7JX1XUJK4JL0BGVV9" localSheetId="16" hidden="1">BS-[29]Monetary!$D$6:$D$6</definedName>
    <definedName name="BExVTU5HD5T7JX1XUJK4JL0BGVV9" localSheetId="21" hidden="1">BS-[29]Monetary!$D$6:$D$6</definedName>
    <definedName name="BExVTU5HD5T7JX1XUJK4JL0BGVV9" localSheetId="19" hidden="1">BS-[29]Monetary!$D$6:$D$6</definedName>
    <definedName name="BExVTU5HD5T7JX1XUJK4JL0BGVV9" localSheetId="17" hidden="1">BS-[29]Monetary!$D$6:$D$6</definedName>
    <definedName name="BExVTU5HD5T7JX1XUJK4JL0BGVV9" hidden="1">BS-[29]Monetary!$D$6:$D$6</definedName>
    <definedName name="BExVU1N8UJU2D0SRDH6H7DI3B9PU" localSheetId="18" hidden="1">BS-[29]Monetary!$C$13:$D$14</definedName>
    <definedName name="BExVU1N8UJU2D0SRDH6H7DI3B9PU" localSheetId="16" hidden="1">BS-[29]Monetary!$C$13:$D$14</definedName>
    <definedName name="BExVU1N8UJU2D0SRDH6H7DI3B9PU" localSheetId="21" hidden="1">BS-[29]Monetary!$C$13:$D$14</definedName>
    <definedName name="BExVU1N8UJU2D0SRDH6H7DI3B9PU" localSheetId="19" hidden="1">BS-[29]Monetary!$C$13:$D$14</definedName>
    <definedName name="BExVU1N8UJU2D0SRDH6H7DI3B9PU" localSheetId="17" hidden="1">BS-[29]Monetary!$C$13:$D$14</definedName>
    <definedName name="BExVU1N8UJU2D0SRDH6H7DI3B9PU" hidden="1">BS-[29]Monetary!$C$13:$D$14</definedName>
    <definedName name="BExVU5UAW59IR5M2WNJKV27NPJ5Y" localSheetId="18" hidden="1">TB-[35]BS!$C$13:$D$15</definedName>
    <definedName name="BExVU5UAW59IR5M2WNJKV27NPJ5Y" localSheetId="16" hidden="1">TB-[35]BS!$C$13:$D$15</definedName>
    <definedName name="BExVU5UAW59IR5M2WNJKV27NPJ5Y" localSheetId="21" hidden="1">TB-[35]BS!$C$13:$D$15</definedName>
    <definedName name="BExVU5UAW59IR5M2WNJKV27NPJ5Y" localSheetId="19" hidden="1">TB-[35]BS!$C$13:$D$15</definedName>
    <definedName name="BExVU5UAW59IR5M2WNJKV27NPJ5Y" localSheetId="17" hidden="1">TB-[35]BS!$C$13:$D$15</definedName>
    <definedName name="BExVU5UAW59IR5M2WNJKV27NPJ5Y" hidden="1">TB-[35]BS!$C$13:$D$15</definedName>
    <definedName name="BExVUAMXI1A1U167HCNWKW7MF04C" hidden="1">#N/A</definedName>
    <definedName name="BExVULVFY880DEOTZKDXDS4FUWP8" localSheetId="18" hidden="1">BS-[29]Monetary!$D$7:$D$7</definedName>
    <definedName name="BExVULVFY880DEOTZKDXDS4FUWP8" localSheetId="16" hidden="1">BS-[29]Monetary!$D$7:$D$7</definedName>
    <definedName name="BExVULVFY880DEOTZKDXDS4FUWP8" localSheetId="21" hidden="1">BS-[29]Monetary!$D$7:$D$7</definedName>
    <definedName name="BExVULVFY880DEOTZKDXDS4FUWP8" localSheetId="19" hidden="1">BS-[29]Monetary!$D$7:$D$7</definedName>
    <definedName name="BExVULVFY880DEOTZKDXDS4FUWP8" localSheetId="17" hidden="1">BS-[29]Monetary!$D$7:$D$7</definedName>
    <definedName name="BExVULVFY880DEOTZKDXDS4FUWP8" hidden="1">BS-[29]Monetary!$D$7:$D$7</definedName>
    <definedName name="BExVUXK9SB2XLT78VMM4T8JYC7U8" localSheetId="18" hidden="1">TB-[35]BS!$C$13:$D$15</definedName>
    <definedName name="BExVUXK9SB2XLT78VMM4T8JYC7U8" localSheetId="16" hidden="1">TB-[35]BS!$C$13:$D$15</definedName>
    <definedName name="BExVUXK9SB2XLT78VMM4T8JYC7U8" localSheetId="21" hidden="1">TB-[35]BS!$C$13:$D$15</definedName>
    <definedName name="BExVUXK9SB2XLT78VMM4T8JYC7U8" localSheetId="19" hidden="1">TB-[35]BS!$C$13:$D$15</definedName>
    <definedName name="BExVUXK9SB2XLT78VMM4T8JYC7U8" localSheetId="17" hidden="1">TB-[35]BS!$C$13:$D$15</definedName>
    <definedName name="BExVUXK9SB2XLT78VMM4T8JYC7U8" hidden="1">TB-[35]BS!$C$13:$D$15</definedName>
    <definedName name="BExVV0PMI3LRGOBG31H69P5X4JGM" localSheetId="18" hidden="1">BS-non Monetary-[27]LC!$C$17:$G$662</definedName>
    <definedName name="BExVV0PMI3LRGOBG31H69P5X4JGM" localSheetId="16" hidden="1">BS-non Monetary-[27]LC!$C$17:$G$662</definedName>
    <definedName name="BExVV0PMI3LRGOBG31H69P5X4JGM" localSheetId="21" hidden="1">BS-non Monetary-[27]LC!$C$17:$G$662</definedName>
    <definedName name="BExVV0PMI3LRGOBG31H69P5X4JGM" localSheetId="19" hidden="1">BS-non Monetary-[27]LC!$C$17:$G$662</definedName>
    <definedName name="BExVV0PMI3LRGOBG31H69P5X4JGM" localSheetId="17" hidden="1">BS-non Monetary-[27]LC!$C$17:$G$662</definedName>
    <definedName name="BExVV0PMI3LRGOBG31H69P5X4JGM" hidden="1">BS-non Monetary-[27]LC!$C$17:$G$662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VWHBH5XXFMTRA8T90XTMKELN" localSheetId="18" hidden="1">BS-non Monetary-[28]TC!$D$8:$D$8</definedName>
    <definedName name="BExVVWHBH5XXFMTRA8T90XTMKELN" localSheetId="16" hidden="1">BS-non Monetary-[28]TC!$D$8:$D$8</definedName>
    <definedName name="BExVVWHBH5XXFMTRA8T90XTMKELN" localSheetId="21" hidden="1">BS-non Monetary-[28]TC!$D$8:$D$8</definedName>
    <definedName name="BExVVWHBH5XXFMTRA8T90XTMKELN" localSheetId="19" hidden="1">BS-non Monetary-[28]TC!$D$8:$D$8</definedName>
    <definedName name="BExVVWHBH5XXFMTRA8T90XTMKELN" localSheetId="17" hidden="1">BS-non Monetary-[28]TC!$D$8:$D$8</definedName>
    <definedName name="BExVVWHBH5XXFMTRA8T90XTMKELN" hidden="1">BS-non Monetary-[28]TC!$D$8:$D$8</definedName>
    <definedName name="BExVW50RFUH4JJA01P7PVNQXEM5A" hidden="1">#N/A</definedName>
    <definedName name="BExVWEWSX8MCW9XL61Q6BA9RYY34" hidden="1">#N/A</definedName>
    <definedName name="BExVWLSZXBKJOT95U7S3L1YOUN2Z" localSheetId="18" hidden="1">BS-non Monetary-[28]TC!$C$13:$D$14</definedName>
    <definedName name="BExVWLSZXBKJOT95U7S3L1YOUN2Z" localSheetId="16" hidden="1">BS-non Monetary-[28]TC!$C$13:$D$14</definedName>
    <definedName name="BExVWLSZXBKJOT95U7S3L1YOUN2Z" localSheetId="21" hidden="1">BS-non Monetary-[28]TC!$C$13:$D$14</definedName>
    <definedName name="BExVWLSZXBKJOT95U7S3L1YOUN2Z" localSheetId="19" hidden="1">BS-non Monetary-[28]TC!$C$13:$D$14</definedName>
    <definedName name="BExVWLSZXBKJOT95U7S3L1YOUN2Z" localSheetId="17" hidden="1">BS-non Monetary-[28]TC!$C$13:$D$14</definedName>
    <definedName name="BExVWLSZXBKJOT95U7S3L1YOUN2Z" hidden="1">BS-non Monetary-[28]TC!$C$13:$D$14</definedName>
    <definedName name="BExVWSUFRFOYKMJW4P1IQY9T4QJ6" localSheetId="18" hidden="1">BS-[34]Monitory!$C$17:$F$760</definedName>
    <definedName name="BExVWSUFRFOYKMJW4P1IQY9T4QJ6" localSheetId="16" hidden="1">BS-[34]Monitory!$C$17:$F$760</definedName>
    <definedName name="BExVWSUFRFOYKMJW4P1IQY9T4QJ6" localSheetId="21" hidden="1">BS-[34]Monitory!$C$17:$F$760</definedName>
    <definedName name="BExVWSUFRFOYKMJW4P1IQY9T4QJ6" localSheetId="19" hidden="1">BS-[34]Monitory!$C$17:$F$760</definedName>
    <definedName name="BExVWSUFRFOYKMJW4P1IQY9T4QJ6" localSheetId="17" hidden="1">BS-[34]Monitory!$C$17:$F$760</definedName>
    <definedName name="BExVWSUFRFOYKMJW4P1IQY9T4QJ6" hidden="1">BS-[34]Monitory!$C$17:$F$760</definedName>
    <definedName name="BExVX7TWSVBEM0SIWW2CWQBOWN0A" localSheetId="18" hidden="1">BS-[29]Monetary!$D$7:$D$7</definedName>
    <definedName name="BExVX7TWSVBEM0SIWW2CWQBOWN0A" localSheetId="16" hidden="1">BS-[29]Monetary!$D$7:$D$7</definedName>
    <definedName name="BExVX7TWSVBEM0SIWW2CWQBOWN0A" localSheetId="21" hidden="1">BS-[29]Monetary!$D$7:$D$7</definedName>
    <definedName name="BExVX7TWSVBEM0SIWW2CWQBOWN0A" localSheetId="19" hidden="1">BS-[29]Monetary!$D$7:$D$7</definedName>
    <definedName name="BExVX7TWSVBEM0SIWW2CWQBOWN0A" localSheetId="17" hidden="1">BS-[29]Monetary!$D$7:$D$7</definedName>
    <definedName name="BExVX7TWSVBEM0SIWW2CWQBOWN0A" hidden="1">BS-[29]Monetary!$D$7:$D$7</definedName>
    <definedName name="BExVXYNHSXI19G2RHUT0IEKVWR8N" localSheetId="18" hidden="1">BS-non Monetary-[28]TC!$C$17:$F$663</definedName>
    <definedName name="BExVXYNHSXI19G2RHUT0IEKVWR8N" localSheetId="16" hidden="1">BS-non Monetary-[28]TC!$C$17:$F$663</definedName>
    <definedName name="BExVXYNHSXI19G2RHUT0IEKVWR8N" localSheetId="21" hidden="1">BS-non Monetary-[28]TC!$C$17:$F$663</definedName>
    <definedName name="BExVXYNHSXI19G2RHUT0IEKVWR8N" localSheetId="19" hidden="1">BS-non Monetary-[28]TC!$C$17:$F$663</definedName>
    <definedName name="BExVXYNHSXI19G2RHUT0IEKVWR8N" localSheetId="17" hidden="1">BS-non Monetary-[28]TC!$C$17:$F$663</definedName>
    <definedName name="BExVXYNHSXI19G2RHUT0IEKVWR8N" hidden="1">BS-non Monetary-[28]TC!$C$17:$F$663</definedName>
    <definedName name="BExVY6QT8MYH8YP49L62L4WQ3Q1E" localSheetId="18" hidden="1">BS-[29]Monetary!$C$17:$I$862</definedName>
    <definedName name="BExVY6QT8MYH8YP49L62L4WQ3Q1E" localSheetId="16" hidden="1">BS-[29]Monetary!$C$17:$I$862</definedName>
    <definedName name="BExVY6QT8MYH8YP49L62L4WQ3Q1E" localSheetId="21" hidden="1">BS-[29]Monetary!$C$17:$I$862</definedName>
    <definedName name="BExVY6QT8MYH8YP49L62L4WQ3Q1E" localSheetId="19" hidden="1">BS-[29]Monetary!$C$17:$I$862</definedName>
    <definedName name="BExVY6QT8MYH8YP49L62L4WQ3Q1E" localSheetId="17" hidden="1">BS-[29]Monetary!$C$17:$I$862</definedName>
    <definedName name="BExVY6QT8MYH8YP49L62L4WQ3Q1E" hidden="1">BS-[29]Monetary!$C$17:$I$862</definedName>
    <definedName name="BExVYFW1H90OH1AYYPR4FVVX2DXL" localSheetId="18" hidden="1">BS-non Monetary-[27]LC!$D$6:$D$6</definedName>
    <definedName name="BExVYFW1H90OH1AYYPR4FVVX2DXL" localSheetId="16" hidden="1">BS-non Monetary-[27]LC!$D$6:$D$6</definedName>
    <definedName name="BExVYFW1H90OH1AYYPR4FVVX2DXL" localSheetId="21" hidden="1">BS-non Monetary-[27]LC!$D$6:$D$6</definedName>
    <definedName name="BExVYFW1H90OH1AYYPR4FVVX2DXL" localSheetId="19" hidden="1">BS-non Monetary-[27]LC!$D$6:$D$6</definedName>
    <definedName name="BExVYFW1H90OH1AYYPR4FVVX2DXL" localSheetId="17" hidden="1">BS-non Monetary-[27]LC!$D$6:$D$6</definedName>
    <definedName name="BExVYFW1H90OH1AYYPR4FVVX2DXL" hidden="1">BS-non Monetary-[27]LC!$D$6:$D$6</definedName>
    <definedName name="BExVYS0W2TC4Z501AAHKRAYARH00" hidden="1">#N/A</definedName>
    <definedName name="BExVYZ7VRVFYWYP0Y3894C52W0IN" localSheetId="18" hidden="1">BS-non Monetary-[27]LC!$D$7:$D$7</definedName>
    <definedName name="BExVYZ7VRVFYWYP0Y3894C52W0IN" localSheetId="16" hidden="1">BS-non Monetary-[27]LC!$D$7:$D$7</definedName>
    <definedName name="BExVYZ7VRVFYWYP0Y3894C52W0IN" localSheetId="21" hidden="1">BS-non Monetary-[27]LC!$D$7:$D$7</definedName>
    <definedName name="BExVYZ7VRVFYWYP0Y3894C52W0IN" localSheetId="19" hidden="1">BS-non Monetary-[27]LC!$D$7:$D$7</definedName>
    <definedName name="BExVYZ7VRVFYWYP0Y3894C52W0IN" localSheetId="17" hidden="1">BS-non Monetary-[27]LC!$D$7:$D$7</definedName>
    <definedName name="BExVYZ7VRVFYWYP0Y3894C52W0IN" hidden="1">BS-non Monetary-[27]LC!$D$7:$D$7</definedName>
    <definedName name="BExVZI8WSTMOWDQWQY1NFNHE063B" localSheetId="18" hidden="1">BS-[29]Monetary!$D$6:$D$6</definedName>
    <definedName name="BExVZI8WSTMOWDQWQY1NFNHE063B" localSheetId="16" hidden="1">BS-[29]Monetary!$D$6:$D$6</definedName>
    <definedName name="BExVZI8WSTMOWDQWQY1NFNHE063B" localSheetId="21" hidden="1">BS-[29]Monetary!$D$6:$D$6</definedName>
    <definedName name="BExVZI8WSTMOWDQWQY1NFNHE063B" localSheetId="19" hidden="1">BS-[29]Monetary!$D$6:$D$6</definedName>
    <definedName name="BExVZI8WSTMOWDQWQY1NFNHE063B" localSheetId="17" hidden="1">BS-[29]Monetary!$D$6:$D$6</definedName>
    <definedName name="BExVZI8WSTMOWDQWQY1NFNHE063B" hidden="1">BS-[29]Monetary!$D$6:$D$6</definedName>
    <definedName name="BExW0MUU0EABXZPZA09AE2I0QGZM" localSheetId="18" hidden="1">BS-non Monitory-[31]GC!$D$7:$D$7</definedName>
    <definedName name="BExW0MUU0EABXZPZA09AE2I0QGZM" localSheetId="16" hidden="1">BS-non Monitory-[31]GC!$D$7:$D$7</definedName>
    <definedName name="BExW0MUU0EABXZPZA09AE2I0QGZM" localSheetId="21" hidden="1">BS-non Monitory-[31]GC!$D$7:$D$7</definedName>
    <definedName name="BExW0MUU0EABXZPZA09AE2I0QGZM" localSheetId="19" hidden="1">BS-non Monitory-[31]GC!$D$7:$D$7</definedName>
    <definedName name="BExW0MUU0EABXZPZA09AE2I0QGZM" localSheetId="17" hidden="1">BS-non Monitory-[31]GC!$D$7:$D$7</definedName>
    <definedName name="BExW0MUU0EABXZPZA09AE2I0QGZM" hidden="1">BS-non Monitory-[31]GC!$D$7:$D$7</definedName>
    <definedName name="BExW0XY2N4Y76QO7N8OKAK8CNACS" localSheetId="18" hidden="1">TB BS non Monetary [31]GC!$D$6:$D$6</definedName>
    <definedName name="BExW0XY2N4Y76QO7N8OKAK8CNACS" localSheetId="16" hidden="1">TB BS non Monetary [31]GC!$D$6:$D$6</definedName>
    <definedName name="BExW0XY2N4Y76QO7N8OKAK8CNACS" localSheetId="21" hidden="1">TB BS non Monetary [31]GC!$D$6:$D$6</definedName>
    <definedName name="BExW0XY2N4Y76QO7N8OKAK8CNACS" localSheetId="19" hidden="1">TB BS non Monetary [31]GC!$D$6:$D$6</definedName>
    <definedName name="BExW0XY2N4Y76QO7N8OKAK8CNACS" localSheetId="17" hidden="1">TB BS non Monetary [31]GC!$D$6:$D$6</definedName>
    <definedName name="BExW0XY2N4Y76QO7N8OKAK8CNACS" hidden="1">TB BS non Monetary [31]GC!$D$6:$D$6</definedName>
    <definedName name="BExW1E4PEPLKSNA8GFA5KBZVHEY6" hidden="1">#N/A</definedName>
    <definedName name="BExW1UWXHGPS6DTSBPHCGSPK0X9G" localSheetId="18" hidden="1">TB BS non Monetary [31]GC!$D$7:$D$7</definedName>
    <definedName name="BExW1UWXHGPS6DTSBPHCGSPK0X9G" localSheetId="16" hidden="1">TB BS non Monetary [31]GC!$D$7:$D$7</definedName>
    <definedName name="BExW1UWXHGPS6DTSBPHCGSPK0X9G" localSheetId="21" hidden="1">TB BS non Monetary [31]GC!$D$7:$D$7</definedName>
    <definedName name="BExW1UWXHGPS6DTSBPHCGSPK0X9G" localSheetId="19" hidden="1">TB BS non Monetary [31]GC!$D$7:$D$7</definedName>
    <definedName name="BExW1UWXHGPS6DTSBPHCGSPK0X9G" localSheetId="17" hidden="1">TB BS non Monetary [31]GC!$D$7:$D$7</definedName>
    <definedName name="BExW1UWXHGPS6DTSBPHCGSPK0X9G" hidden="1">TB BS non Monetary [31]GC!$D$7:$D$7</definedName>
    <definedName name="BExW223VCSYHV678D4LKPOPMBSUK" hidden="1">#N/A</definedName>
    <definedName name="BExW2CG1I2ULG5W1F3XRL1ZL2W8P" hidden="1">#N/A</definedName>
    <definedName name="BExW2DCE7PXK7XWRNRKJ5K9Q3CNS" localSheetId="18" hidden="1">TB BS non Monetary [31]GC!$D$7:$D$7</definedName>
    <definedName name="BExW2DCE7PXK7XWRNRKJ5K9Q3CNS" localSheetId="16" hidden="1">TB BS non Monetary [31]GC!$D$7:$D$7</definedName>
    <definedName name="BExW2DCE7PXK7XWRNRKJ5K9Q3CNS" localSheetId="21" hidden="1">TB BS non Monetary [31]GC!$D$7:$D$7</definedName>
    <definedName name="BExW2DCE7PXK7XWRNRKJ5K9Q3CNS" localSheetId="19" hidden="1">TB BS non Monetary [31]GC!$D$7:$D$7</definedName>
    <definedName name="BExW2DCE7PXK7XWRNRKJ5K9Q3CNS" localSheetId="17" hidden="1">TB BS non Monetary [31]GC!$D$7:$D$7</definedName>
    <definedName name="BExW2DCE7PXK7XWRNRKJ5K9Q3CNS" hidden="1">TB BS non Monetary [31]GC!$D$7:$D$7</definedName>
    <definedName name="BExW2EUCVL1NGKEW8BMJ264DZNUN" hidden="1">#N/A</definedName>
    <definedName name="BExW36477HQK5O4UJNYZ3REFBGTI" hidden="1">#N/A</definedName>
    <definedName name="BExW40U2RWUNEHHKGBVDSIN7JAV6" localSheetId="18" hidden="1">BS-[29]Monetary!$D$8:$D$8</definedName>
    <definedName name="BExW40U2RWUNEHHKGBVDSIN7JAV6" localSheetId="16" hidden="1">BS-[29]Monetary!$D$8:$D$8</definedName>
    <definedName name="BExW40U2RWUNEHHKGBVDSIN7JAV6" localSheetId="21" hidden="1">BS-[29]Monetary!$D$8:$D$8</definedName>
    <definedName name="BExW40U2RWUNEHHKGBVDSIN7JAV6" localSheetId="19" hidden="1">BS-[29]Monetary!$D$8:$D$8</definedName>
    <definedName name="BExW40U2RWUNEHHKGBVDSIN7JAV6" localSheetId="17" hidden="1">BS-[29]Monetary!$D$8:$D$8</definedName>
    <definedName name="BExW40U2RWUNEHHKGBVDSIN7JAV6" hidden="1">BS-[29]Monetary!$D$8:$D$8</definedName>
    <definedName name="BExW42S96V7ZAEC2KVDS1HQ9D5YL" hidden="1">#N/A</definedName>
    <definedName name="BExW4DF707EEQT6OLXAUE3ZDM2PW" hidden="1">#N/A</definedName>
    <definedName name="BExW4EMESDTYU434K5URF2EZ07F7" localSheetId="18" hidden="1">BS-non Monitory-[28]TC!$D$8:$D$8</definedName>
    <definedName name="BExW4EMESDTYU434K5URF2EZ07F7" localSheetId="16" hidden="1">BS-non Monitory-[28]TC!$D$8:$D$8</definedName>
    <definedName name="BExW4EMESDTYU434K5URF2EZ07F7" localSheetId="21" hidden="1">BS-non Monitory-[28]TC!$D$8:$D$8</definedName>
    <definedName name="BExW4EMESDTYU434K5URF2EZ07F7" localSheetId="19" hidden="1">BS-non Monitory-[28]TC!$D$8:$D$8</definedName>
    <definedName name="BExW4EMESDTYU434K5URF2EZ07F7" localSheetId="17" hidden="1">BS-non Monitory-[28]TC!$D$8:$D$8</definedName>
    <definedName name="BExW4EMESDTYU434K5URF2EZ07F7" hidden="1">BS-non Monitory-[28]TC!$D$8:$D$8</definedName>
    <definedName name="BExW4OYJ1610HEOEFPOSP73H5755" hidden="1">#N/A</definedName>
    <definedName name="BExW52ARUGJDKL0QOQ9CK01ZY7DU" localSheetId="18" hidden="1">BS-Equity-[28]TC!$D$8:$D$8</definedName>
    <definedName name="BExW52ARUGJDKL0QOQ9CK01ZY7DU" localSheetId="16" hidden="1">BS-Equity-[28]TC!$D$8:$D$8</definedName>
    <definedName name="BExW52ARUGJDKL0QOQ9CK01ZY7DU" localSheetId="21" hidden="1">BS-Equity-[28]TC!$D$8:$D$8</definedName>
    <definedName name="BExW52ARUGJDKL0QOQ9CK01ZY7DU" localSheetId="19" hidden="1">BS-Equity-[28]TC!$D$8:$D$8</definedName>
    <definedName name="BExW52ARUGJDKL0QOQ9CK01ZY7DU" localSheetId="17" hidden="1">BS-Equity-[28]TC!$D$8:$D$8</definedName>
    <definedName name="BExW52ARUGJDKL0QOQ9CK01ZY7DU" hidden="1">BS-Equity-[28]TC!$D$8:$D$8</definedName>
    <definedName name="BExW5STKN94UI0RHUXTFXA4CL3EI" hidden="1">#N/A</definedName>
    <definedName name="BExW66WO90KZRNJOG5X2VKEB1KBA" localSheetId="18" hidden="1">TB-[35]BS!$D$8:$D$8</definedName>
    <definedName name="BExW66WO90KZRNJOG5X2VKEB1KBA" localSheetId="16" hidden="1">TB-[35]BS!$D$8:$D$8</definedName>
    <definedName name="BExW66WO90KZRNJOG5X2VKEB1KBA" localSheetId="21" hidden="1">TB-[35]BS!$D$8:$D$8</definedName>
    <definedName name="BExW66WO90KZRNJOG5X2VKEB1KBA" localSheetId="19" hidden="1">TB-[35]BS!$D$8:$D$8</definedName>
    <definedName name="BExW66WO90KZRNJOG5X2VKEB1KBA" localSheetId="17" hidden="1">TB-[35]BS!$D$8:$D$8</definedName>
    <definedName name="BExW66WO90KZRNJOG5X2VKEB1KBA" hidden="1">TB-[35]BS!$D$8:$D$8</definedName>
    <definedName name="BExW67T2MM2O02QAZILHFBOCC503" hidden="1">#N/A</definedName>
    <definedName name="BExW6W8BK7DVLLKOB8FYEGKXW7VH" hidden="1">#N/A</definedName>
    <definedName name="BExW6Z87J2L5SDIR9Y4V4BUFUFI6" localSheetId="18" hidden="1">BS-[29]Monetary!$D$7:$D$7</definedName>
    <definedName name="BExW6Z87J2L5SDIR9Y4V4BUFUFI6" localSheetId="16" hidden="1">BS-[29]Monetary!$D$7:$D$7</definedName>
    <definedName name="BExW6Z87J2L5SDIR9Y4V4BUFUFI6" localSheetId="21" hidden="1">BS-[29]Monetary!$D$7:$D$7</definedName>
    <definedName name="BExW6Z87J2L5SDIR9Y4V4BUFUFI6" localSheetId="19" hidden="1">BS-[29]Monetary!$D$7:$D$7</definedName>
    <definedName name="BExW6Z87J2L5SDIR9Y4V4BUFUFI6" localSheetId="17" hidden="1">BS-[29]Monetary!$D$7:$D$7</definedName>
    <definedName name="BExW6Z87J2L5SDIR9Y4V4BUFUFI6" hidden="1">BS-[29]Monetary!$D$7:$D$7</definedName>
    <definedName name="BExW75Z2VK0PFVVUIQDT6GQL9BPV" hidden="1">#N/A</definedName>
    <definedName name="BExW76PZ435HMB81GU4J5OKCXK49" localSheetId="18" hidden="1">BS-[29]Monetary!$D$8:$D$8</definedName>
    <definedName name="BExW76PZ435HMB81GU4J5OKCXK49" localSheetId="16" hidden="1">BS-[29]Monetary!$D$8:$D$8</definedName>
    <definedName name="BExW76PZ435HMB81GU4J5OKCXK49" localSheetId="21" hidden="1">BS-[29]Monetary!$D$8:$D$8</definedName>
    <definedName name="BExW76PZ435HMB81GU4J5OKCXK49" localSheetId="19" hidden="1">BS-[29]Monetary!$D$8:$D$8</definedName>
    <definedName name="BExW76PZ435HMB81GU4J5OKCXK49" localSheetId="17" hidden="1">BS-[29]Monetary!$D$8:$D$8</definedName>
    <definedName name="BExW76PZ435HMB81GU4J5OKCXK49" hidden="1">BS-[29]Monetary!$D$8:$D$8</definedName>
    <definedName name="BExW76VG9QH41I50O4ID9XFTF89I" localSheetId="18" hidden="1">BS-non Monetary-[27]LC!$D$8:$D$8</definedName>
    <definedName name="BExW76VG9QH41I50O4ID9XFTF89I" localSheetId="16" hidden="1">BS-non Monetary-[27]LC!$D$8:$D$8</definedName>
    <definedName name="BExW76VG9QH41I50O4ID9XFTF89I" localSheetId="21" hidden="1">BS-non Monetary-[27]LC!$D$8:$D$8</definedName>
    <definedName name="BExW76VG9QH41I50O4ID9XFTF89I" localSheetId="19" hidden="1">BS-non Monetary-[27]LC!$D$8:$D$8</definedName>
    <definedName name="BExW76VG9QH41I50O4ID9XFTF89I" localSheetId="17" hidden="1">BS-non Monetary-[27]LC!$D$8:$D$8</definedName>
    <definedName name="BExW76VG9QH41I50O4ID9XFTF89I" hidden="1">BS-non Monetary-[27]LC!$D$8:$D$8</definedName>
    <definedName name="BExW799MA3J3A6WTE1UHH8W1WHAV" hidden="1">#N/A</definedName>
    <definedName name="BExW86OQODMNWO31FMCNU8UI0NG1" localSheetId="18" hidden="1">BS-[29]Monetary!$D$8:$D$8</definedName>
    <definedName name="BExW86OQODMNWO31FMCNU8UI0NG1" localSheetId="16" hidden="1">BS-[29]Monetary!$D$8:$D$8</definedName>
    <definedName name="BExW86OQODMNWO31FMCNU8UI0NG1" localSheetId="21" hidden="1">BS-[29]Monetary!$D$8:$D$8</definedName>
    <definedName name="BExW86OQODMNWO31FMCNU8UI0NG1" localSheetId="19" hidden="1">BS-[29]Monetary!$D$8:$D$8</definedName>
    <definedName name="BExW86OQODMNWO31FMCNU8UI0NG1" localSheetId="17" hidden="1">BS-[29]Monetary!$D$8:$D$8</definedName>
    <definedName name="BExW86OQODMNWO31FMCNU8UI0NG1" hidden="1">BS-[29]Monetary!$D$8:$D$8</definedName>
    <definedName name="BExW8C88IIYVK6ADC8P02MN1T5WQ" localSheetId="18" hidden="1">Balance [33]Sheet!$D$8:$D$8</definedName>
    <definedName name="BExW8C88IIYVK6ADC8P02MN1T5WQ" localSheetId="16" hidden="1">Balance [33]Sheet!$D$8:$D$8</definedName>
    <definedName name="BExW8C88IIYVK6ADC8P02MN1T5WQ" localSheetId="21" hidden="1">Balance [33]Sheet!$D$8:$D$8</definedName>
    <definedName name="BExW8C88IIYVK6ADC8P02MN1T5WQ" localSheetId="19" hidden="1">Balance [33]Sheet!$D$8:$D$8</definedName>
    <definedName name="BExW8C88IIYVK6ADC8P02MN1T5WQ" localSheetId="17" hidden="1">Balance [33]Sheet!$D$8:$D$8</definedName>
    <definedName name="BExW8C88IIYVK6ADC8P02MN1T5WQ" hidden="1">Balance [33]Sheet!$D$8:$D$8</definedName>
    <definedName name="BExW8IDJ0OTJTXN4YQUO6FWMY16X" localSheetId="18" hidden="1">BS-non Monetary-[28]TC!$D$8:$D$8</definedName>
    <definedName name="BExW8IDJ0OTJTXN4YQUO6FWMY16X" localSheetId="16" hidden="1">BS-non Monetary-[28]TC!$D$8:$D$8</definedName>
    <definedName name="BExW8IDJ0OTJTXN4YQUO6FWMY16X" localSheetId="21" hidden="1">BS-non Monetary-[28]TC!$D$8:$D$8</definedName>
    <definedName name="BExW8IDJ0OTJTXN4YQUO6FWMY16X" localSheetId="19" hidden="1">BS-non Monetary-[28]TC!$D$8:$D$8</definedName>
    <definedName name="BExW8IDJ0OTJTXN4YQUO6FWMY16X" localSheetId="17" hidden="1">BS-non Monetary-[28]TC!$D$8:$D$8</definedName>
    <definedName name="BExW8IDJ0OTJTXN4YQUO6FWMY16X" hidden="1">BS-non Monetary-[28]TC!$D$8:$D$8</definedName>
    <definedName name="BExW8J4FTPCSN0FSZUCDZX04NF63" localSheetId="18" hidden="1">BS-non Monetary-[27]LC!$C$13:$D$14</definedName>
    <definedName name="BExW8J4FTPCSN0FSZUCDZX04NF63" localSheetId="16" hidden="1">BS-non Monetary-[27]LC!$C$13:$D$14</definedName>
    <definedName name="BExW8J4FTPCSN0FSZUCDZX04NF63" localSheetId="21" hidden="1">BS-non Monetary-[27]LC!$C$13:$D$14</definedName>
    <definedName name="BExW8J4FTPCSN0FSZUCDZX04NF63" localSheetId="19" hidden="1">BS-non Monetary-[27]LC!$C$13:$D$14</definedName>
    <definedName name="BExW8J4FTPCSN0FSZUCDZX04NF63" localSheetId="17" hidden="1">BS-non Monetary-[27]LC!$C$13:$D$14</definedName>
    <definedName name="BExW8J4FTPCSN0FSZUCDZX04NF63" hidden="1">BS-non Monetary-[27]LC!$C$13:$D$14</definedName>
    <definedName name="BExW8SKDNHK92CSSE356XA9D7A5T" localSheetId="18" hidden="1">BS-non Monetary-[28]TC!$D$6:$D$6</definedName>
    <definedName name="BExW8SKDNHK92CSSE356XA9D7A5T" localSheetId="16" hidden="1">BS-non Monetary-[28]TC!$D$6:$D$6</definedName>
    <definedName name="BExW8SKDNHK92CSSE356XA9D7A5T" localSheetId="21" hidden="1">BS-non Monetary-[28]TC!$D$6:$D$6</definedName>
    <definedName name="BExW8SKDNHK92CSSE356XA9D7A5T" localSheetId="19" hidden="1">BS-non Monetary-[28]TC!$D$6:$D$6</definedName>
    <definedName name="BExW8SKDNHK92CSSE356XA9D7A5T" localSheetId="17" hidden="1">BS-non Monetary-[28]TC!$D$6:$D$6</definedName>
    <definedName name="BExW8SKDNHK92CSSE356XA9D7A5T" hidden="1">BS-non Monetary-[28]TC!$D$6:$D$6</definedName>
    <definedName name="BExW90I8M31S10UWTO2LV12LRO9N" hidden="1">#N/A</definedName>
    <definedName name="BExXLPZCFHP2BF00EJNBFNUUF2HR" hidden="1">#N/A</definedName>
    <definedName name="BExXMGCSO1JYL62ZB30OLGW0O8HB" localSheetId="18" hidden="1">BS-non Monetary-[28]TC!$D$8:$D$8</definedName>
    <definedName name="BExXMGCSO1JYL62ZB30OLGW0O8HB" localSheetId="16" hidden="1">BS-non Monetary-[28]TC!$D$8:$D$8</definedName>
    <definedName name="BExXMGCSO1JYL62ZB30OLGW0O8HB" localSheetId="21" hidden="1">BS-non Monetary-[28]TC!$D$8:$D$8</definedName>
    <definedName name="BExXMGCSO1JYL62ZB30OLGW0O8HB" localSheetId="19" hidden="1">BS-non Monetary-[28]TC!$D$8:$D$8</definedName>
    <definedName name="BExXMGCSO1JYL62ZB30OLGW0O8HB" localSheetId="17" hidden="1">BS-non Monetary-[28]TC!$D$8:$D$8</definedName>
    <definedName name="BExXMGCSO1JYL62ZB30OLGW0O8HB" hidden="1">BS-non Monetary-[28]TC!$D$8:$D$8</definedName>
    <definedName name="BExXMNJR7HTQXY3GZUMY9UBB8AVE" localSheetId="18" hidden="1">BS-non Monetary-[27]LC!$D$6:$D$6</definedName>
    <definedName name="BExXMNJR7HTQXY3GZUMY9UBB8AVE" localSheetId="16" hidden="1">BS-non Monetary-[27]LC!$D$6:$D$6</definedName>
    <definedName name="BExXMNJR7HTQXY3GZUMY9UBB8AVE" localSheetId="21" hidden="1">BS-non Monetary-[27]LC!$D$6:$D$6</definedName>
    <definedName name="BExXMNJR7HTQXY3GZUMY9UBB8AVE" localSheetId="19" hidden="1">BS-non Monetary-[27]LC!$D$6:$D$6</definedName>
    <definedName name="BExXMNJR7HTQXY3GZUMY9UBB8AVE" localSheetId="17" hidden="1">BS-non Monetary-[27]LC!$D$6:$D$6</definedName>
    <definedName name="BExXMNJR7HTQXY3GZUMY9UBB8AVE" hidden="1">BS-non Monetary-[27]LC!$D$6:$D$6</definedName>
    <definedName name="BExXMT8SKUNS5I6TUX9NAOML6LMZ" hidden="1">#N/A</definedName>
    <definedName name="BExXMYXSSTB1636QLYK84SG9EIZ7" localSheetId="18" hidden="1">BS-[29]Monetary!$D$8:$D$8</definedName>
    <definedName name="BExXMYXSSTB1636QLYK84SG9EIZ7" localSheetId="16" hidden="1">BS-[29]Monetary!$D$8:$D$8</definedName>
    <definedName name="BExXMYXSSTB1636QLYK84SG9EIZ7" localSheetId="21" hidden="1">BS-[29]Monetary!$D$8:$D$8</definedName>
    <definedName name="BExXMYXSSTB1636QLYK84SG9EIZ7" localSheetId="19" hidden="1">BS-[29]Monetary!$D$8:$D$8</definedName>
    <definedName name="BExXMYXSSTB1636QLYK84SG9EIZ7" localSheetId="17" hidden="1">BS-[29]Monetary!$D$8:$D$8</definedName>
    <definedName name="BExXMYXSSTB1636QLYK84SG9EIZ7" hidden="1">BS-[29]Monetary!$D$8:$D$8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OD4YNWAOR8FO8LSAGT5GFCGD" localSheetId="18" hidden="1">BS-non Monetary-[28]TC!$C$17:$Z$663</definedName>
    <definedName name="BExXOD4YNWAOR8FO8LSAGT5GFCGD" localSheetId="16" hidden="1">BS-non Monetary-[28]TC!$C$17:$Z$663</definedName>
    <definedName name="BExXOD4YNWAOR8FO8LSAGT5GFCGD" localSheetId="21" hidden="1">BS-non Monetary-[28]TC!$C$17:$Z$663</definedName>
    <definedName name="BExXOD4YNWAOR8FO8LSAGT5GFCGD" localSheetId="19" hidden="1">BS-non Monetary-[28]TC!$C$17:$Z$663</definedName>
    <definedName name="BExXOD4YNWAOR8FO8LSAGT5GFCGD" localSheetId="17" hidden="1">BS-non Monetary-[28]TC!$C$17:$Z$663</definedName>
    <definedName name="BExXOD4YNWAOR8FO8LSAGT5GFCGD" hidden="1">BS-non Monetary-[28]TC!$C$17:$Z$663</definedName>
    <definedName name="BExXOQXA4QLH0Y521XHHGC9VTHDA" localSheetId="18" hidden="1">BS-Equity-[28]TC!$D$6:$D$6</definedName>
    <definedName name="BExXOQXA4QLH0Y521XHHGC9VTHDA" localSheetId="16" hidden="1">BS-Equity-[28]TC!$D$6:$D$6</definedName>
    <definedName name="BExXOQXA4QLH0Y521XHHGC9VTHDA" localSheetId="21" hidden="1">BS-Equity-[28]TC!$D$6:$D$6</definedName>
    <definedName name="BExXOQXA4QLH0Y521XHHGC9VTHDA" localSheetId="19" hidden="1">BS-Equity-[28]TC!$D$6:$D$6</definedName>
    <definedName name="BExXOQXA4QLH0Y521XHHGC9VTHDA" localSheetId="17" hidden="1">BS-Equity-[28]TC!$D$6:$D$6</definedName>
    <definedName name="BExXOQXA4QLH0Y521XHHGC9VTHDA" hidden="1">BS-Equity-[28]TC!$D$6:$D$6</definedName>
    <definedName name="BExXOUO1Y1Z5MIBO3GEDU10SKTY1" localSheetId="18" hidden="1">BS-non Monitory-[31]GC!$D$8:$D$8</definedName>
    <definedName name="BExXOUO1Y1Z5MIBO3GEDU10SKTY1" localSheetId="16" hidden="1">BS-non Monitory-[31]GC!$D$8:$D$8</definedName>
    <definedName name="BExXOUO1Y1Z5MIBO3GEDU10SKTY1" localSheetId="21" hidden="1">BS-non Monitory-[31]GC!$D$8:$D$8</definedName>
    <definedName name="BExXOUO1Y1Z5MIBO3GEDU10SKTY1" localSheetId="19" hidden="1">BS-non Monitory-[31]GC!$D$8:$D$8</definedName>
    <definedName name="BExXOUO1Y1Z5MIBO3GEDU10SKTY1" localSheetId="17" hidden="1">BS-non Monitory-[31]GC!$D$8:$D$8</definedName>
    <definedName name="BExXOUO1Y1Z5MIBO3GEDU10SKTY1" hidden="1">BS-non Monitory-[31]GC!$D$8:$D$8</definedName>
    <definedName name="BExXP2GLNCNL45SABJV6E83OCMED" localSheetId="18" hidden="1">#REF!</definedName>
    <definedName name="BExXP2GLNCNL45SABJV6E83OCMED" localSheetId="16" hidden="1">#REF!</definedName>
    <definedName name="BExXP2GLNCNL45SABJV6E83OCMED" localSheetId="21" hidden="1">#REF!</definedName>
    <definedName name="BExXP2GLNCNL45SABJV6E83OCMED" localSheetId="19" hidden="1">#REF!</definedName>
    <definedName name="BExXP2GLNCNL45SABJV6E83OCMED" localSheetId="17" hidden="1">#REF!</definedName>
    <definedName name="BExXP2GLNCNL45SABJV6E83OCMED" hidden="1">#REF!</definedName>
    <definedName name="BExXPAENHPPJQZR0KR5UM9XOGFZL" localSheetId="18" hidden="1">BS-non Monetary-[27]LC!$D$6:$D$6</definedName>
    <definedName name="BExXPAENHPPJQZR0KR5UM9XOGFZL" localSheetId="16" hidden="1">BS-non Monetary-[27]LC!$D$6:$D$6</definedName>
    <definedName name="BExXPAENHPPJQZR0KR5UM9XOGFZL" localSheetId="21" hidden="1">BS-non Monetary-[27]LC!$D$6:$D$6</definedName>
    <definedName name="BExXPAENHPPJQZR0KR5UM9XOGFZL" localSheetId="19" hidden="1">BS-non Monetary-[27]LC!$D$6:$D$6</definedName>
    <definedName name="BExXPAENHPPJQZR0KR5UM9XOGFZL" localSheetId="17" hidden="1">BS-non Monetary-[27]LC!$D$6:$D$6</definedName>
    <definedName name="BExXPAENHPPJQZR0KR5UM9XOGFZL" hidden="1">BS-non Monetary-[27]LC!$D$6:$D$6</definedName>
    <definedName name="BExXPE5DMUYCU3AI25WE8RPSRNP7" localSheetId="18" hidden="1">BS-non Monetary-[27]LC!$C$13:$D$14</definedName>
    <definedName name="BExXPE5DMUYCU3AI25WE8RPSRNP7" localSheetId="16" hidden="1">BS-non Monetary-[27]LC!$C$13:$D$14</definedName>
    <definedName name="BExXPE5DMUYCU3AI25WE8RPSRNP7" localSheetId="21" hidden="1">BS-non Monetary-[27]LC!$C$13:$D$14</definedName>
    <definedName name="BExXPE5DMUYCU3AI25WE8RPSRNP7" localSheetId="19" hidden="1">BS-non Monetary-[27]LC!$C$13:$D$14</definedName>
    <definedName name="BExXPE5DMUYCU3AI25WE8RPSRNP7" localSheetId="17" hidden="1">BS-non Monetary-[27]LC!$C$13:$D$14</definedName>
    <definedName name="BExXPE5DMUYCU3AI25WE8RPSRNP7" hidden="1">BS-non Monetary-[27]LC!$C$13:$D$14</definedName>
    <definedName name="BExXQUAT4R8M9HRMRPFN0PIW3WTS" localSheetId="18" hidden="1">BS-non Monetary-[28]TC!$D$7:$D$7</definedName>
    <definedName name="BExXQUAT4R8M9HRMRPFN0PIW3WTS" localSheetId="16" hidden="1">BS-non Monetary-[28]TC!$D$7:$D$7</definedName>
    <definedName name="BExXQUAT4R8M9HRMRPFN0PIW3WTS" localSheetId="21" hidden="1">BS-non Monetary-[28]TC!$D$7:$D$7</definedName>
    <definedName name="BExXQUAT4R8M9HRMRPFN0PIW3WTS" localSheetId="19" hidden="1">BS-non Monetary-[28]TC!$D$7:$D$7</definedName>
    <definedName name="BExXQUAT4R8M9HRMRPFN0PIW3WTS" localSheetId="17" hidden="1">BS-non Monetary-[28]TC!$D$7:$D$7</definedName>
    <definedName name="BExXQUAT4R8M9HRMRPFN0PIW3WTS" hidden="1">BS-non Monetary-[28]TC!$D$7:$D$7</definedName>
    <definedName name="BExXR350QNBDPBVAO09KO7A3SGZX" hidden="1">#N/A</definedName>
    <definedName name="BExXRYGGSSVMJ61X0WJHK1IA8LIM" localSheetId="18" hidden="1">BS-non Monetary-[28]TC!$C$17:$M$516</definedName>
    <definedName name="BExXRYGGSSVMJ61X0WJHK1IA8LIM" localSheetId="16" hidden="1">BS-non Monetary-[28]TC!$C$17:$M$516</definedName>
    <definedName name="BExXRYGGSSVMJ61X0WJHK1IA8LIM" localSheetId="21" hidden="1">BS-non Monetary-[28]TC!$C$17:$M$516</definedName>
    <definedName name="BExXRYGGSSVMJ61X0WJHK1IA8LIM" localSheetId="19" hidden="1">BS-non Monetary-[28]TC!$C$17:$M$516</definedName>
    <definedName name="BExXRYGGSSVMJ61X0WJHK1IA8LIM" localSheetId="17" hidden="1">BS-non Monetary-[28]TC!$C$17:$M$516</definedName>
    <definedName name="BExXRYGGSSVMJ61X0WJHK1IA8LIM" hidden="1">BS-non Monetary-[28]TC!$C$17:$M$516</definedName>
    <definedName name="BExXSUZ7SH7G5J9UNN3KZFTW6H7D" localSheetId="18" hidden="1">BS-non Monetary-[28]TC!$D$6:$D$6</definedName>
    <definedName name="BExXSUZ7SH7G5J9UNN3KZFTW6H7D" localSheetId="16" hidden="1">BS-non Monetary-[28]TC!$D$6:$D$6</definedName>
    <definedName name="BExXSUZ7SH7G5J9UNN3KZFTW6H7D" localSheetId="21" hidden="1">BS-non Monetary-[28]TC!$D$6:$D$6</definedName>
    <definedName name="BExXSUZ7SH7G5J9UNN3KZFTW6H7D" localSheetId="19" hidden="1">BS-non Monetary-[28]TC!$D$6:$D$6</definedName>
    <definedName name="BExXSUZ7SH7G5J9UNN3KZFTW6H7D" localSheetId="17" hidden="1">BS-non Monetary-[28]TC!$D$6:$D$6</definedName>
    <definedName name="BExXSUZ7SH7G5J9UNN3KZFTW6H7D" hidden="1">BS-non Monetary-[28]TC!$D$6:$D$6</definedName>
    <definedName name="BExXSWRRKSVZTQI5HFYON9QI80UP" localSheetId="18" hidden="1">BS-non Monetary-[27]LC!$D$8:$D$8</definedName>
    <definedName name="BExXSWRRKSVZTQI5HFYON9QI80UP" localSheetId="16" hidden="1">BS-non Monetary-[27]LC!$D$8:$D$8</definedName>
    <definedName name="BExXSWRRKSVZTQI5HFYON9QI80UP" localSheetId="21" hidden="1">BS-non Monetary-[27]LC!$D$8:$D$8</definedName>
    <definedName name="BExXSWRRKSVZTQI5HFYON9QI80UP" localSheetId="19" hidden="1">BS-non Monetary-[27]LC!$D$8:$D$8</definedName>
    <definedName name="BExXSWRRKSVZTQI5HFYON9QI80UP" localSheetId="17" hidden="1">BS-non Monetary-[27]LC!$D$8:$D$8</definedName>
    <definedName name="BExXSWRRKSVZTQI5HFYON9QI80UP" hidden="1">BS-non Monetary-[27]LC!$D$8:$D$8</definedName>
    <definedName name="BExXTDJZC16W0EW7750RD5IJUUI5" localSheetId="18" hidden="1">BS-non Monetary-[28]TC!$C$17:$H$530</definedName>
    <definedName name="BExXTDJZC16W0EW7750RD5IJUUI5" localSheetId="16" hidden="1">BS-non Monetary-[28]TC!$C$17:$H$530</definedName>
    <definedName name="BExXTDJZC16W0EW7750RD5IJUUI5" localSheetId="21" hidden="1">BS-non Monetary-[28]TC!$C$17:$H$530</definedName>
    <definedName name="BExXTDJZC16W0EW7750RD5IJUUI5" localSheetId="19" hidden="1">BS-non Monetary-[28]TC!$C$17:$H$530</definedName>
    <definedName name="BExXTDJZC16W0EW7750RD5IJUUI5" localSheetId="17" hidden="1">BS-non Monetary-[28]TC!$C$17:$H$530</definedName>
    <definedName name="BExXTDJZC16W0EW7750RD5IJUUI5" hidden="1">BS-non Monetary-[28]TC!$C$17:$H$530</definedName>
    <definedName name="BExXTL77POIOKH5ZDOSBXKIFKF3R" localSheetId="18" hidden="1">TB BS non Monetary [31]GC!$C$13:$D$15</definedName>
    <definedName name="BExXTL77POIOKH5ZDOSBXKIFKF3R" localSheetId="16" hidden="1">TB BS non Monetary [31]GC!$C$13:$D$15</definedName>
    <definedName name="BExXTL77POIOKH5ZDOSBXKIFKF3R" localSheetId="21" hidden="1">TB BS non Monetary [31]GC!$C$13:$D$15</definedName>
    <definedName name="BExXTL77POIOKH5ZDOSBXKIFKF3R" localSheetId="19" hidden="1">TB BS non Monetary [31]GC!$C$13:$D$15</definedName>
    <definedName name="BExXTL77POIOKH5ZDOSBXKIFKF3R" localSheetId="17" hidden="1">TB BS non Monetary [31]GC!$C$13:$D$15</definedName>
    <definedName name="BExXTL77POIOKH5ZDOSBXKIFKF3R" hidden="1">TB BS non Monetary [31]GC!$C$13:$D$15</definedName>
    <definedName name="BExXTRCDHJ4F0OZOI2PJMVIIKO0Y" localSheetId="18" hidden="1">BS-non Monetary-[27]LC!$C$13:$D$14</definedName>
    <definedName name="BExXTRCDHJ4F0OZOI2PJMVIIKO0Y" localSheetId="16" hidden="1">BS-non Monetary-[27]LC!$C$13:$D$14</definedName>
    <definedName name="BExXTRCDHJ4F0OZOI2PJMVIIKO0Y" localSheetId="21" hidden="1">BS-non Monetary-[27]LC!$C$13:$D$14</definedName>
    <definedName name="BExXTRCDHJ4F0OZOI2PJMVIIKO0Y" localSheetId="19" hidden="1">BS-non Monetary-[27]LC!$C$13:$D$14</definedName>
    <definedName name="BExXTRCDHJ4F0OZOI2PJMVIIKO0Y" localSheetId="17" hidden="1">BS-non Monetary-[27]LC!$C$13:$D$14</definedName>
    <definedName name="BExXTRCDHJ4F0OZOI2PJMVIIKO0Y" hidden="1">BS-non Monetary-[27]LC!$C$13:$D$14</definedName>
    <definedName name="BExXTW4ZVIXLUN9APHU3LT9FAVB6" hidden="1">#N/A</definedName>
    <definedName name="BExXU5KRBW6SEPBOIWETI76TI8KD" localSheetId="18" hidden="1">BS-Equity-[28]TC!$D$7:$D$7</definedName>
    <definedName name="BExXU5KRBW6SEPBOIWETI76TI8KD" localSheetId="16" hidden="1">BS-Equity-[28]TC!$D$7:$D$7</definedName>
    <definedName name="BExXU5KRBW6SEPBOIWETI76TI8KD" localSheetId="21" hidden="1">BS-Equity-[28]TC!$D$7:$D$7</definedName>
    <definedName name="BExXU5KRBW6SEPBOIWETI76TI8KD" localSheetId="19" hidden="1">BS-Equity-[28]TC!$D$7:$D$7</definedName>
    <definedName name="BExXU5KRBW6SEPBOIWETI76TI8KD" localSheetId="17" hidden="1">BS-Equity-[28]TC!$D$7:$D$7</definedName>
    <definedName name="BExXU5KRBW6SEPBOIWETI76TI8KD" hidden="1">BS-Equity-[28]TC!$D$7:$D$7</definedName>
    <definedName name="BExXULWVLPBFYINY8VGNLOCO22GV" localSheetId="18" hidden="1">BS-non Monetary-[27]LC!$C$17:$G$662</definedName>
    <definedName name="BExXULWVLPBFYINY8VGNLOCO22GV" localSheetId="16" hidden="1">BS-non Monetary-[27]LC!$C$17:$G$662</definedName>
    <definedName name="BExXULWVLPBFYINY8VGNLOCO22GV" localSheetId="21" hidden="1">BS-non Monetary-[27]LC!$C$17:$G$662</definedName>
    <definedName name="BExXULWVLPBFYINY8VGNLOCO22GV" localSheetId="19" hidden="1">BS-non Monetary-[27]LC!$C$17:$G$662</definedName>
    <definedName name="BExXULWVLPBFYINY8VGNLOCO22GV" localSheetId="17" hidden="1">BS-non Monetary-[27]LC!$C$17:$G$662</definedName>
    <definedName name="BExXULWVLPBFYINY8VGNLOCO22GV" hidden="1">BS-non Monetary-[27]LC!$C$17:$G$662</definedName>
    <definedName name="BExXV5JIHGLTCYU9RICBT6UDP99I" hidden="1">#N/A</definedName>
    <definedName name="BExXVPX7AUDP07XWOTRNKG6YYST9" hidden="1">#N/A</definedName>
    <definedName name="BExXVQTLMQFSHJXNH8QZ39ITZ03B" localSheetId="18" hidden="1">BS-[34]Monitory!$D$6:$D$6</definedName>
    <definedName name="BExXVQTLMQFSHJXNH8QZ39ITZ03B" localSheetId="16" hidden="1">BS-[34]Monitory!$D$6:$D$6</definedName>
    <definedName name="BExXVQTLMQFSHJXNH8QZ39ITZ03B" localSheetId="21" hidden="1">BS-[34]Monitory!$D$6:$D$6</definedName>
    <definedName name="BExXVQTLMQFSHJXNH8QZ39ITZ03B" localSheetId="19" hidden="1">BS-[34]Monitory!$D$6:$D$6</definedName>
    <definedName name="BExXVQTLMQFSHJXNH8QZ39ITZ03B" localSheetId="17" hidden="1">BS-[34]Monitory!$D$6:$D$6</definedName>
    <definedName name="BExXVQTLMQFSHJXNH8QZ39ITZ03B" hidden="1">BS-[34]Monitory!$D$6:$D$6</definedName>
    <definedName name="BExXVT2F0PYL04NY0B12BCW1HDO8" localSheetId="18" hidden="1">BS-non Monetary-[27]LC!$C$13:$D$14</definedName>
    <definedName name="BExXVT2F0PYL04NY0B12BCW1HDO8" localSheetId="16" hidden="1">BS-non Monetary-[27]LC!$C$13:$D$14</definedName>
    <definedName name="BExXVT2F0PYL04NY0B12BCW1HDO8" localSheetId="21" hidden="1">BS-non Monetary-[27]LC!$C$13:$D$14</definedName>
    <definedName name="BExXVT2F0PYL04NY0B12BCW1HDO8" localSheetId="19" hidden="1">BS-non Monetary-[27]LC!$C$13:$D$14</definedName>
    <definedName name="BExXVT2F0PYL04NY0B12BCW1HDO8" localSheetId="17" hidden="1">BS-non Monetary-[27]LC!$C$13:$D$14</definedName>
    <definedName name="BExXVT2F0PYL04NY0B12BCW1HDO8" hidden="1">BS-non Monetary-[27]LC!$C$13:$D$14</definedName>
    <definedName name="BExXW5YDLQFNX2H725275K9JKRQP" localSheetId="18" hidden="1">BS-[34]Monitory!$C$13:$D$15</definedName>
    <definedName name="BExXW5YDLQFNX2H725275K9JKRQP" localSheetId="16" hidden="1">BS-[34]Monitory!$C$13:$D$15</definedName>
    <definedName name="BExXW5YDLQFNX2H725275K9JKRQP" localSheetId="21" hidden="1">BS-[34]Monitory!$C$13:$D$15</definedName>
    <definedName name="BExXW5YDLQFNX2H725275K9JKRQP" localSheetId="19" hidden="1">BS-[34]Monitory!$C$13:$D$15</definedName>
    <definedName name="BExXW5YDLQFNX2H725275K9JKRQP" localSheetId="17" hidden="1">BS-[34]Monitory!$C$13:$D$15</definedName>
    <definedName name="BExXW5YDLQFNX2H725275K9JKRQP" hidden="1">BS-[34]Monitory!$C$13:$D$15</definedName>
    <definedName name="BExXWAWHQPN550JYQC3WHUL0EN4G" hidden="1">#N/A</definedName>
    <definedName name="BExXWWMOLQ6QM60Z2P4LR5O9XKPJ" localSheetId="18" hidden="1">BS-non Monetary-[27]LC!$C$13:$D$14</definedName>
    <definedName name="BExXWWMOLQ6QM60Z2P4LR5O9XKPJ" localSheetId="16" hidden="1">BS-non Monetary-[27]LC!$C$13:$D$14</definedName>
    <definedName name="BExXWWMOLQ6QM60Z2P4LR5O9XKPJ" localSheetId="21" hidden="1">BS-non Monetary-[27]LC!$C$13:$D$14</definedName>
    <definedName name="BExXWWMOLQ6QM60Z2P4LR5O9XKPJ" localSheetId="19" hidden="1">BS-non Monetary-[27]LC!$C$13:$D$14</definedName>
    <definedName name="BExXWWMOLQ6QM60Z2P4LR5O9XKPJ" localSheetId="17" hidden="1">BS-non Monetary-[27]LC!$C$13:$D$14</definedName>
    <definedName name="BExXWWMOLQ6QM60Z2P4LR5O9XKPJ" hidden="1">BS-non Monetary-[27]LC!$C$13:$D$14</definedName>
    <definedName name="BExXXGERW8YUSOUP9GTA140PQDN0" localSheetId="18" hidden="1">BS-non Monetary-[28]TC!$C$13:$D$14</definedName>
    <definedName name="BExXXGERW8YUSOUP9GTA140PQDN0" localSheetId="16" hidden="1">BS-non Monetary-[28]TC!$C$13:$D$14</definedName>
    <definedName name="BExXXGERW8YUSOUP9GTA140PQDN0" localSheetId="21" hidden="1">BS-non Monetary-[28]TC!$C$13:$D$14</definedName>
    <definedName name="BExXXGERW8YUSOUP9GTA140PQDN0" localSheetId="19" hidden="1">BS-non Monetary-[28]TC!$C$13:$D$14</definedName>
    <definedName name="BExXXGERW8YUSOUP9GTA140PQDN0" localSheetId="17" hidden="1">BS-non Monetary-[28]TC!$C$13:$D$14</definedName>
    <definedName name="BExXXGERW8YUSOUP9GTA140PQDN0" hidden="1">BS-non Monetary-[28]TC!$C$13:$D$14</definedName>
    <definedName name="BExXXTG2R9GUPONNP0VX2ZOIOR0T" localSheetId="18" hidden="1">BS-non Monetary-[27]LC!$D$7:$D$7</definedName>
    <definedName name="BExXXTG2R9GUPONNP0VX2ZOIOR0T" localSheetId="16" hidden="1">BS-non Monetary-[27]LC!$D$7:$D$7</definedName>
    <definedName name="BExXXTG2R9GUPONNP0VX2ZOIOR0T" localSheetId="21" hidden="1">BS-non Monetary-[27]LC!$D$7:$D$7</definedName>
    <definedName name="BExXXTG2R9GUPONNP0VX2ZOIOR0T" localSheetId="19" hidden="1">BS-non Monetary-[27]LC!$D$7:$D$7</definedName>
    <definedName name="BExXXTG2R9GUPONNP0VX2ZOIOR0T" localSheetId="17" hidden="1">BS-non Monetary-[27]LC!$D$7:$D$7</definedName>
    <definedName name="BExXXTG2R9GUPONNP0VX2ZOIOR0T" hidden="1">BS-non Monetary-[27]LC!$D$7:$D$7</definedName>
    <definedName name="BExXY4JATB1Y42GPKVYV98HC5CTV" localSheetId="18" hidden="1">Balance [33]Sheet!$C$17:$Q$713</definedName>
    <definedName name="BExXY4JATB1Y42GPKVYV98HC5CTV" localSheetId="16" hidden="1">Balance [33]Sheet!$C$17:$Q$713</definedName>
    <definedName name="BExXY4JATB1Y42GPKVYV98HC5CTV" localSheetId="21" hidden="1">Balance [33]Sheet!$C$17:$Q$713</definedName>
    <definedName name="BExXY4JATB1Y42GPKVYV98HC5CTV" localSheetId="19" hidden="1">Balance [33]Sheet!$C$17:$Q$713</definedName>
    <definedName name="BExXY4JATB1Y42GPKVYV98HC5CTV" localSheetId="17" hidden="1">Balance [33]Sheet!$C$17:$Q$713</definedName>
    <definedName name="BExXY4JATB1Y42GPKVYV98HC5CTV" hidden="1">Balance [33]Sheet!$C$17:$Q$713</definedName>
    <definedName name="BExXYCH41DZ6ID27KWS6A71R4U5D" localSheetId="18" hidden="1">BS-non Monetary-[28]TC!$D$6:$D$6</definedName>
    <definedName name="BExXYCH41DZ6ID27KWS6A71R4U5D" localSheetId="16" hidden="1">BS-non Monetary-[28]TC!$D$6:$D$6</definedName>
    <definedName name="BExXYCH41DZ6ID27KWS6A71R4U5D" localSheetId="21" hidden="1">BS-non Monetary-[28]TC!$D$6:$D$6</definedName>
    <definedName name="BExXYCH41DZ6ID27KWS6A71R4U5D" localSheetId="19" hidden="1">BS-non Monetary-[28]TC!$D$6:$D$6</definedName>
    <definedName name="BExXYCH41DZ6ID27KWS6A71R4U5D" localSheetId="17" hidden="1">BS-non Monetary-[28]TC!$D$6:$D$6</definedName>
    <definedName name="BExXYCH41DZ6ID27KWS6A71R4U5D" hidden="1">BS-non Monetary-[28]TC!$D$6:$D$6</definedName>
    <definedName name="BExXYKPW58UEUXUNIGSNUH8860LB" localSheetId="18" hidden="1">BS-non Monetary-[27]LC!$D$7:$D$7</definedName>
    <definedName name="BExXYKPW58UEUXUNIGSNUH8860LB" localSheetId="16" hidden="1">BS-non Monetary-[27]LC!$D$7:$D$7</definedName>
    <definedName name="BExXYKPW58UEUXUNIGSNUH8860LB" localSheetId="21" hidden="1">BS-non Monetary-[27]LC!$D$7:$D$7</definedName>
    <definedName name="BExXYKPW58UEUXUNIGSNUH8860LB" localSheetId="19" hidden="1">BS-non Monetary-[27]LC!$D$7:$D$7</definedName>
    <definedName name="BExXYKPW58UEUXUNIGSNUH8860LB" localSheetId="17" hidden="1">BS-non Monetary-[27]LC!$D$7:$D$7</definedName>
    <definedName name="BExXYKPW58UEUXUNIGSNUH8860LB" hidden="1">BS-non Monetary-[27]LC!$D$7:$D$7</definedName>
    <definedName name="BExXYVCUN4CU6ZKFYVG55W7O5UZH" hidden="1">#N/A</definedName>
    <definedName name="BExXZ5P760W4VWHANCLOEBXKGZQK" localSheetId="18" hidden="1">BS-non Monitory-[28]TC!$D$6:$D$6</definedName>
    <definedName name="BExXZ5P760W4VWHANCLOEBXKGZQK" localSheetId="16" hidden="1">BS-non Monitory-[28]TC!$D$6:$D$6</definedName>
    <definedName name="BExXZ5P760W4VWHANCLOEBXKGZQK" localSheetId="21" hidden="1">BS-non Monitory-[28]TC!$D$6:$D$6</definedName>
    <definedName name="BExXZ5P760W4VWHANCLOEBXKGZQK" localSheetId="19" hidden="1">BS-non Monitory-[28]TC!$D$6:$D$6</definedName>
    <definedName name="BExXZ5P760W4VWHANCLOEBXKGZQK" localSheetId="17" hidden="1">BS-non Monitory-[28]TC!$D$6:$D$6</definedName>
    <definedName name="BExXZ5P760W4VWHANCLOEBXKGZQK" hidden="1">BS-non Monitory-[28]TC!$D$6:$D$6</definedName>
    <definedName name="BExXZJMSMAJZKFAIRQ89DEQ0IKMM" localSheetId="18" hidden="1">Balance [33]Sheet!$C$13:$D$15</definedName>
    <definedName name="BExXZJMSMAJZKFAIRQ89DEQ0IKMM" localSheetId="16" hidden="1">Balance [33]Sheet!$C$13:$D$15</definedName>
    <definedName name="BExXZJMSMAJZKFAIRQ89DEQ0IKMM" localSheetId="21" hidden="1">Balance [33]Sheet!$C$13:$D$15</definedName>
    <definedName name="BExXZJMSMAJZKFAIRQ89DEQ0IKMM" localSheetId="19" hidden="1">Balance [33]Sheet!$C$13:$D$15</definedName>
    <definedName name="BExXZJMSMAJZKFAIRQ89DEQ0IKMM" localSheetId="17" hidden="1">Balance [33]Sheet!$C$13:$D$15</definedName>
    <definedName name="BExXZJMSMAJZKFAIRQ89DEQ0IKMM" hidden="1">Balance [33]Sheet!$C$13:$D$15</definedName>
    <definedName name="BExXZSRTW5JW71MSIF8MO1AFS8DE" localSheetId="18" hidden="1">BS-[29]Monetary!$D$6:$D$6</definedName>
    <definedName name="BExXZSRTW5JW71MSIF8MO1AFS8DE" localSheetId="16" hidden="1">BS-[29]Monetary!$D$6:$D$6</definedName>
    <definedName name="BExXZSRTW5JW71MSIF8MO1AFS8DE" localSheetId="21" hidden="1">BS-[29]Monetary!$D$6:$D$6</definedName>
    <definedName name="BExXZSRTW5JW71MSIF8MO1AFS8DE" localSheetId="19" hidden="1">BS-[29]Monetary!$D$6:$D$6</definedName>
    <definedName name="BExXZSRTW5JW71MSIF8MO1AFS8DE" localSheetId="17" hidden="1">BS-[29]Monetary!$D$6:$D$6</definedName>
    <definedName name="BExXZSRTW5JW71MSIF8MO1AFS8DE" hidden="1">BS-[29]Monetary!$D$6:$D$6</definedName>
    <definedName name="BExY09EQOJDRQ7463KZ8ZVF8T1GS" localSheetId="18" hidden="1">BS-non Monetary-[28]TC!$D$6:$D$6</definedName>
    <definedName name="BExY09EQOJDRQ7463KZ8ZVF8T1GS" localSheetId="16" hidden="1">BS-non Monetary-[28]TC!$D$6:$D$6</definedName>
    <definedName name="BExY09EQOJDRQ7463KZ8ZVF8T1GS" localSheetId="21" hidden="1">BS-non Monetary-[28]TC!$D$6:$D$6</definedName>
    <definedName name="BExY09EQOJDRQ7463KZ8ZVF8T1GS" localSheetId="19" hidden="1">BS-non Monetary-[28]TC!$D$6:$D$6</definedName>
    <definedName name="BExY09EQOJDRQ7463KZ8ZVF8T1GS" localSheetId="17" hidden="1">BS-non Monetary-[28]TC!$D$6:$D$6</definedName>
    <definedName name="BExY09EQOJDRQ7463KZ8ZVF8T1GS" hidden="1">BS-non Monetary-[28]TC!$D$6:$D$6</definedName>
    <definedName name="BExY0DB03PU4V1HVZ2IEBAOVCAQ2" localSheetId="18" hidden="1">BS-Equity-[28]TC!$D$6:$D$6</definedName>
    <definedName name="BExY0DB03PU4V1HVZ2IEBAOVCAQ2" localSheetId="16" hidden="1">BS-Equity-[28]TC!$D$6:$D$6</definedName>
    <definedName name="BExY0DB03PU4V1HVZ2IEBAOVCAQ2" localSheetId="21" hidden="1">BS-Equity-[28]TC!$D$6:$D$6</definedName>
    <definedName name="BExY0DB03PU4V1HVZ2IEBAOVCAQ2" localSheetId="19" hidden="1">BS-Equity-[28]TC!$D$6:$D$6</definedName>
    <definedName name="BExY0DB03PU4V1HVZ2IEBAOVCAQ2" localSheetId="17" hidden="1">BS-Equity-[28]TC!$D$6:$D$6</definedName>
    <definedName name="BExY0DB03PU4V1HVZ2IEBAOVCAQ2" hidden="1">BS-Equity-[28]TC!$D$6:$D$6</definedName>
    <definedName name="BExY0TMY3B7OOKSIBAGEJP52V7YT" localSheetId="18" hidden="1">BS-non Monetary-[27]LC!$D$6:$D$6</definedName>
    <definedName name="BExY0TMY3B7OOKSIBAGEJP52V7YT" localSheetId="16" hidden="1">BS-non Monetary-[27]LC!$D$6:$D$6</definedName>
    <definedName name="BExY0TMY3B7OOKSIBAGEJP52V7YT" localSheetId="21" hidden="1">BS-non Monetary-[27]LC!$D$6:$D$6</definedName>
    <definedName name="BExY0TMY3B7OOKSIBAGEJP52V7YT" localSheetId="19" hidden="1">BS-non Monetary-[27]LC!$D$6:$D$6</definedName>
    <definedName name="BExY0TMY3B7OOKSIBAGEJP52V7YT" localSheetId="17" hidden="1">BS-non Monetary-[27]LC!$D$6:$D$6</definedName>
    <definedName name="BExY0TMY3B7OOKSIBAGEJP52V7YT" hidden="1">BS-non Monetary-[27]LC!$D$6:$D$6</definedName>
    <definedName name="BExY17KKRQW3XC1DBF9EKUZZOUQT" localSheetId="18" hidden="1">BS Equity [30]Item!$D$6:$D$6</definedName>
    <definedName name="BExY17KKRQW3XC1DBF9EKUZZOUQT" localSheetId="16" hidden="1">BS Equity [30]Item!$D$6:$D$6</definedName>
    <definedName name="BExY17KKRQW3XC1DBF9EKUZZOUQT" localSheetId="21" hidden="1">BS Equity [30]Item!$D$6:$D$6</definedName>
    <definedName name="BExY17KKRQW3XC1DBF9EKUZZOUQT" localSheetId="19" hidden="1">BS Equity [30]Item!$D$6:$D$6</definedName>
    <definedName name="BExY17KKRQW3XC1DBF9EKUZZOUQT" localSheetId="17" hidden="1">BS Equity [30]Item!$D$6:$D$6</definedName>
    <definedName name="BExY17KKRQW3XC1DBF9EKUZZOUQT" hidden="1">BS Equity [30]Item!$D$6:$D$6</definedName>
    <definedName name="BExY1GKB6LOVBUNIJ3F8TEE0QK62" localSheetId="18" hidden="1">BS-non Monetary-[27]LC!$D$6:$D$6</definedName>
    <definedName name="BExY1GKB6LOVBUNIJ3F8TEE0QK62" localSheetId="16" hidden="1">BS-non Monetary-[27]LC!$D$6:$D$6</definedName>
    <definedName name="BExY1GKB6LOVBUNIJ3F8TEE0QK62" localSheetId="21" hidden="1">BS-non Monetary-[27]LC!$D$6:$D$6</definedName>
    <definedName name="BExY1GKB6LOVBUNIJ3F8TEE0QK62" localSheetId="19" hidden="1">BS-non Monetary-[27]LC!$D$6:$D$6</definedName>
    <definedName name="BExY1GKB6LOVBUNIJ3F8TEE0QK62" localSheetId="17" hidden="1">BS-non Monetary-[27]LC!$D$6:$D$6</definedName>
    <definedName name="BExY1GKB6LOVBUNIJ3F8TEE0QK62" hidden="1">BS-non Monetary-[27]LC!$D$6:$D$6</definedName>
    <definedName name="BExY1QGBKQHQPZST140TAWBWPQVX" hidden="1">#N/A</definedName>
    <definedName name="BExY2LMGCQGBTS0SH0IMVFSTIGCV" localSheetId="18" hidden="1">BS-[34]Monitory!$D$7:$D$7</definedName>
    <definedName name="BExY2LMGCQGBTS0SH0IMVFSTIGCV" localSheetId="16" hidden="1">BS-[34]Monitory!$D$7:$D$7</definedName>
    <definedName name="BExY2LMGCQGBTS0SH0IMVFSTIGCV" localSheetId="21" hidden="1">BS-[34]Monitory!$D$7:$D$7</definedName>
    <definedName name="BExY2LMGCQGBTS0SH0IMVFSTIGCV" localSheetId="19" hidden="1">BS-[34]Monitory!$D$7:$D$7</definedName>
    <definedName name="BExY2LMGCQGBTS0SH0IMVFSTIGCV" localSheetId="17" hidden="1">BS-[34]Monitory!$D$7:$D$7</definedName>
    <definedName name="BExY2LMGCQGBTS0SH0IMVFSTIGCV" hidden="1">BS-[34]Monitory!$D$7:$D$7</definedName>
    <definedName name="BExY36AZ6GKXMHX57BFX8HSRCO41" localSheetId="18" hidden="1">BS-[34]Monitory!$C$13:$D$15</definedName>
    <definedName name="BExY36AZ6GKXMHX57BFX8HSRCO41" localSheetId="16" hidden="1">BS-[34]Monitory!$C$13:$D$15</definedName>
    <definedName name="BExY36AZ6GKXMHX57BFX8HSRCO41" localSheetId="21" hidden="1">BS-[34]Monitory!$C$13:$D$15</definedName>
    <definedName name="BExY36AZ6GKXMHX57BFX8HSRCO41" localSheetId="19" hidden="1">BS-[34]Monitory!$C$13:$D$15</definedName>
    <definedName name="BExY36AZ6GKXMHX57BFX8HSRCO41" localSheetId="17" hidden="1">BS-[34]Monitory!$C$13:$D$15</definedName>
    <definedName name="BExY36AZ6GKXMHX57BFX8HSRCO41" hidden="1">BS-[34]Monitory!$C$13:$D$15</definedName>
    <definedName name="BExY3MS7M4I13X5LD8D74ZM77GX2" localSheetId="18" hidden="1">BS-Equity-[28]TC!$D$6:$D$6</definedName>
    <definedName name="BExY3MS7M4I13X5LD8D74ZM77GX2" localSheetId="16" hidden="1">BS-Equity-[28]TC!$D$6:$D$6</definedName>
    <definedName name="BExY3MS7M4I13X5LD8D74ZM77GX2" localSheetId="21" hidden="1">BS-Equity-[28]TC!$D$6:$D$6</definedName>
    <definedName name="BExY3MS7M4I13X5LD8D74ZM77GX2" localSheetId="19" hidden="1">BS-Equity-[28]TC!$D$6:$D$6</definedName>
    <definedName name="BExY3MS7M4I13X5LD8D74ZM77GX2" localSheetId="17" hidden="1">BS-Equity-[28]TC!$D$6:$D$6</definedName>
    <definedName name="BExY3MS7M4I13X5LD8D74ZM77GX2" hidden="1">BS-Equity-[28]TC!$D$6:$D$6</definedName>
    <definedName name="BExY3QZGHKBQ46Y2R7RFBBDFCD6L" localSheetId="18" hidden="1">BS-[34]Monitory!$D$8:$D$8</definedName>
    <definedName name="BExY3QZGHKBQ46Y2R7RFBBDFCD6L" localSheetId="16" hidden="1">BS-[34]Monitory!$D$8:$D$8</definedName>
    <definedName name="BExY3QZGHKBQ46Y2R7RFBBDFCD6L" localSheetId="21" hidden="1">BS-[34]Monitory!$D$8:$D$8</definedName>
    <definedName name="BExY3QZGHKBQ46Y2R7RFBBDFCD6L" localSheetId="19" hidden="1">BS-[34]Monitory!$D$8:$D$8</definedName>
    <definedName name="BExY3QZGHKBQ46Y2R7RFBBDFCD6L" localSheetId="17" hidden="1">BS-[34]Monitory!$D$8:$D$8</definedName>
    <definedName name="BExY3QZGHKBQ46Y2R7RFBBDFCD6L" hidden="1">BS-[34]Monitory!$D$8:$D$8</definedName>
    <definedName name="BExY3UVJH7082NH3QAOUYOW7L7M9" hidden="1">#N/A</definedName>
    <definedName name="BExY3YX8OY10QC4MQ3XJ6992P5WP" localSheetId="18" hidden="1">BS-[29]Monetary!$D$8:$D$8</definedName>
    <definedName name="BExY3YX8OY10QC4MQ3XJ6992P5WP" localSheetId="16" hidden="1">BS-[29]Monetary!$D$8:$D$8</definedName>
    <definedName name="BExY3YX8OY10QC4MQ3XJ6992P5WP" localSheetId="21" hidden="1">BS-[29]Monetary!$D$8:$D$8</definedName>
    <definedName name="BExY3YX8OY10QC4MQ3XJ6992P5WP" localSheetId="19" hidden="1">BS-[29]Monetary!$D$8:$D$8</definedName>
    <definedName name="BExY3YX8OY10QC4MQ3XJ6992P5WP" localSheetId="17" hidden="1">BS-[29]Monetary!$D$8:$D$8</definedName>
    <definedName name="BExY3YX8OY10QC4MQ3XJ6992P5WP" hidden="1">BS-[29]Monetary!$D$8:$D$8</definedName>
    <definedName name="BExY4A5YEZIE4KRUPPHU3X91GKGG" localSheetId="18" hidden="1">BS-non Monetary-[27]LC!$D$6:$D$6</definedName>
    <definedName name="BExY4A5YEZIE4KRUPPHU3X91GKGG" localSheetId="16" hidden="1">BS-non Monetary-[27]LC!$D$6:$D$6</definedName>
    <definedName name="BExY4A5YEZIE4KRUPPHU3X91GKGG" localSheetId="21" hidden="1">BS-non Monetary-[27]LC!$D$6:$D$6</definedName>
    <definedName name="BExY4A5YEZIE4KRUPPHU3X91GKGG" localSheetId="19" hidden="1">BS-non Monetary-[27]LC!$D$6:$D$6</definedName>
    <definedName name="BExY4A5YEZIE4KRUPPHU3X91GKGG" localSheetId="17" hidden="1">BS-non Monetary-[27]LC!$D$6:$D$6</definedName>
    <definedName name="BExY4A5YEZIE4KRUPPHU3X91GKGG" hidden="1">BS-non Monetary-[27]LC!$D$6:$D$6</definedName>
    <definedName name="BExY544SE5QBW2B020GPDO6278CO" localSheetId="18" hidden="1">BS-non Monetary-[27]LC!$C$17:$G$504</definedName>
    <definedName name="BExY544SE5QBW2B020GPDO6278CO" localSheetId="16" hidden="1">BS-non Monetary-[27]LC!$C$17:$G$504</definedName>
    <definedName name="BExY544SE5QBW2B020GPDO6278CO" localSheetId="21" hidden="1">BS-non Monetary-[27]LC!$C$17:$G$504</definedName>
    <definedName name="BExY544SE5QBW2B020GPDO6278CO" localSheetId="19" hidden="1">BS-non Monetary-[27]LC!$C$17:$G$504</definedName>
    <definedName name="BExY544SE5QBW2B020GPDO6278CO" localSheetId="17" hidden="1">BS-non Monetary-[27]LC!$C$17:$G$504</definedName>
    <definedName name="BExY544SE5QBW2B020GPDO6278CO" hidden="1">BS-non Monetary-[27]LC!$C$17:$G$504</definedName>
    <definedName name="BExY586J31DVWT0F82I792S32J4T" localSheetId="18" hidden="1">BS-[29]Monetary!$D$7:$D$7</definedName>
    <definedName name="BExY586J31DVWT0F82I792S32J4T" localSheetId="16" hidden="1">BS-[29]Monetary!$D$7:$D$7</definedName>
    <definedName name="BExY586J31DVWT0F82I792S32J4T" localSheetId="21" hidden="1">BS-[29]Monetary!$D$7:$D$7</definedName>
    <definedName name="BExY586J31DVWT0F82I792S32J4T" localSheetId="19" hidden="1">BS-[29]Monetary!$D$7:$D$7</definedName>
    <definedName name="BExY586J31DVWT0F82I792S32J4T" localSheetId="17" hidden="1">BS-[29]Monetary!$D$7:$D$7</definedName>
    <definedName name="BExY586J31DVWT0F82I792S32J4T" hidden="1">BS-[29]Monetary!$D$7:$D$7</definedName>
    <definedName name="BExY64P31TT9VQ296ZOTEF5QZ4QX" hidden="1">#N/A</definedName>
    <definedName name="BExZI6HUW7ETTB3LBN8LF8GQJVMQ" localSheetId="18" hidden="1">BS-non Monetary-[28]TC!$C$17:$F$530</definedName>
    <definedName name="BExZI6HUW7ETTB3LBN8LF8GQJVMQ" localSheetId="16" hidden="1">BS-non Monetary-[28]TC!$C$17:$F$530</definedName>
    <definedName name="BExZI6HUW7ETTB3LBN8LF8GQJVMQ" localSheetId="21" hidden="1">BS-non Monetary-[28]TC!$C$17:$F$530</definedName>
    <definedName name="BExZI6HUW7ETTB3LBN8LF8GQJVMQ" localSheetId="19" hidden="1">BS-non Monetary-[28]TC!$C$17:$F$530</definedName>
    <definedName name="BExZI6HUW7ETTB3LBN8LF8GQJVMQ" localSheetId="17" hidden="1">BS-non Monetary-[28]TC!$C$17:$F$530</definedName>
    <definedName name="BExZI6HUW7ETTB3LBN8LF8GQJVMQ" hidden="1">BS-non Monetary-[28]TC!$C$17:$F$530</definedName>
    <definedName name="BExZIAE3BYSEXNJMUIA2F9UVL18S" localSheetId="18" hidden="1">BS-non Monetary-[27]LC!$D$8:$D$8</definedName>
    <definedName name="BExZIAE3BYSEXNJMUIA2F9UVL18S" localSheetId="16" hidden="1">BS-non Monetary-[27]LC!$D$8:$D$8</definedName>
    <definedName name="BExZIAE3BYSEXNJMUIA2F9UVL18S" localSheetId="21" hidden="1">BS-non Monetary-[27]LC!$D$8:$D$8</definedName>
    <definedName name="BExZIAE3BYSEXNJMUIA2F9UVL18S" localSheetId="19" hidden="1">BS-non Monetary-[27]LC!$D$8:$D$8</definedName>
    <definedName name="BExZIAE3BYSEXNJMUIA2F9UVL18S" localSheetId="17" hidden="1">BS-non Monetary-[27]LC!$D$8:$D$8</definedName>
    <definedName name="BExZIAE3BYSEXNJMUIA2F9UVL18S" hidden="1">BS-non Monetary-[27]LC!$D$8:$D$8</definedName>
    <definedName name="BExZJ4D3HXT240JOTHL06D0DKDZ0" localSheetId="18" hidden="1">BS-[29]Monetary!$D$6:$D$6</definedName>
    <definedName name="BExZJ4D3HXT240JOTHL06D0DKDZ0" localSheetId="16" hidden="1">BS-[29]Monetary!$D$6:$D$6</definedName>
    <definedName name="BExZJ4D3HXT240JOTHL06D0DKDZ0" localSheetId="21" hidden="1">BS-[29]Monetary!$D$6:$D$6</definedName>
    <definedName name="BExZJ4D3HXT240JOTHL06D0DKDZ0" localSheetId="19" hidden="1">BS-[29]Monetary!$D$6:$D$6</definedName>
    <definedName name="BExZJ4D3HXT240JOTHL06D0DKDZ0" localSheetId="17" hidden="1">BS-[29]Monetary!$D$6:$D$6</definedName>
    <definedName name="BExZJ4D3HXT240JOTHL06D0DKDZ0" hidden="1">BS-[29]Monetary!$D$6:$D$6</definedName>
    <definedName name="BExZJ7YKWGRT7WRMWOK0HFM0YQ4I" localSheetId="18" hidden="1">BS-non Monetary-[27]LC!$C$13:$D$14</definedName>
    <definedName name="BExZJ7YKWGRT7WRMWOK0HFM0YQ4I" localSheetId="16" hidden="1">BS-non Monetary-[27]LC!$C$13:$D$14</definedName>
    <definedName name="BExZJ7YKWGRT7WRMWOK0HFM0YQ4I" localSheetId="21" hidden="1">BS-non Monetary-[27]LC!$C$13:$D$14</definedName>
    <definedName name="BExZJ7YKWGRT7WRMWOK0HFM0YQ4I" localSheetId="19" hidden="1">BS-non Monetary-[27]LC!$C$13:$D$14</definedName>
    <definedName name="BExZJ7YKWGRT7WRMWOK0HFM0YQ4I" localSheetId="17" hidden="1">BS-non Monetary-[27]LC!$C$13:$D$14</definedName>
    <definedName name="BExZJ7YKWGRT7WRMWOK0HFM0YQ4I" hidden="1">BS-non Monetary-[27]LC!$C$13:$D$14</definedName>
    <definedName name="BExZJWU33K1FEJUU7D9ZGQDZ01YV" localSheetId="18" hidden="1">TB BS Monetary [30]Item!$D$8:$D$8</definedName>
    <definedName name="BExZJWU33K1FEJUU7D9ZGQDZ01YV" localSheetId="16" hidden="1">TB BS Monetary [30]Item!$D$8:$D$8</definedName>
    <definedName name="BExZJWU33K1FEJUU7D9ZGQDZ01YV" localSheetId="21" hidden="1">TB BS Monetary [30]Item!$D$8:$D$8</definedName>
    <definedName name="BExZJWU33K1FEJUU7D9ZGQDZ01YV" localSheetId="19" hidden="1">TB BS Monetary [30]Item!$D$8:$D$8</definedName>
    <definedName name="BExZJWU33K1FEJUU7D9ZGQDZ01YV" localSheetId="17" hidden="1">TB BS Monetary [30]Item!$D$8:$D$8</definedName>
    <definedName name="BExZJWU33K1FEJUU7D9ZGQDZ01YV" hidden="1">TB BS Monetary [30]Item!$D$8:$D$8</definedName>
    <definedName name="BExZKJWW2U1D5MUMTQCOK3X7SH5U" localSheetId="18" hidden="1">BS-non Monetary-[27]LC!$C$17:$G$504</definedName>
    <definedName name="BExZKJWW2U1D5MUMTQCOK3X7SH5U" localSheetId="16" hidden="1">BS-non Monetary-[27]LC!$C$17:$G$504</definedName>
    <definedName name="BExZKJWW2U1D5MUMTQCOK3X7SH5U" localSheetId="21" hidden="1">BS-non Monetary-[27]LC!$C$17:$G$504</definedName>
    <definedName name="BExZKJWW2U1D5MUMTQCOK3X7SH5U" localSheetId="19" hidden="1">BS-non Monetary-[27]LC!$C$17:$G$504</definedName>
    <definedName name="BExZKJWW2U1D5MUMTQCOK3X7SH5U" localSheetId="17" hidden="1">BS-non Monetary-[27]LC!$C$17:$G$504</definedName>
    <definedName name="BExZKJWW2U1D5MUMTQCOK3X7SH5U" hidden="1">BS-non Monetary-[27]LC!$C$17:$G$504</definedName>
    <definedName name="BExZKSGBE1MS02IIM264DCKBFTXE" localSheetId="18" hidden="1">BS-Equity-[27]LC!$C$13:$D$15</definedName>
    <definedName name="BExZKSGBE1MS02IIM264DCKBFTXE" localSheetId="16" hidden="1">BS-Equity-[27]LC!$C$13:$D$15</definedName>
    <definedName name="BExZKSGBE1MS02IIM264DCKBFTXE" localSheetId="21" hidden="1">BS-Equity-[27]LC!$C$13:$D$15</definedName>
    <definedName name="BExZKSGBE1MS02IIM264DCKBFTXE" localSheetId="19" hidden="1">BS-Equity-[27]LC!$C$13:$D$15</definedName>
    <definedName name="BExZKSGBE1MS02IIM264DCKBFTXE" localSheetId="17" hidden="1">BS-Equity-[27]LC!$C$13:$D$15</definedName>
    <definedName name="BExZKSGBE1MS02IIM264DCKBFTXE" hidden="1">BS-Equity-[27]LC!$C$13:$D$15</definedName>
    <definedName name="BExZKTI0YT5U5BV9SHG0XJIYT0B0" localSheetId="18" hidden="1">BS-non Monetary-[28]TC!$D$7:$D$7</definedName>
    <definedName name="BExZKTI0YT5U5BV9SHG0XJIYT0B0" localSheetId="16" hidden="1">BS-non Monetary-[28]TC!$D$7:$D$7</definedName>
    <definedName name="BExZKTI0YT5U5BV9SHG0XJIYT0B0" localSheetId="21" hidden="1">BS-non Monetary-[28]TC!$D$7:$D$7</definedName>
    <definedName name="BExZKTI0YT5U5BV9SHG0XJIYT0B0" localSheetId="19" hidden="1">BS-non Monetary-[28]TC!$D$7:$D$7</definedName>
    <definedName name="BExZKTI0YT5U5BV9SHG0XJIYT0B0" localSheetId="17" hidden="1">BS-non Monetary-[28]TC!$D$7:$D$7</definedName>
    <definedName name="BExZKTI0YT5U5BV9SHG0XJIYT0B0" hidden="1">BS-non Monetary-[28]TC!$D$7:$D$7</definedName>
    <definedName name="BExZLM4HXR864WJ4NMWCQYZGI3YN" localSheetId="18" hidden="1">BS-non Monitory-[31]GC!$C$17:$F$416</definedName>
    <definedName name="BExZLM4HXR864WJ4NMWCQYZGI3YN" localSheetId="16" hidden="1">BS-non Monitory-[31]GC!$C$17:$F$416</definedName>
    <definedName name="BExZLM4HXR864WJ4NMWCQYZGI3YN" localSheetId="21" hidden="1">BS-non Monitory-[31]GC!$C$17:$F$416</definedName>
    <definedName name="BExZLM4HXR864WJ4NMWCQYZGI3YN" localSheetId="19" hidden="1">BS-non Monitory-[31]GC!$C$17:$F$416</definedName>
    <definedName name="BExZLM4HXR864WJ4NMWCQYZGI3YN" localSheetId="17" hidden="1">BS-non Monitory-[31]GC!$C$17:$F$416</definedName>
    <definedName name="BExZLM4HXR864WJ4NMWCQYZGI3YN" hidden="1">BS-non Monitory-[31]GC!$C$17:$F$416</definedName>
    <definedName name="BExZMDUFMTGZ2W1S5Z4494AOGUUE" localSheetId="18" hidden="1">TB-[35]BS!$C$13:$D$15</definedName>
    <definedName name="BExZMDUFMTGZ2W1S5Z4494AOGUUE" localSheetId="16" hidden="1">TB-[35]BS!$C$13:$D$15</definedName>
    <definedName name="BExZMDUFMTGZ2W1S5Z4494AOGUUE" localSheetId="21" hidden="1">TB-[35]BS!$C$13:$D$15</definedName>
    <definedName name="BExZMDUFMTGZ2W1S5Z4494AOGUUE" localSheetId="19" hidden="1">TB-[35]BS!$C$13:$D$15</definedName>
    <definedName name="BExZMDUFMTGZ2W1S5Z4494AOGUUE" localSheetId="17" hidden="1">TB-[35]BS!$C$13:$D$15</definedName>
    <definedName name="BExZMDUFMTGZ2W1S5Z4494AOGUUE" hidden="1">TB-[35]BS!$C$13:$D$15</definedName>
    <definedName name="BExZMMJDGYPAEOTXBESSC5VPBE0D" localSheetId="18" hidden="1">BS-[34]Monitory!$D$6:$D$6</definedName>
    <definedName name="BExZMMJDGYPAEOTXBESSC5VPBE0D" localSheetId="16" hidden="1">BS-[34]Monitory!$D$6:$D$6</definedName>
    <definedName name="BExZMMJDGYPAEOTXBESSC5VPBE0D" localSheetId="21" hidden="1">BS-[34]Monitory!$D$6:$D$6</definedName>
    <definedName name="BExZMMJDGYPAEOTXBESSC5VPBE0D" localSheetId="19" hidden="1">BS-[34]Monitory!$D$6:$D$6</definedName>
    <definedName name="BExZMMJDGYPAEOTXBESSC5VPBE0D" localSheetId="17" hidden="1">BS-[34]Monitory!$D$6:$D$6</definedName>
    <definedName name="BExZMMJDGYPAEOTXBESSC5VPBE0D" hidden="1">BS-[34]Monitory!$D$6:$D$6</definedName>
    <definedName name="BExZMTQC2Z54KQ44Z0OTWN4H38SR" localSheetId="18" hidden="1">BS-non Monetary-[28]TC!$C$13:$D$14</definedName>
    <definedName name="BExZMTQC2Z54KQ44Z0OTWN4H38SR" localSheetId="16" hidden="1">BS-non Monetary-[28]TC!$C$13:$D$14</definedName>
    <definedName name="BExZMTQC2Z54KQ44Z0OTWN4H38SR" localSheetId="21" hidden="1">BS-non Monetary-[28]TC!$C$13:$D$14</definedName>
    <definedName name="BExZMTQC2Z54KQ44Z0OTWN4H38SR" localSheetId="19" hidden="1">BS-non Monetary-[28]TC!$C$13:$D$14</definedName>
    <definedName name="BExZMTQC2Z54KQ44Z0OTWN4H38SR" localSheetId="17" hidden="1">BS-non Monetary-[28]TC!$C$13:$D$14</definedName>
    <definedName name="BExZMTQC2Z54KQ44Z0OTWN4H38SR" hidden="1">BS-non Monetary-[28]TC!$C$13:$D$14</definedName>
    <definedName name="BExZN7IMY9MJU9J2TA6CFYVSNEGU" localSheetId="18" hidden="1">BS-non Monetary-[27]LC!$C$17:$G$504</definedName>
    <definedName name="BExZN7IMY9MJU9J2TA6CFYVSNEGU" localSheetId="16" hidden="1">BS-non Monetary-[27]LC!$C$17:$G$504</definedName>
    <definedName name="BExZN7IMY9MJU9J2TA6CFYVSNEGU" localSheetId="21" hidden="1">BS-non Monetary-[27]LC!$C$17:$G$504</definedName>
    <definedName name="BExZN7IMY9MJU9J2TA6CFYVSNEGU" localSheetId="19" hidden="1">BS-non Monetary-[27]LC!$C$17:$G$504</definedName>
    <definedName name="BExZN7IMY9MJU9J2TA6CFYVSNEGU" localSheetId="17" hidden="1">BS-non Monetary-[27]LC!$C$17:$G$504</definedName>
    <definedName name="BExZN7IMY9MJU9J2TA6CFYVSNEGU" hidden="1">BS-non Monetary-[27]LC!$C$17:$G$504</definedName>
    <definedName name="BExZNRG2EIS2EMZMQGJ07IE1Q0WO" hidden="1">#N/A</definedName>
    <definedName name="BExZO9Q7RMXXDEA7T3QODVNUCXXM" localSheetId="18" hidden="1">BS-non Monetary-[28]TC!$D$6:$D$6</definedName>
    <definedName name="BExZO9Q7RMXXDEA7T3QODVNUCXXM" localSheetId="16" hidden="1">BS-non Monetary-[28]TC!$D$6:$D$6</definedName>
    <definedName name="BExZO9Q7RMXXDEA7T3QODVNUCXXM" localSheetId="21" hidden="1">BS-non Monetary-[28]TC!$D$6:$D$6</definedName>
    <definedName name="BExZO9Q7RMXXDEA7T3QODVNUCXXM" localSheetId="19" hidden="1">BS-non Monetary-[28]TC!$D$6:$D$6</definedName>
    <definedName name="BExZO9Q7RMXXDEA7T3QODVNUCXXM" localSheetId="17" hidden="1">BS-non Monetary-[28]TC!$D$6:$D$6</definedName>
    <definedName name="BExZO9Q7RMXXDEA7T3QODVNUCXXM" hidden="1">BS-non Monetary-[28]TC!$D$6:$D$6</definedName>
    <definedName name="BExZOPWV0HR2MU9G3236O11VQEPY" localSheetId="18" hidden="1">BS-[29]Monetary!$D$8:$D$8</definedName>
    <definedName name="BExZOPWV0HR2MU9G3236O11VQEPY" localSheetId="16" hidden="1">BS-[29]Monetary!$D$8:$D$8</definedName>
    <definedName name="BExZOPWV0HR2MU9G3236O11VQEPY" localSheetId="21" hidden="1">BS-[29]Monetary!$D$8:$D$8</definedName>
    <definedName name="BExZOPWV0HR2MU9G3236O11VQEPY" localSheetId="19" hidden="1">BS-[29]Monetary!$D$8:$D$8</definedName>
    <definedName name="BExZOPWV0HR2MU9G3236O11VQEPY" localSheetId="17" hidden="1">BS-[29]Monetary!$D$8:$D$8</definedName>
    <definedName name="BExZOPWV0HR2MU9G3236O11VQEPY" hidden="1">BS-[29]Monetary!$D$8:$D$8</definedName>
    <definedName name="BExZOTYGC0MGVGXI2HOZUN17GVVY" localSheetId="18" hidden="1">BS-non Monetary-[28]TC!$C$13:$D$15</definedName>
    <definedName name="BExZOTYGC0MGVGXI2HOZUN17GVVY" localSheetId="16" hidden="1">BS-non Monetary-[28]TC!$C$13:$D$15</definedName>
    <definedName name="BExZOTYGC0MGVGXI2HOZUN17GVVY" localSheetId="21" hidden="1">BS-non Monetary-[28]TC!$C$13:$D$15</definedName>
    <definedName name="BExZOTYGC0MGVGXI2HOZUN17GVVY" localSheetId="19" hidden="1">BS-non Monetary-[28]TC!$C$13:$D$15</definedName>
    <definedName name="BExZOTYGC0MGVGXI2HOZUN17GVVY" localSheetId="17" hidden="1">BS-non Monetary-[28]TC!$C$13:$D$15</definedName>
    <definedName name="BExZOTYGC0MGVGXI2HOZUN17GVVY" hidden="1">BS-non Monetary-[28]TC!$C$13:$D$15</definedName>
    <definedName name="BExZOZ7BPP3K1X0V3X9ZU6HJY47P" localSheetId="18" hidden="1">BS-non Monetary-[28]TC!$C$13:$D$14</definedName>
    <definedName name="BExZOZ7BPP3K1X0V3X9ZU6HJY47P" localSheetId="16" hidden="1">BS-non Monetary-[28]TC!$C$13:$D$14</definedName>
    <definedName name="BExZOZ7BPP3K1X0V3X9ZU6HJY47P" localSheetId="21" hidden="1">BS-non Monetary-[28]TC!$C$13:$D$14</definedName>
    <definedName name="BExZOZ7BPP3K1X0V3X9ZU6HJY47P" localSheetId="19" hidden="1">BS-non Monetary-[28]TC!$C$13:$D$14</definedName>
    <definedName name="BExZOZ7BPP3K1X0V3X9ZU6HJY47P" localSheetId="17" hidden="1">BS-non Monetary-[28]TC!$C$13:$D$14</definedName>
    <definedName name="BExZOZ7BPP3K1X0V3X9ZU6HJY47P" hidden="1">BS-non Monetary-[28]TC!$C$13:$D$14</definedName>
    <definedName name="BExZP1LIC907GLXRJZVBZ1NJSSXU" localSheetId="18" hidden="1">BS-non Monetary-[27]LC!$C$13:$D$14</definedName>
    <definedName name="BExZP1LIC907GLXRJZVBZ1NJSSXU" localSheetId="16" hidden="1">BS-non Monetary-[27]LC!$C$13:$D$14</definedName>
    <definedName name="BExZP1LIC907GLXRJZVBZ1NJSSXU" localSheetId="21" hidden="1">BS-non Monetary-[27]LC!$C$13:$D$14</definedName>
    <definedName name="BExZP1LIC907GLXRJZVBZ1NJSSXU" localSheetId="19" hidden="1">BS-non Monetary-[27]LC!$C$13:$D$14</definedName>
    <definedName name="BExZP1LIC907GLXRJZVBZ1NJSSXU" localSheetId="17" hidden="1">BS-non Monetary-[27]LC!$C$13:$D$14</definedName>
    <definedName name="BExZP1LIC907GLXRJZVBZ1NJSSXU" hidden="1">BS-non Monetary-[27]LC!$C$13:$D$14</definedName>
    <definedName name="BExZP98PG8JAXI4JGRXGOI5JM36D" hidden="1">#N/A</definedName>
    <definedName name="BExZP9E6RFJ00HV0Q8GIUPBXTOXW" localSheetId="18" hidden="1">BS-[29]Monetary!$D$7:$D$7</definedName>
    <definedName name="BExZP9E6RFJ00HV0Q8GIUPBXTOXW" localSheetId="16" hidden="1">BS-[29]Monetary!$D$7:$D$7</definedName>
    <definedName name="BExZP9E6RFJ00HV0Q8GIUPBXTOXW" localSheetId="21" hidden="1">BS-[29]Monetary!$D$7:$D$7</definedName>
    <definedName name="BExZP9E6RFJ00HV0Q8GIUPBXTOXW" localSheetId="19" hidden="1">BS-[29]Monetary!$D$7:$D$7</definedName>
    <definedName name="BExZP9E6RFJ00HV0Q8GIUPBXTOXW" localSheetId="17" hidden="1">BS-[29]Monetary!$D$7:$D$7</definedName>
    <definedName name="BExZP9E6RFJ00HV0Q8GIUPBXTOXW" hidden="1">BS-[29]Monetary!$D$7:$D$7</definedName>
    <definedName name="BExZPU7ZTRCT0U1527P9KFAMJEZX" localSheetId="18" hidden="1">BS-non Monetary-[27]LC!$D$7:$D$7</definedName>
    <definedName name="BExZPU7ZTRCT0U1527P9KFAMJEZX" localSheetId="16" hidden="1">BS-non Monetary-[27]LC!$D$7:$D$7</definedName>
    <definedName name="BExZPU7ZTRCT0U1527P9KFAMJEZX" localSheetId="21" hidden="1">BS-non Monetary-[27]LC!$D$7:$D$7</definedName>
    <definedName name="BExZPU7ZTRCT0U1527P9KFAMJEZX" localSheetId="19" hidden="1">BS-non Monetary-[27]LC!$D$7:$D$7</definedName>
    <definedName name="BExZPU7ZTRCT0U1527P9KFAMJEZX" localSheetId="17" hidden="1">BS-non Monetary-[27]LC!$D$7:$D$7</definedName>
    <definedName name="BExZPU7ZTRCT0U1527P9KFAMJEZX" hidden="1">BS-non Monetary-[27]LC!$D$7:$D$7</definedName>
    <definedName name="BExZPZBF6JNLNAXN7HLYC35XTAT3" localSheetId="18" hidden="1">BS-non Monetary-[27]LC!$D$7:$D$7</definedName>
    <definedName name="BExZPZBF6JNLNAXN7HLYC35XTAT3" localSheetId="16" hidden="1">BS-non Monetary-[27]LC!$D$7:$D$7</definedName>
    <definedName name="BExZPZBF6JNLNAXN7HLYC35XTAT3" localSheetId="21" hidden="1">BS-non Monetary-[27]LC!$D$7:$D$7</definedName>
    <definedName name="BExZPZBF6JNLNAXN7HLYC35XTAT3" localSheetId="19" hidden="1">BS-non Monetary-[27]LC!$D$7:$D$7</definedName>
    <definedName name="BExZPZBF6JNLNAXN7HLYC35XTAT3" localSheetId="17" hidden="1">BS-non Monetary-[27]LC!$D$7:$D$7</definedName>
    <definedName name="BExZPZBF6JNLNAXN7HLYC35XTAT3" hidden="1">BS-non Monetary-[27]LC!$D$7:$D$7</definedName>
    <definedName name="BExZQB5JZWCOCC7IRYIAULUQC3XG" hidden="1">#N/A</definedName>
    <definedName name="BExZQMZSCVZBPH8BAQD7DU4PHOQ8" localSheetId="18" hidden="1">BS-non Monetary-[27]LC!$C$13:$D$14</definedName>
    <definedName name="BExZQMZSCVZBPH8BAQD7DU4PHOQ8" localSheetId="16" hidden="1">BS-non Monetary-[27]LC!$C$13:$D$14</definedName>
    <definedName name="BExZQMZSCVZBPH8BAQD7DU4PHOQ8" localSheetId="21" hidden="1">BS-non Monetary-[27]LC!$C$13:$D$14</definedName>
    <definedName name="BExZQMZSCVZBPH8BAQD7DU4PHOQ8" localSheetId="19" hidden="1">BS-non Monetary-[27]LC!$C$13:$D$14</definedName>
    <definedName name="BExZQMZSCVZBPH8BAQD7DU4PHOQ8" localSheetId="17" hidden="1">BS-non Monetary-[27]LC!$C$13:$D$14</definedName>
    <definedName name="BExZQMZSCVZBPH8BAQD7DU4PHOQ8" hidden="1">BS-non Monetary-[27]LC!$C$13:$D$14</definedName>
    <definedName name="BExZQUC3R1C0CLQP27CUZTDTYXU7" localSheetId="18" hidden="1">BS-Equity-[28]TC!$C$13:$D$14</definedName>
    <definedName name="BExZQUC3R1C0CLQP27CUZTDTYXU7" localSheetId="16" hidden="1">BS-Equity-[28]TC!$C$13:$D$14</definedName>
    <definedName name="BExZQUC3R1C0CLQP27CUZTDTYXU7" localSheetId="21" hidden="1">BS-Equity-[28]TC!$C$13:$D$14</definedName>
    <definedName name="BExZQUC3R1C0CLQP27CUZTDTYXU7" localSheetId="19" hidden="1">BS-Equity-[28]TC!$C$13:$D$14</definedName>
    <definedName name="BExZQUC3R1C0CLQP27CUZTDTYXU7" localSheetId="17" hidden="1">BS-Equity-[28]TC!$C$13:$D$14</definedName>
    <definedName name="BExZQUC3R1C0CLQP27CUZTDTYXU7" hidden="1">BS-Equity-[28]TC!$C$13:$D$14</definedName>
    <definedName name="BExZRBV788IXO88PWDZ972XQLYOW" localSheetId="18" hidden="1">BS-[29]Monetary!$C$17:$I$297</definedName>
    <definedName name="BExZRBV788IXO88PWDZ972XQLYOW" localSheetId="16" hidden="1">BS-[29]Monetary!$C$17:$I$297</definedName>
    <definedName name="BExZRBV788IXO88PWDZ972XQLYOW" localSheetId="21" hidden="1">BS-[29]Monetary!$C$17:$I$297</definedName>
    <definedName name="BExZRBV788IXO88PWDZ972XQLYOW" localSheetId="19" hidden="1">BS-[29]Monetary!$C$17:$I$297</definedName>
    <definedName name="BExZRBV788IXO88PWDZ972XQLYOW" localSheetId="17" hidden="1">BS-[29]Monetary!$C$17:$I$297</definedName>
    <definedName name="BExZRBV788IXO88PWDZ972XQLYOW" hidden="1">BS-[29]Monetary!$C$17:$I$297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RYN7AUTW05RVOH1EILBUK1X3" localSheetId="18" hidden="1">BS-non Monitory-[31]GC!$D$8:$D$8</definedName>
    <definedName name="BExZRYN7AUTW05RVOH1EILBUK1X3" localSheetId="16" hidden="1">BS-non Monitory-[31]GC!$D$8:$D$8</definedName>
    <definedName name="BExZRYN7AUTW05RVOH1EILBUK1X3" localSheetId="21" hidden="1">BS-non Monitory-[31]GC!$D$8:$D$8</definedName>
    <definedName name="BExZRYN7AUTW05RVOH1EILBUK1X3" localSheetId="19" hidden="1">BS-non Monitory-[31]GC!$D$8:$D$8</definedName>
    <definedName name="BExZRYN7AUTW05RVOH1EILBUK1X3" localSheetId="17" hidden="1">BS-non Monitory-[31]GC!$D$8:$D$8</definedName>
    <definedName name="BExZRYN7AUTW05RVOH1EILBUK1X3" hidden="1">BS-non Monitory-[31]GC!$D$8:$D$8</definedName>
    <definedName name="BExZSM62WTUO2W378UE6RTRRZCF1" localSheetId="18" hidden="1">BS-non Monetary-[28]TC!$C$13:$D$14</definedName>
    <definedName name="BExZSM62WTUO2W378UE6RTRRZCF1" localSheetId="16" hidden="1">BS-non Monetary-[28]TC!$C$13:$D$14</definedName>
    <definedName name="BExZSM62WTUO2W378UE6RTRRZCF1" localSheetId="21" hidden="1">BS-non Monetary-[28]TC!$C$13:$D$14</definedName>
    <definedName name="BExZSM62WTUO2W378UE6RTRRZCF1" localSheetId="19" hidden="1">BS-non Monetary-[28]TC!$C$13:$D$14</definedName>
    <definedName name="BExZSM62WTUO2W378UE6RTRRZCF1" localSheetId="17" hidden="1">BS-non Monetary-[28]TC!$C$13:$D$14</definedName>
    <definedName name="BExZSM62WTUO2W378UE6RTRRZCF1" hidden="1">BS-non Monetary-[28]TC!$C$13:$D$14</definedName>
    <definedName name="BExZT5I44XAFNM0I32YHCC2FYGTY" localSheetId="18" hidden="1">BS-Equity-[28]TC!$C$17:$E$95</definedName>
    <definedName name="BExZT5I44XAFNM0I32YHCC2FYGTY" localSheetId="16" hidden="1">BS-Equity-[28]TC!$C$17:$E$95</definedName>
    <definedName name="BExZT5I44XAFNM0I32YHCC2FYGTY" localSheetId="21" hidden="1">BS-Equity-[28]TC!$C$17:$E$95</definedName>
    <definedName name="BExZT5I44XAFNM0I32YHCC2FYGTY" localSheetId="19" hidden="1">BS-Equity-[28]TC!$C$17:$E$95</definedName>
    <definedName name="BExZT5I44XAFNM0I32YHCC2FYGTY" localSheetId="17" hidden="1">BS-Equity-[28]TC!$C$17:$E$95</definedName>
    <definedName name="BExZT5I44XAFNM0I32YHCC2FYGTY" hidden="1">BS-Equity-[28]TC!$C$17:$E$95</definedName>
    <definedName name="BExZTHXSMKDM85GQ6X1GKVH31T3E" hidden="1">#N/A</definedName>
    <definedName name="BExZTO8EQTW6H676ETSJO1QTL4VQ" hidden="1">#N/A</definedName>
    <definedName name="BExZV2QD0NBRQCWF3GPFSM2MX0TC" localSheetId="18" hidden="1">BS-[29]Monetary!$C$17:$F$862</definedName>
    <definedName name="BExZV2QD0NBRQCWF3GPFSM2MX0TC" localSheetId="16" hidden="1">BS-[29]Monetary!$C$17:$F$862</definedName>
    <definedName name="BExZV2QD0NBRQCWF3GPFSM2MX0TC" localSheetId="21" hidden="1">BS-[29]Monetary!$C$17:$F$862</definedName>
    <definedName name="BExZV2QD0NBRQCWF3GPFSM2MX0TC" localSheetId="19" hidden="1">BS-[29]Monetary!$C$17:$F$862</definedName>
    <definedName name="BExZV2QD0NBRQCWF3GPFSM2MX0TC" localSheetId="17" hidden="1">BS-[29]Monetary!$C$17:$F$862</definedName>
    <definedName name="BExZV2QD0NBRQCWF3GPFSM2MX0TC" hidden="1">BS-[29]Monetary!$C$17:$F$862</definedName>
    <definedName name="BExZWJXFC3EFBA1ZDQPFLD0BQPWQ" hidden="1">#N/A</definedName>
    <definedName name="BExZX4LXKP3LMGFGCWVMOUV2E25N" localSheetId="18" hidden="1">BS-non Monetary-[28]TC!$D$7:$D$7</definedName>
    <definedName name="BExZX4LXKP3LMGFGCWVMOUV2E25N" localSheetId="16" hidden="1">BS-non Monetary-[28]TC!$D$7:$D$7</definedName>
    <definedName name="BExZX4LXKP3LMGFGCWVMOUV2E25N" localSheetId="21" hidden="1">BS-non Monetary-[28]TC!$D$7:$D$7</definedName>
    <definedName name="BExZX4LXKP3LMGFGCWVMOUV2E25N" localSheetId="19" hidden="1">BS-non Monetary-[28]TC!$D$7:$D$7</definedName>
    <definedName name="BExZX4LXKP3LMGFGCWVMOUV2E25N" localSheetId="17" hidden="1">BS-non Monetary-[28]TC!$D$7:$D$7</definedName>
    <definedName name="BExZX4LXKP3LMGFGCWVMOUV2E25N" hidden="1">BS-non Monetary-[28]TC!$D$7:$D$7</definedName>
    <definedName name="BExZXG584BE77RIWSAGRGBXDJNV5" localSheetId="18" hidden="1">BS-Equity-[28]TC!$C$13:$D$14</definedName>
    <definedName name="BExZXG584BE77RIWSAGRGBXDJNV5" localSheetId="16" hidden="1">BS-Equity-[28]TC!$C$13:$D$14</definedName>
    <definedName name="BExZXG584BE77RIWSAGRGBXDJNV5" localSheetId="21" hidden="1">BS-Equity-[28]TC!$C$13:$D$14</definedName>
    <definedName name="BExZXG584BE77RIWSAGRGBXDJNV5" localSheetId="19" hidden="1">BS-Equity-[28]TC!$C$13:$D$14</definedName>
    <definedName name="BExZXG584BE77RIWSAGRGBXDJNV5" localSheetId="17" hidden="1">BS-Equity-[28]TC!$C$13:$D$14</definedName>
    <definedName name="BExZXG584BE77RIWSAGRGBXDJNV5" hidden="1">BS-Equity-[28]TC!$C$13:$D$14</definedName>
    <definedName name="BExZXLOY1YYNCUNZ7FZKZR4V248T" localSheetId="18" hidden="1">BS-non Monetary-[28]TC!$C$13:$D$14</definedName>
    <definedName name="BExZXLOY1YYNCUNZ7FZKZR4V248T" localSheetId="16" hidden="1">BS-non Monetary-[28]TC!$C$13:$D$14</definedName>
    <definedName name="BExZXLOY1YYNCUNZ7FZKZR4V248T" localSheetId="21" hidden="1">BS-non Monetary-[28]TC!$C$13:$D$14</definedName>
    <definedName name="BExZXLOY1YYNCUNZ7FZKZR4V248T" localSheetId="19" hidden="1">BS-non Monetary-[28]TC!$C$13:$D$14</definedName>
    <definedName name="BExZXLOY1YYNCUNZ7FZKZR4V248T" localSheetId="17" hidden="1">BS-non Monetary-[28]TC!$C$13:$D$14</definedName>
    <definedName name="BExZXLOY1YYNCUNZ7FZKZR4V248T" hidden="1">BS-non Monetary-[28]TC!$C$13:$D$14</definedName>
    <definedName name="BExZY5X6WT0XDI9MR7SUPZA34LDA" localSheetId="18" hidden="1">BS-non Monetary-[27]LC!$D$6:$D$6</definedName>
    <definedName name="BExZY5X6WT0XDI9MR7SUPZA34LDA" localSheetId="16" hidden="1">BS-non Monetary-[27]LC!$D$6:$D$6</definedName>
    <definedName name="BExZY5X6WT0XDI9MR7SUPZA34LDA" localSheetId="21" hidden="1">BS-non Monetary-[27]LC!$D$6:$D$6</definedName>
    <definedName name="BExZY5X6WT0XDI9MR7SUPZA34LDA" localSheetId="19" hidden="1">BS-non Monetary-[27]LC!$D$6:$D$6</definedName>
    <definedName name="BExZY5X6WT0XDI9MR7SUPZA34LDA" localSheetId="17" hidden="1">BS-non Monetary-[27]LC!$D$6:$D$6</definedName>
    <definedName name="BExZY5X6WT0XDI9MR7SUPZA34LDA" hidden="1">BS-non Monetary-[27]LC!$D$6:$D$6</definedName>
    <definedName name="BExZYH5OXF8X7QGEQJ6P9FHNSQI2" hidden="1">#N/A</definedName>
    <definedName name="BExZYXHTJTKWQP67UMM8D0VUZ5EZ" localSheetId="18" hidden="1">BS-non Monetary-[28]TC!$C$13:$D$14</definedName>
    <definedName name="BExZYXHTJTKWQP67UMM8D0VUZ5EZ" localSheetId="16" hidden="1">BS-non Monetary-[28]TC!$C$13:$D$14</definedName>
    <definedName name="BExZYXHTJTKWQP67UMM8D0VUZ5EZ" localSheetId="21" hidden="1">BS-non Monetary-[28]TC!$C$13:$D$14</definedName>
    <definedName name="BExZYXHTJTKWQP67UMM8D0VUZ5EZ" localSheetId="19" hidden="1">BS-non Monetary-[28]TC!$C$13:$D$14</definedName>
    <definedName name="BExZYXHTJTKWQP67UMM8D0VUZ5EZ" localSheetId="17" hidden="1">BS-non Monetary-[28]TC!$C$13:$D$14</definedName>
    <definedName name="BExZYXHTJTKWQP67UMM8D0VUZ5EZ" hidden="1">BS-non Monetary-[28]TC!$C$13:$D$14</definedName>
    <definedName name="BExZZ8A7VC39JMYFNUZK5RYGY0VZ" hidden="1">#N/A</definedName>
    <definedName name="BExZZ9S1QJHESO9WH21G0ROO3ZUR" hidden="1">#N/A</definedName>
    <definedName name="BExZZDTQZCXXLOY1580YIWWTOY9Q" localSheetId="18" hidden="1">#REF!</definedName>
    <definedName name="BExZZDTQZCXXLOY1580YIWWTOY9Q" localSheetId="16" hidden="1">#REF!</definedName>
    <definedName name="BExZZDTQZCXXLOY1580YIWWTOY9Q" localSheetId="21" hidden="1">#REF!</definedName>
    <definedName name="BExZZDTQZCXXLOY1580YIWWTOY9Q" localSheetId="19" hidden="1">#REF!</definedName>
    <definedName name="BExZZDTQZCXXLOY1580YIWWTOY9Q" localSheetId="17" hidden="1">#REF!</definedName>
    <definedName name="BExZZDTQZCXXLOY1580YIWWTOY9Q" hidden="1">#REF!</definedName>
    <definedName name="BExZZU5PUQT7WMX3UP7EIDQEPLPS" localSheetId="18" hidden="1">BS-non Monetary-[27]LC!$C$17:$H$515</definedName>
    <definedName name="BExZZU5PUQT7WMX3UP7EIDQEPLPS" localSheetId="16" hidden="1">BS-non Monetary-[27]LC!$C$17:$H$515</definedName>
    <definedName name="BExZZU5PUQT7WMX3UP7EIDQEPLPS" localSheetId="21" hidden="1">BS-non Monetary-[27]LC!$C$17:$H$515</definedName>
    <definedName name="BExZZU5PUQT7WMX3UP7EIDQEPLPS" localSheetId="19" hidden="1">BS-non Monetary-[27]LC!$C$17:$H$515</definedName>
    <definedName name="BExZZU5PUQT7WMX3UP7EIDQEPLPS" localSheetId="17" hidden="1">BS-non Monetary-[27]LC!$C$17:$H$515</definedName>
    <definedName name="BExZZU5PUQT7WMX3UP7EIDQEPLPS" hidden="1">BS-non Monetary-[27]LC!$C$17:$H$515</definedName>
    <definedName name="BG.EDI" localSheetId="18">#REF!</definedName>
    <definedName name="BG.EDI" localSheetId="16">#REF!</definedName>
    <definedName name="BG.EDI" localSheetId="21">#REF!</definedName>
    <definedName name="BG.EDI" localSheetId="19">#REF!</definedName>
    <definedName name="BG.EDI" localSheetId="17">#REF!</definedName>
    <definedName name="BG.EDI">#REF!</definedName>
    <definedName name="BG.NURSALI" localSheetId="18">#REF!</definedName>
    <definedName name="BG.NURSALI" localSheetId="16">#REF!</definedName>
    <definedName name="BG.NURSALI" localSheetId="21">#REF!</definedName>
    <definedName name="BG.NURSALI" localSheetId="19">#REF!</definedName>
    <definedName name="BG.NURSALI" localSheetId="17">#REF!</definedName>
    <definedName name="BG.NURSALI">#REF!</definedName>
    <definedName name="BG.SUGI" localSheetId="18">#REF!</definedName>
    <definedName name="BG.SUGI" localSheetId="16">#REF!</definedName>
    <definedName name="BG.SUGI" localSheetId="21">#REF!</definedName>
    <definedName name="BG.SUGI" localSheetId="19">#REF!</definedName>
    <definedName name="BG.SUGI" localSheetId="17">#REF!</definedName>
    <definedName name="BG.SUGI">#REF!</definedName>
    <definedName name="BG.TATI">#REF!</definedName>
    <definedName name="BG_Del" hidden="1">15</definedName>
    <definedName name="BG_Ins" hidden="1">4</definedName>
    <definedName name="BG_Mod" hidden="1">6</definedName>
    <definedName name="BH">#REF!</definedName>
    <definedName name="Biaya">#REF!</definedName>
    <definedName name="bln">[36]PTKP!$B$18:$B$29</definedName>
    <definedName name="BlnIni">[37]Periode!$J$18</definedName>
    <definedName name="BlnLalu">[37]Periode!$J$13</definedName>
    <definedName name="BNE" localSheetId="18" hidden="1">#REF!</definedName>
    <definedName name="BNE" localSheetId="16" hidden="1">#REF!</definedName>
    <definedName name="BNE" localSheetId="19" hidden="1">#REF!</definedName>
    <definedName name="BNE" localSheetId="17" hidden="1">#REF!</definedName>
    <definedName name="BNE" hidden="1">#REF!</definedName>
    <definedName name="bpll02tm" localSheetId="18">'Hutang Usaha ISP 2023'!bpll02tm</definedName>
    <definedName name="bpll02tm" localSheetId="16">'Piutang IAS 2023'!bpll02tm</definedName>
    <definedName name="bpll02tm" localSheetId="21">'Piutang Usaha 2021'!bpll02tm</definedName>
    <definedName name="bpll02tm" localSheetId="19">'Piutang Usaha 2022'!bpll02tm</definedName>
    <definedName name="bpll02tm" localSheetId="17">'Piutang Usaha ISP 2023'!bpll02tm</definedName>
    <definedName name="bpll02tm">bpll02tm</definedName>
    <definedName name="bpll03tm" localSheetId="18">'Hutang Usaha ISP 2023'!bpll03tm</definedName>
    <definedName name="bpll03tm" localSheetId="16">'Piutang IAS 2023'!bpll03tm</definedName>
    <definedName name="bpll03tm" localSheetId="21">'Piutang Usaha 2021'!bpll03tm</definedName>
    <definedName name="bpll03tm" localSheetId="19">'Piutang Usaha 2022'!bpll03tm</definedName>
    <definedName name="bpll03tm" localSheetId="17">'Piutang Usaha ISP 2023'!bpll03tm</definedName>
    <definedName name="bpll03tm">bpll03tm</definedName>
    <definedName name="BUD" localSheetId="18">#REF!</definedName>
    <definedName name="BUD" localSheetId="16">#REF!</definedName>
    <definedName name="BUD" localSheetId="21">#REF!</definedName>
    <definedName name="BUD" localSheetId="19">#REF!</definedName>
    <definedName name="BUD" localSheetId="17">#REF!</definedName>
    <definedName name="BUD">#REF!</definedName>
    <definedName name="budi" localSheetId="18">'[17]POT-0601'!#REF!</definedName>
    <definedName name="budi" localSheetId="16">'[17]POT-0601'!#REF!</definedName>
    <definedName name="budi" localSheetId="21">'[17]POT-0601'!#REF!</definedName>
    <definedName name="budi" localSheetId="19">'[17]POT-0601'!#REF!</definedName>
    <definedName name="budi" localSheetId="17">'[17]POT-0601'!#REF!</definedName>
    <definedName name="budi">'[17]POT-0601'!#REF!</definedName>
    <definedName name="BuiltIn_Print_Area___4" localSheetId="18">#REF!</definedName>
    <definedName name="BuiltIn_Print_Area___4" localSheetId="16">#REF!</definedName>
    <definedName name="BuiltIn_Print_Area___4" localSheetId="21">#REF!</definedName>
    <definedName name="BuiltIn_Print_Area___4" localSheetId="19">#REF!</definedName>
    <definedName name="BuiltIn_Print_Area___4" localSheetId="17">#REF!</definedName>
    <definedName name="BuiltIn_Print_Area___4">#REF!</definedName>
    <definedName name="bulan" localSheetId="18">'[18]POT-0601'!#REF!</definedName>
    <definedName name="bulan" localSheetId="16">'[18]POT-0601'!#REF!</definedName>
    <definedName name="bulan" localSheetId="21">'[18]POT-0601'!#REF!</definedName>
    <definedName name="bulan" localSheetId="19">'[18]POT-0601'!#REF!</definedName>
    <definedName name="bulan" localSheetId="17">'[18]POT-0601'!#REF!</definedName>
    <definedName name="bulan">'[18]POT-0601'!#REF!</definedName>
    <definedName name="BulanContra">[22]Contra!$D$10:$D$384</definedName>
    <definedName name="BulanDN">'[21]Debit Note'!$D$7:$D$62</definedName>
    <definedName name="BulanEkspor" localSheetId="18">#REF!</definedName>
    <definedName name="BulanEkspor" localSheetId="16">#REF!</definedName>
    <definedName name="BulanEkspor" localSheetId="19">#REF!</definedName>
    <definedName name="BulanEkspor" localSheetId="17">#REF!</definedName>
    <definedName name="BulanEkspor">#REF!</definedName>
    <definedName name="BulanInd">[37]Periode!$S$3:$U$15</definedName>
    <definedName name="BulanJournal">[23]Journal!$D$7:$D$784</definedName>
    <definedName name="BulanLokal" localSheetId="18">#REF!</definedName>
    <definedName name="BulanLokal" localSheetId="16">#REF!</definedName>
    <definedName name="BulanLokal" localSheetId="19">#REF!</definedName>
    <definedName name="BulanLokal" localSheetId="17">#REF!</definedName>
    <definedName name="BulanLokal">#REF!</definedName>
    <definedName name="BulanPayment">[23]Payment!$D$7:$D$873</definedName>
    <definedName name="BulanPE" localSheetId="18">#REF!</definedName>
    <definedName name="BulanPE" localSheetId="16">#REF!</definedName>
    <definedName name="BulanPE" localSheetId="19">#REF!</definedName>
    <definedName name="BulanPE" localSheetId="17">#REF!</definedName>
    <definedName name="BulanPE">#REF!</definedName>
    <definedName name="BulanPurchase" localSheetId="18">#REF!</definedName>
    <definedName name="BulanPurchase" localSheetId="16">#REF!</definedName>
    <definedName name="BulanPurchase" localSheetId="19">#REF!</definedName>
    <definedName name="BulanPurchase" localSheetId="17">#REF!</definedName>
    <definedName name="BulanPurchase">#REF!</definedName>
    <definedName name="BulanRecipt">[23]Receipt!$D$7:$D$480</definedName>
    <definedName name="BulanRM" localSheetId="18">#REF!</definedName>
    <definedName name="BulanRM" localSheetId="16">#REF!</definedName>
    <definedName name="BulanRM" localSheetId="19">#REF!</definedName>
    <definedName name="BulanRM" localSheetId="17">#REF!</definedName>
    <definedName name="BulanRM">#REF!</definedName>
    <definedName name="BulanSales" localSheetId="18">#REF!</definedName>
    <definedName name="BulanSales" localSheetId="16">#REF!</definedName>
    <definedName name="BulanSales" localSheetId="19">#REF!</definedName>
    <definedName name="BulanSales" localSheetId="17">#REF!</definedName>
    <definedName name="BulanSales">#REF!</definedName>
    <definedName name="bunga.aan" localSheetId="18">'[18]POT-0601'!#REF!</definedName>
    <definedName name="bunga.aan" localSheetId="16">'[18]POT-0601'!#REF!</definedName>
    <definedName name="bunga.aan" localSheetId="19">'[18]POT-0601'!#REF!</definedName>
    <definedName name="bunga.aan" localSheetId="17">'[18]POT-0601'!#REF!</definedName>
    <definedName name="bunga.aan">'[18]POT-0601'!#REF!</definedName>
    <definedName name="bunga.atun" localSheetId="18">'[18]POT-0601'!#REF!</definedName>
    <definedName name="bunga.atun" localSheetId="16">'[18]POT-0601'!#REF!</definedName>
    <definedName name="bunga.atun" localSheetId="19">'[18]POT-0601'!#REF!</definedName>
    <definedName name="bunga.atun" localSheetId="17">'[18]POT-0601'!#REF!</definedName>
    <definedName name="bunga.atun">'[18]POT-0601'!#REF!</definedName>
    <definedName name="bunga.diman" localSheetId="18">#REF!</definedName>
    <definedName name="bunga.diman" localSheetId="16">#REF!</definedName>
    <definedName name="bunga.diman" localSheetId="19">#REF!</definedName>
    <definedName name="bunga.diman" localSheetId="17">#REF!</definedName>
    <definedName name="bunga.diman">#REF!</definedName>
    <definedName name="bunga.fredi" localSheetId="18">'[18]POT-0601'!#REF!</definedName>
    <definedName name="bunga.fredi" localSheetId="16">'[18]POT-0601'!#REF!</definedName>
    <definedName name="bunga.fredi" localSheetId="19">'[18]POT-0601'!#REF!</definedName>
    <definedName name="bunga.fredi" localSheetId="17">'[18]POT-0601'!#REF!</definedName>
    <definedName name="bunga.fredi">'[18]POT-0601'!#REF!</definedName>
    <definedName name="bunga.ina" localSheetId="18">'[18]POT-0601'!#REF!</definedName>
    <definedName name="bunga.ina" localSheetId="16">'[18]POT-0601'!#REF!</definedName>
    <definedName name="bunga.ina" localSheetId="19">'[18]POT-0601'!#REF!</definedName>
    <definedName name="bunga.ina" localSheetId="17">'[18]POT-0601'!#REF!</definedName>
    <definedName name="bunga.ina">'[18]POT-0601'!#REF!</definedName>
    <definedName name="bunga.kholil" localSheetId="18">#REF!</definedName>
    <definedName name="bunga.kholil" localSheetId="16">#REF!</definedName>
    <definedName name="bunga.kholil" localSheetId="19">#REF!</definedName>
    <definedName name="bunga.kholil" localSheetId="17">#REF!</definedName>
    <definedName name="bunga.kholil">#REF!</definedName>
    <definedName name="bunga.mbok" localSheetId="18">'[18]POT-0601'!#REF!</definedName>
    <definedName name="bunga.mbok" localSheetId="16">'[18]POT-0601'!#REF!</definedName>
    <definedName name="bunga.mbok" localSheetId="19">'[18]POT-0601'!#REF!</definedName>
    <definedName name="bunga.mbok" localSheetId="17">'[18]POT-0601'!#REF!</definedName>
    <definedName name="bunga.mbok">'[18]POT-0601'!#REF!</definedName>
    <definedName name="bunga.novita" localSheetId="18">#REF!</definedName>
    <definedName name="bunga.novita" localSheetId="16">#REF!</definedName>
    <definedName name="bunga.novita" localSheetId="19">#REF!</definedName>
    <definedName name="bunga.novita" localSheetId="17">#REF!</definedName>
    <definedName name="bunga.novita">#REF!</definedName>
    <definedName name="bunga.nug" localSheetId="18">#REF!</definedName>
    <definedName name="bunga.nug" localSheetId="16">#REF!</definedName>
    <definedName name="bunga.nug" localSheetId="19">#REF!</definedName>
    <definedName name="bunga.nug" localSheetId="17">#REF!</definedName>
    <definedName name="bunga.nug">#REF!</definedName>
    <definedName name="bunga.rahman" localSheetId="18">#REF!</definedName>
    <definedName name="bunga.rahman" localSheetId="16">#REF!</definedName>
    <definedName name="bunga.rahman" localSheetId="19">#REF!</definedName>
    <definedName name="bunga.rahman" localSheetId="17">#REF!</definedName>
    <definedName name="bunga.rahman">#REF!</definedName>
    <definedName name="bunga.restu">#REF!</definedName>
    <definedName name="bunga.riki">'[18]POT-0601'!#REF!</definedName>
    <definedName name="bunga.rizal" localSheetId="18">#REF!</definedName>
    <definedName name="bunga.rizal" localSheetId="16">#REF!</definedName>
    <definedName name="bunga.rizal" localSheetId="19">#REF!</definedName>
    <definedName name="bunga.rizal" localSheetId="17">#REF!</definedName>
    <definedName name="bunga.rizal">#REF!</definedName>
    <definedName name="bunga.sahid" localSheetId="18">'[18]POT-0601'!#REF!</definedName>
    <definedName name="bunga.sahid" localSheetId="17">'[18]POT-0601'!#REF!</definedName>
    <definedName name="bunga.sahid">'[18]POT-0601'!#REF!</definedName>
    <definedName name="bunga.sahit" localSheetId="18">'[18]POT-0601'!#REF!</definedName>
    <definedName name="bunga.sahit" localSheetId="17">'[18]POT-0601'!#REF!</definedName>
    <definedName name="bunga.sahit">'[18]POT-0601'!#REF!</definedName>
    <definedName name="bunga.sangadi" localSheetId="18">#REF!</definedName>
    <definedName name="bunga.sangadi" localSheetId="16">#REF!</definedName>
    <definedName name="bunga.sangadi" localSheetId="19">#REF!</definedName>
    <definedName name="bunga.sangadi" localSheetId="17">#REF!</definedName>
    <definedName name="bunga.sangadi">#REF!</definedName>
    <definedName name="bunga.yatno" localSheetId="18">'[18]POT-0601'!#REF!</definedName>
    <definedName name="bunga.yatno" localSheetId="17">'[18]POT-0601'!#REF!</definedName>
    <definedName name="bunga.yatno">'[18]POT-0601'!#REF!</definedName>
    <definedName name="by01tm" localSheetId="18">'Hutang Usaha ISP 2023'!by01tm</definedName>
    <definedName name="by01tm" localSheetId="16">'Piutang IAS 2023'!by01tm</definedName>
    <definedName name="by01tm" localSheetId="21">'Piutang Usaha 2021'!by01tm</definedName>
    <definedName name="by01tm" localSheetId="19">'Piutang Usaha 2022'!by01tm</definedName>
    <definedName name="by01tm" localSheetId="17">'Piutang Usaha ISP 2023'!by01tm</definedName>
    <definedName name="by01tm">by01tm</definedName>
    <definedName name="by02tm" localSheetId="18">'Hutang Usaha ISP 2023'!by02tm</definedName>
    <definedName name="by02tm" localSheetId="16">'Piutang IAS 2023'!by02tm</definedName>
    <definedName name="by02tm" localSheetId="21">'Piutang Usaha 2021'!by02tm</definedName>
    <definedName name="by02tm" localSheetId="19">'Piutang Usaha 2022'!by02tm</definedName>
    <definedName name="by02tm" localSheetId="17">'Piutang Usaha ISP 2023'!by02tm</definedName>
    <definedName name="by02tm">by02tm</definedName>
    <definedName name="by03tm" localSheetId="18">'Hutang Usaha ISP 2023'!by03tm</definedName>
    <definedName name="by03tm" localSheetId="16">'Piutang IAS 2023'!by03tm</definedName>
    <definedName name="by03tm" localSheetId="21">'Piutang Usaha 2021'!by03tm</definedName>
    <definedName name="by03tm" localSheetId="19">'Piutang Usaha 2022'!by03tm</definedName>
    <definedName name="by03tm" localSheetId="17">'Piutang Usaha ISP 2023'!by03tm</definedName>
    <definedName name="by03tm">by03tm</definedName>
    <definedName name="by04tm" localSheetId="18">'Hutang Usaha ISP 2023'!by04tm</definedName>
    <definedName name="by04tm" localSheetId="16">'Piutang IAS 2023'!by04tm</definedName>
    <definedName name="by04tm" localSheetId="21">'Piutang Usaha 2021'!by04tm</definedName>
    <definedName name="by04tm" localSheetId="19">'Piutang Usaha 2022'!by04tm</definedName>
    <definedName name="by04tm" localSheetId="17">'Piutang Usaha ISP 2023'!by04tm</definedName>
    <definedName name="by04tm">by04tm</definedName>
    <definedName name="by05tm" localSheetId="18">'Hutang Usaha ISP 2023'!by05tm</definedName>
    <definedName name="by05tm" localSheetId="16">'Piutang IAS 2023'!by05tm</definedName>
    <definedName name="by05tm" localSheetId="21">'Piutang Usaha 2021'!by05tm</definedName>
    <definedName name="by05tm" localSheetId="19">'Piutang Usaha 2022'!by05tm</definedName>
    <definedName name="by05tm" localSheetId="17">'Piutang Usaha ISP 2023'!by05tm</definedName>
    <definedName name="by05tm">by05tm</definedName>
    <definedName name="by06tm" localSheetId="18">'Hutang Usaha ISP 2023'!by06tm</definedName>
    <definedName name="by06tm" localSheetId="16">'Piutang IAS 2023'!by06tm</definedName>
    <definedName name="by06tm" localSheetId="21">'Piutang Usaha 2021'!by06tm</definedName>
    <definedName name="by06tm" localSheetId="19">'Piutang Usaha 2022'!by06tm</definedName>
    <definedName name="by06tm" localSheetId="17">'Piutang Usaha ISP 2023'!by06tm</definedName>
    <definedName name="by06tm">by06tm</definedName>
    <definedName name="by07tm" localSheetId="18">'Hutang Usaha ISP 2023'!by07tm</definedName>
    <definedName name="by07tm" localSheetId="16">'Piutang IAS 2023'!by07tm</definedName>
    <definedName name="by07tm" localSheetId="21">'Piutang Usaha 2021'!by07tm</definedName>
    <definedName name="by07tm" localSheetId="19">'Piutang Usaha 2022'!by07tm</definedName>
    <definedName name="by07tm" localSheetId="17">'Piutang Usaha ISP 2023'!by07tm</definedName>
    <definedName name="by07tm">by07tm</definedName>
    <definedName name="by08tm" localSheetId="18">'Hutang Usaha ISP 2023'!by08tm</definedName>
    <definedName name="by08tm" localSheetId="16">'Piutang IAS 2023'!by08tm</definedName>
    <definedName name="by08tm" localSheetId="21">'Piutang Usaha 2021'!by08tm</definedName>
    <definedName name="by08tm" localSheetId="19">'Piutang Usaha 2022'!by08tm</definedName>
    <definedName name="by08tm" localSheetId="17">'Piutang Usaha ISP 2023'!by08tm</definedName>
    <definedName name="by08tm">by08tm</definedName>
    <definedName name="by09tm" localSheetId="18">'Hutang Usaha ISP 2023'!by09tm</definedName>
    <definedName name="by09tm" localSheetId="16">'Piutang IAS 2023'!by09tm</definedName>
    <definedName name="by09tm" localSheetId="21">'Piutang Usaha 2021'!by09tm</definedName>
    <definedName name="by09tm" localSheetId="19">'Piutang Usaha 2022'!by09tm</definedName>
    <definedName name="by09tm" localSheetId="17">'Piutang Usaha ISP 2023'!by09tm</definedName>
    <definedName name="by09tm">by09tm</definedName>
    <definedName name="bydtltm" localSheetId="18">'Hutang Usaha ISP 2023'!bydtltm</definedName>
    <definedName name="bydtltm" localSheetId="16">'Piutang IAS 2023'!bydtltm</definedName>
    <definedName name="bydtltm" localSheetId="21">'Piutang Usaha 2021'!bydtltm</definedName>
    <definedName name="bydtltm" localSheetId="19">'Piutang Usaha 2022'!bydtltm</definedName>
    <definedName name="bydtltm" localSheetId="17">'Piutang Usaha ISP 2023'!bydtltm</definedName>
    <definedName name="bydtltm">bydtltm</definedName>
    <definedName name="bydtlytd" localSheetId="18">'Hutang Usaha ISP 2023'!bydtlytd</definedName>
    <definedName name="bydtlytd" localSheetId="16">'Piutang IAS 2023'!bydtlytd</definedName>
    <definedName name="bydtlytd" localSheetId="21">'Piutang Usaha 2021'!bydtlytd</definedName>
    <definedName name="bydtlytd" localSheetId="19">'Piutang Usaha 2022'!bydtlytd</definedName>
    <definedName name="bydtlytd" localSheetId="17">'Piutang Usaha ISP 2023'!bydtlytd</definedName>
    <definedName name="bydtlytd">bydtlytd</definedName>
    <definedName name="cash" localSheetId="18" hidden="1">#REF!</definedName>
    <definedName name="cash" localSheetId="16" hidden="1">#REF!</definedName>
    <definedName name="cash" localSheetId="21" hidden="1">#REF!</definedName>
    <definedName name="cash" localSheetId="19" hidden="1">#REF!</definedName>
    <definedName name="cash" localSheetId="17" hidden="1">#REF!</definedName>
    <definedName name="cash" hidden="1">#REF!</definedName>
    <definedName name="cf" hidden="1">0</definedName>
    <definedName name="Chart" localSheetId="18" hidden="1">'[8]PABRIK (2)'!#REF!</definedName>
    <definedName name="Chart" localSheetId="16" hidden="1">'[8]PABRIK (2)'!#REF!</definedName>
    <definedName name="Chart" localSheetId="21" hidden="1">'[8]PABRIK (2)'!#REF!</definedName>
    <definedName name="Chart" localSheetId="19" hidden="1">'[8]PABRIK (2)'!#REF!</definedName>
    <definedName name="Chart" localSheetId="17" hidden="1">'[8]PABRIK (2)'!#REF!</definedName>
    <definedName name="Chart" hidden="1">'[8]PABRIK (2)'!#REF!</definedName>
    <definedName name="chart1" localSheetId="18" hidden="1">'[8]PABRIK (2)'!#REF!</definedName>
    <definedName name="chart1" localSheetId="16" hidden="1">'[8]PABRIK (2)'!#REF!</definedName>
    <definedName name="chart1" localSheetId="21" hidden="1">'[8]PABRIK (2)'!#REF!</definedName>
    <definedName name="chart1" localSheetId="19" hidden="1">'[8]PABRIK (2)'!#REF!</definedName>
    <definedName name="chart1" localSheetId="17" hidden="1">'[8]PABRIK (2)'!#REF!</definedName>
    <definedName name="chart1" hidden="1">'[8]PABRIK (2)'!#REF!</definedName>
    <definedName name="chart10" localSheetId="18" hidden="1">'[8]PABRIK (2)'!#REF!</definedName>
    <definedName name="chart10" localSheetId="16" hidden="1">'[8]PABRIK (2)'!#REF!</definedName>
    <definedName name="chart10" localSheetId="21" hidden="1">'[8]PABRIK (2)'!#REF!</definedName>
    <definedName name="chart10" localSheetId="19" hidden="1">'[8]PABRIK (2)'!#REF!</definedName>
    <definedName name="chart10" localSheetId="17" hidden="1">'[8]PABRIK (2)'!#REF!</definedName>
    <definedName name="chart10" hidden="1">'[8]PABRIK (2)'!#REF!</definedName>
    <definedName name="chart11" localSheetId="18" hidden="1">'[8]PABRIK (2)'!#REF!</definedName>
    <definedName name="chart11" localSheetId="16" hidden="1">'[8]PABRIK (2)'!#REF!</definedName>
    <definedName name="chart11" localSheetId="19" hidden="1">'[8]PABRIK (2)'!#REF!</definedName>
    <definedName name="chart11" localSheetId="17" hidden="1">'[8]PABRIK (2)'!#REF!</definedName>
    <definedName name="chart11" hidden="1">'[8]PABRIK (2)'!#REF!</definedName>
    <definedName name="chart12" localSheetId="18" hidden="1">'[8]PABRIK (2)'!#REF!</definedName>
    <definedName name="chart12" localSheetId="16" hidden="1">'[8]PABRIK (2)'!#REF!</definedName>
    <definedName name="chart12" localSheetId="19" hidden="1">'[8]PABRIK (2)'!#REF!</definedName>
    <definedName name="chart12" localSheetId="17" hidden="1">'[8]PABRIK (2)'!#REF!</definedName>
    <definedName name="chart12" hidden="1">'[8]PABRIK (2)'!#REF!</definedName>
    <definedName name="chart13" hidden="1">'[8]PABRIK (2)'!#REF!</definedName>
    <definedName name="chart14" hidden="1">'[8]PABRIK (2)'!#REF!</definedName>
    <definedName name="chart19" hidden="1">'[8]PABRIK (2)'!#REF!</definedName>
    <definedName name="chart2" hidden="1">'[8]PABRIK (2)'!#REF!</definedName>
    <definedName name="chart3" hidden="1">'[8]PABRIK (2)'!#REF!</definedName>
    <definedName name="chart4" hidden="1">'[8]PABRIK (2)'!#REF!</definedName>
    <definedName name="chart5" hidden="1">'[8]PABRIK (2)'!#REF!</definedName>
    <definedName name="chart6" hidden="1">'[8]PABRIK (2)'!#REF!</definedName>
    <definedName name="chart7" hidden="1">'[8]PABRIK (2)'!#REF!</definedName>
    <definedName name="chart8" hidden="1">'[8]PABRIK (2)'!#REF!</definedName>
    <definedName name="chart9" hidden="1">'[8]PABRIK (2)'!#REF!</definedName>
    <definedName name="chat19" hidden="1">'[8]PABRIK (2)'!#REF!</definedName>
    <definedName name="COA">[38]Sheet1!$A$2:$H$62</definedName>
    <definedName name="coba" hidden="1">'[13]BBM-03'!$B$767:$B$769</definedName>
    <definedName name="COST123" hidden="1">'[7]PK RM'!$B$30:$M$30</definedName>
    <definedName name="CS" hidden="1">'[9]% Lbr vs GP'!$B$32:$M$32</definedName>
    <definedName name="csDesignMode">1</definedName>
    <definedName name="d">#REF!</definedName>
    <definedName name="Daftar">[39]SAA!$J$10:$J$46</definedName>
    <definedName name="Daftar_123" localSheetId="18">#REF!</definedName>
    <definedName name="Daftar_123" localSheetId="16">#REF!</definedName>
    <definedName name="Daftar_123" localSheetId="19">#REF!</definedName>
    <definedName name="Daftar_123" localSheetId="17">#REF!</definedName>
    <definedName name="Daftar_123">#REF!</definedName>
    <definedName name="Data" localSheetId="18">#REF!</definedName>
    <definedName name="Data" localSheetId="16">#REF!</definedName>
    <definedName name="Data" localSheetId="19">#REF!</definedName>
    <definedName name="Data" localSheetId="17">#REF!</definedName>
    <definedName name="Data">#REF!</definedName>
    <definedName name="DATA_27">[40]KertasKerja_DB!$G$7:$IE$589</definedName>
    <definedName name="Data_Deskripsi">[23]Sheet2!$A:$B</definedName>
    <definedName name="_xlnm.Database" localSheetId="18">#REF!</definedName>
    <definedName name="_xlnm.Database" localSheetId="16">#REF!</definedName>
    <definedName name="_xlnm.Database" localSheetId="19">#REF!</definedName>
    <definedName name="_xlnm.Database" localSheetId="17">#REF!</definedName>
    <definedName name="_xlnm.Database">#REF!</definedName>
    <definedName name="DataPDt">'[40]WS EDIT (Izul)_DB'!$B$5:$AE$3803</definedName>
    <definedName name="Days_in_Receivables" localSheetId="18">#REF!,#REF!</definedName>
    <definedName name="Days_in_Receivables" localSheetId="16">#REF!,#REF!</definedName>
    <definedName name="Days_in_Receivables" localSheetId="19">#REF!,#REF!</definedName>
    <definedName name="Days_in_Receivables" localSheetId="17">#REF!,#REF!</definedName>
    <definedName name="Days_in_Receivables">#REF!,#REF!</definedName>
    <definedName name="dbBulan">[41]Tanggal!$G$2:$I$13</definedName>
    <definedName name="DBuild1" localSheetId="18">#REF!</definedName>
    <definedName name="DBuild1" localSheetId="16">#REF!</definedName>
    <definedName name="DBuild1" localSheetId="19">#REF!</definedName>
    <definedName name="DBuild1" localSheetId="17">#REF!</definedName>
    <definedName name="DBuild1">#REF!</definedName>
    <definedName name="DBuild10" localSheetId="18">#REF!</definedName>
    <definedName name="DBuild10" localSheetId="16">#REF!</definedName>
    <definedName name="DBuild10" localSheetId="19">#REF!</definedName>
    <definedName name="DBuild10" localSheetId="17">#REF!</definedName>
    <definedName name="DBuild10">#REF!</definedName>
    <definedName name="DBuild2" localSheetId="18">#REF!</definedName>
    <definedName name="DBuild2" localSheetId="16">#REF!</definedName>
    <definedName name="DBuild2" localSheetId="19">#REF!</definedName>
    <definedName name="DBuild2" localSheetId="17">#REF!</definedName>
    <definedName name="DBuild2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d">'[17]POT-0601'!#REF!</definedName>
    <definedName name="DebitContra">'[20]Contra '!$K$9:$K$1331</definedName>
    <definedName name="DebitDN">'[21]Debit Note'!$K$7:$K$62</definedName>
    <definedName name="DebitEkspor">[22]Ekspor!$K$10:$K$723</definedName>
    <definedName name="DebitEksport" localSheetId="18">#REF!</definedName>
    <definedName name="DebitEksport" localSheetId="16">#REF!</definedName>
    <definedName name="DebitEksport" localSheetId="19">#REF!</definedName>
    <definedName name="DebitEksport" localSheetId="17">#REF!</definedName>
    <definedName name="DebitEksport">#REF!</definedName>
    <definedName name="DebitJournal">[23]Journal!$K$7:$K$784</definedName>
    <definedName name="DebitLokal" localSheetId="18">#REF!</definedName>
    <definedName name="DebitLokal" localSheetId="16">#REF!</definedName>
    <definedName name="DebitLokal" localSheetId="19">#REF!</definedName>
    <definedName name="DebitLokal" localSheetId="17">#REF!</definedName>
    <definedName name="DebitLokal">#REF!</definedName>
    <definedName name="DebitPayment">[23]Payment!$K$7:$K$873</definedName>
    <definedName name="DebitPE" localSheetId="18">#REF!</definedName>
    <definedName name="DebitPE" localSheetId="16">#REF!</definedName>
    <definedName name="DebitPE" localSheetId="19">#REF!</definedName>
    <definedName name="DebitPE" localSheetId="17">#REF!</definedName>
    <definedName name="DebitPE">#REF!</definedName>
    <definedName name="DebitPurchase" localSheetId="18">#REF!</definedName>
    <definedName name="DebitPurchase" localSheetId="16">#REF!</definedName>
    <definedName name="DebitPurchase" localSheetId="19">#REF!</definedName>
    <definedName name="DebitPurchase" localSheetId="17">#REF!</definedName>
    <definedName name="DebitPurchase">#REF!</definedName>
    <definedName name="DebitRecipt">[23]Receipt!$K$7:$K$480</definedName>
    <definedName name="DebitRM" localSheetId="18">#REF!</definedName>
    <definedName name="DebitRM" localSheetId="16">#REF!</definedName>
    <definedName name="DebitRM" localSheetId="19">#REF!</definedName>
    <definedName name="DebitRM" localSheetId="17">#REF!</definedName>
    <definedName name="DebitRM">#REF!</definedName>
    <definedName name="DebitSales" localSheetId="18">#REF!</definedName>
    <definedName name="DebitSales" localSheetId="16">#REF!</definedName>
    <definedName name="DebitSales" localSheetId="19">#REF!</definedName>
    <definedName name="DebitSales" localSheetId="17">#REF!</definedName>
    <definedName name="DebitSales">#REF!</definedName>
    <definedName name="Debt_Exp_to_Sales" localSheetId="18">#REF!,#REF!</definedName>
    <definedName name="Debt_Exp_to_Sales" localSheetId="16">#REF!,#REF!</definedName>
    <definedName name="Debt_Exp_to_Sales" localSheetId="19">#REF!,#REF!</definedName>
    <definedName name="Debt_Exp_to_Sales" localSheetId="17">#REF!,#REF!</definedName>
    <definedName name="Debt_Exp_to_Sales">#REF!,#REF!</definedName>
    <definedName name="Def" localSheetId="18" hidden="1">#REF!</definedName>
    <definedName name="Def" localSheetId="16" hidden="1">#REF!</definedName>
    <definedName name="Def" localSheetId="17" hidden="1">#REF!</definedName>
    <definedName name="Def" hidden="1">#REF!</definedName>
    <definedName name="des" localSheetId="18" hidden="1">[14]worksheet!#REF!</definedName>
    <definedName name="des" localSheetId="16" hidden="1">[14]worksheet!#REF!</definedName>
    <definedName name="des" localSheetId="17" hidden="1">[14]worksheet!#REF!</definedName>
    <definedName name="des" hidden="1">[14]worksheet!#REF!</definedName>
    <definedName name="DETAILS">'[24]Accounts Payable (AA):10-1-1'!$F$13:$H$47</definedName>
    <definedName name="dfagf">'[42]Rekpitulasi Beras'!#REF!,'[42]Rekpitulasi Beras'!$A$1:$J$34</definedName>
    <definedName name="dfd" localSheetId="18" hidden="1">#REF!</definedName>
    <definedName name="dfd" localSheetId="16" hidden="1">#REF!</definedName>
    <definedName name="dfd" localSheetId="19" hidden="1">#REF!</definedName>
    <definedName name="dfd" localSheetId="17" hidden="1">#REF!</definedName>
    <definedName name="dfd" hidden="1">#REF!</definedName>
    <definedName name="dfgt" localSheetId="18">'[17]POT-0601'!#REF!</definedName>
    <definedName name="dfgt" localSheetId="16">'[17]POT-0601'!#REF!</definedName>
    <definedName name="dfgt" localSheetId="19">'[17]POT-0601'!#REF!</definedName>
    <definedName name="dfgt" localSheetId="17">'[17]POT-0601'!#REF!</definedName>
    <definedName name="dfgt">'[17]POT-0601'!#REF!</definedName>
    <definedName name="dfrstg" localSheetId="18">'[17]POT-0601'!#REF!</definedName>
    <definedName name="dfrstg" localSheetId="16">'[17]POT-0601'!#REF!</definedName>
    <definedName name="dfrstg" localSheetId="19">'[17]POT-0601'!#REF!</definedName>
    <definedName name="dfrstg" localSheetId="17">'[17]POT-0601'!#REF!</definedName>
    <definedName name="dfrstg">'[17]POT-0601'!#REF!</definedName>
    <definedName name="dftrdy" localSheetId="18">'[17]POT-0601'!#REF!</definedName>
    <definedName name="dftrdy" localSheetId="16">'[17]POT-0601'!#REF!</definedName>
    <definedName name="dftrdy" localSheetId="19">'[17]POT-0601'!#REF!</definedName>
    <definedName name="dftrdy" localSheetId="17">'[17]POT-0601'!#REF!</definedName>
    <definedName name="dftrdy">'[17]POT-0601'!#REF!</definedName>
    <definedName name="dg" localSheetId="18">'[17]POT-0601'!#REF!</definedName>
    <definedName name="dg" localSheetId="16">'[17]POT-0601'!#REF!</definedName>
    <definedName name="dg" localSheetId="17">'[17]POT-0601'!#REF!</definedName>
    <definedName name="dg">'[17]POT-0601'!#REF!</definedName>
    <definedName name="dido" localSheetId="18">'[17]POT-0601'!#REF!</definedName>
    <definedName name="dido" localSheetId="16">'[17]POT-0601'!#REF!</definedName>
    <definedName name="dido" localSheetId="17">'[17]POT-0601'!#REF!</definedName>
    <definedName name="dido">'[17]POT-0601'!#REF!</definedName>
    <definedName name="dila">'[17]POT-0601'!#REF!</definedName>
    <definedName name="diman" localSheetId="18">#REF!</definedName>
    <definedName name="diman" localSheetId="16">#REF!</definedName>
    <definedName name="diman" localSheetId="19">#REF!</definedName>
    <definedName name="diman" localSheetId="17">#REF!</definedName>
    <definedName name="diman">#REF!</definedName>
    <definedName name="DINO">[43]data!$P$3:$R$9</definedName>
    <definedName name="Divisi" localSheetId="18">#REF!</definedName>
    <definedName name="Divisi" localSheetId="16">#REF!</definedName>
    <definedName name="Divisi" localSheetId="19">#REF!</definedName>
    <definedName name="Divisi" localSheetId="17">#REF!</definedName>
    <definedName name="Divisi">#REF!</definedName>
    <definedName name="DMach10" localSheetId="18">#REF!</definedName>
    <definedName name="DMach10" localSheetId="16">#REF!</definedName>
    <definedName name="DMach10" localSheetId="19">#REF!</definedName>
    <definedName name="DMach10" localSheetId="17">#REF!</definedName>
    <definedName name="DMach10">#REF!</definedName>
    <definedName name="DMach2" localSheetId="18">#REF!</definedName>
    <definedName name="DMach2" localSheetId="16">#REF!</definedName>
    <definedName name="DMach2" localSheetId="19">#REF!</definedName>
    <definedName name="DMach2" localSheetId="17">#REF!</definedName>
    <definedName name="DMach2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rrg">'[17]POT-0601'!#REF!</definedName>
    <definedName name="dryjui">'[17]POT-0601'!#REF!</definedName>
    <definedName name="dsfsdfsdf" localSheetId="18">'Hutang Usaha ISP 2023'!dsfsdfsdf</definedName>
    <definedName name="dsfsdfsdf" localSheetId="16">'Piutang IAS 2023'!dsfsdfsdf</definedName>
    <definedName name="dsfsdfsdf" localSheetId="21">'Piutang Usaha 2021'!dsfsdfsdf</definedName>
    <definedName name="dsfsdfsdf" localSheetId="19">'Piutang Usaha 2022'!dsfsdfsdf</definedName>
    <definedName name="dsfsdfsdf" localSheetId="17">'Piutang Usaha ISP 2023'!dsfsdfsdf</definedName>
    <definedName name="dsfsdfsdf">dsfsdfsdf</definedName>
    <definedName name="DTool1" localSheetId="18">#REF!</definedName>
    <definedName name="DTool1" localSheetId="16">#REF!</definedName>
    <definedName name="DTool1" localSheetId="21">#REF!</definedName>
    <definedName name="DTool1" localSheetId="19">#REF!</definedName>
    <definedName name="DTool1" localSheetId="17">#REF!</definedName>
    <definedName name="DTool1">#REF!</definedName>
    <definedName name="DTool10" localSheetId="18">#REF!</definedName>
    <definedName name="DTool10" localSheetId="16">#REF!</definedName>
    <definedName name="DTool10" localSheetId="21">#REF!</definedName>
    <definedName name="DTool10" localSheetId="19">#REF!</definedName>
    <definedName name="DTool10" localSheetId="17">#REF!</definedName>
    <definedName name="DTool10">#REF!</definedName>
    <definedName name="DTool2" localSheetId="18">#REF!</definedName>
    <definedName name="DTool2" localSheetId="16">#REF!</definedName>
    <definedName name="DTool2" localSheetId="21">#REF!</definedName>
    <definedName name="DTool2" localSheetId="19">#REF!</definedName>
    <definedName name="DTool2" localSheetId="17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Util1">#REF!</definedName>
    <definedName name="DUtil10">#REF!</definedName>
    <definedName name="DUtil2">#REF!</definedName>
    <definedName name="DUtil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COE1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ecrw">'[17]POT-0601'!#REF!</definedName>
    <definedName name="EDDY.P" localSheetId="18">#REF!</definedName>
    <definedName name="EDDY.P" localSheetId="16">#REF!</definedName>
    <definedName name="EDDY.P" localSheetId="19">#REF!</definedName>
    <definedName name="EDDY.P" localSheetId="17">#REF!</definedName>
    <definedName name="EDDY.P">#REF!</definedName>
    <definedName name="edfeyer" localSheetId="18">'[17]POT-0601'!#REF!</definedName>
    <definedName name="edfeyer" localSheetId="17">'[17]POT-0601'!#REF!</definedName>
    <definedName name="edfeyer">'[17]POT-0601'!#REF!</definedName>
    <definedName name="EDI" localSheetId="18">#REF!</definedName>
    <definedName name="EDI" localSheetId="16">#REF!</definedName>
    <definedName name="EDI" localSheetId="19">#REF!</definedName>
    <definedName name="EDI" localSheetId="17">#REF!</definedName>
    <definedName name="EDI">#REF!</definedName>
    <definedName name="efd" localSheetId="18">'[17]POT-0601'!#REF!</definedName>
    <definedName name="efd" localSheetId="17">'[17]POT-0601'!#REF!</definedName>
    <definedName name="efd">'[17]POT-0601'!#REF!</definedName>
    <definedName name="ertfedg" localSheetId="18">'[17]POT-0601'!#REF!</definedName>
    <definedName name="ertfedg" localSheetId="17">'[17]POT-0601'!#REF!</definedName>
    <definedName name="ertfedg">'[17]POT-0601'!#REF!</definedName>
    <definedName name="esfrs" localSheetId="18">'[17]POT-0601'!#REF!</definedName>
    <definedName name="esfrs" localSheetId="17">'[17]POT-0601'!#REF!</definedName>
    <definedName name="esfrs">'[17]POT-0601'!#REF!</definedName>
    <definedName name="Excel_BuiltIn_Database" localSheetId="18">#REF!</definedName>
    <definedName name="Excel_BuiltIn_Database" localSheetId="16">#REF!</definedName>
    <definedName name="Excel_BuiltIn_Database" localSheetId="19">#REF!</definedName>
    <definedName name="Excel_BuiltIn_Database" localSheetId="17">#REF!</definedName>
    <definedName name="Excel_BuiltIn_Database">#REF!</definedName>
    <definedName name="Excel_BuiltIn_Database_11" localSheetId="18">#REF!</definedName>
    <definedName name="Excel_BuiltIn_Database_11" localSheetId="16">#REF!</definedName>
    <definedName name="Excel_BuiltIn_Database_11" localSheetId="19">#REF!</definedName>
    <definedName name="Excel_BuiltIn_Database_11" localSheetId="17">#REF!</definedName>
    <definedName name="Excel_BuiltIn_Database_11">#REF!</definedName>
    <definedName name="Excel_BuiltIn_Print_Area" localSheetId="18">#REF!</definedName>
    <definedName name="Excel_BuiltIn_Print_Area" localSheetId="16">#REF!</definedName>
    <definedName name="Excel_BuiltIn_Print_Area" localSheetId="19">#REF!</definedName>
    <definedName name="Excel_BuiltIn_Print_Area" localSheetId="17">#REF!</definedName>
    <definedName name="Excel_BuiltIn_Print_Area">#REF!</definedName>
    <definedName name="Excel_BuiltIn_Print_Area_1">"$#REF!.$A$1:$J$103"</definedName>
    <definedName name="Excel_BuiltIn_Print_Area_1_1_1_1">[44]JRNl_A_RASO!#REF!</definedName>
    <definedName name="Excel_BuiltIn_Print_Area_10" localSheetId="18">#REF!</definedName>
    <definedName name="Excel_BuiltIn_Print_Area_10" localSheetId="16">#REF!</definedName>
    <definedName name="Excel_BuiltIn_Print_Area_10" localSheetId="19">#REF!</definedName>
    <definedName name="Excel_BuiltIn_Print_Area_10" localSheetId="17">#REF!</definedName>
    <definedName name="Excel_BuiltIn_Print_Area_10">#REF!</definedName>
    <definedName name="Excel_BuiltIn_Print_Area_10_1">"$'UM LAIN'.$#REF!$#REF!:$#REF!$#REF!"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2_1">"$#REF!.$A$1:$X$279"</definedName>
    <definedName name="Excel_BuiltIn_Print_Area_14_1_1">"$#REF!.$B$1:$F$34"</definedName>
    <definedName name="Excel_BuiltIn_Print_Area_19_1">"$#REF!.$A$1:$J$1043"</definedName>
    <definedName name="Excel_BuiltIn_Print_Area_2">#REF!</definedName>
    <definedName name="Excel_BuiltIn_Print_Area_2_1">#REF!</definedName>
    <definedName name="Excel_BuiltIn_Print_Area_3">#REF!</definedName>
    <definedName name="Excel_BuiltIn_Print_Area_3_1">"$#REF!.$A$1:$H$174"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"$#REF!.$A$1:$X$269"</definedName>
    <definedName name="Excel_BuiltIn_Print_Area_55">'[42]Rekpitulasi Beras'!#REF!,'[42]Rekpitulasi Beras'!$A$1:$J$34</definedName>
    <definedName name="Excel_BuiltIn_Print_Area_56" localSheetId="18">#REF!</definedName>
    <definedName name="Excel_BuiltIn_Print_Area_56" localSheetId="16">#REF!</definedName>
    <definedName name="Excel_BuiltIn_Print_Area_56" localSheetId="19">#REF!</definedName>
    <definedName name="Excel_BuiltIn_Print_Area_56" localSheetId="17">#REF!</definedName>
    <definedName name="Excel_BuiltIn_Print_Area_56">#REF!</definedName>
    <definedName name="Excel_BuiltIn_Print_Area_57" localSheetId="18">#REF!</definedName>
    <definedName name="Excel_BuiltIn_Print_Area_57" localSheetId="16">#REF!</definedName>
    <definedName name="Excel_BuiltIn_Print_Area_57" localSheetId="19">#REF!</definedName>
    <definedName name="Excel_BuiltIn_Print_Area_57" localSheetId="17">#REF!</definedName>
    <definedName name="Excel_BuiltIn_Print_Area_57">#REF!</definedName>
    <definedName name="Excel_BuiltIn_Print_Area_58" localSheetId="18">#REF!</definedName>
    <definedName name="Excel_BuiltIn_Print_Area_58" localSheetId="16">#REF!</definedName>
    <definedName name="Excel_BuiltIn_Print_Area_58" localSheetId="17">#REF!</definedName>
    <definedName name="Excel_BuiltIn_Print_Area_58">#REF!</definedName>
    <definedName name="Excel_BuiltIn_Print_Area_59">#REF!</definedName>
    <definedName name="Excel_BuiltIn_Print_Area_6">"$#REF!.$A$3:$U$102"</definedName>
    <definedName name="Excel_BuiltIn_Print_Area_6_1">#REF!</definedName>
    <definedName name="Excel_BuiltIn_Print_Area_6_1_1">"$#REF!.$A$1:$X$148"</definedName>
    <definedName name="Excel_BuiltIn_Print_Area_60">#REF!</definedName>
    <definedName name="Excel_BuiltIn_Print_Area_7">"$#REF!.$B$3:$AH$50"</definedName>
    <definedName name="Excel_BuiltIn_Print_Area_8_1">"$#REF!.$A$1:$J$30"</definedName>
    <definedName name="Excel_BuiltIn_Print_Area_8_1_1">"$#REF!.$A$1:$M$20"</definedName>
    <definedName name="Excel_BuiltIn_Print_Area_9">#REF!</definedName>
    <definedName name="Excel_BuiltIn_Print_Titles_1">#REF!</definedName>
    <definedName name="Excel_BuiltIn_Print_Titles_1_1">[44]JRNl_A_RASO!#REF!</definedName>
    <definedName name="Excel_BuiltIn_Print_Titles_12">"$#REF!.$A$1:$IV$8"</definedName>
    <definedName name="Excel_BuiltIn_Print_Titles_12_1_1_1">#REF!</definedName>
    <definedName name="Excel_BuiltIn_Print_Titles_12_1_1_1_1">#REF!</definedName>
    <definedName name="Excel_BuiltIn_Print_Titles_19_1">"$#REF!.$A$1:$IV$9"</definedName>
    <definedName name="Excel_BuiltIn_Print_Titles_2">#REF!</definedName>
    <definedName name="Excel_BuiltIn_Print_Titles_3">"$#REF!.$A$#REF!:$IU$#REF!"</definedName>
    <definedName name="Excel_BuiltIn_Print_Titles_4">#REF!,#REF!</definedName>
    <definedName name="Excel_BuiltIn_Print_Titles_56">#REF!</definedName>
    <definedName name="Excel_BuiltIn_Print_Titles_57">#REF!</definedName>
    <definedName name="Excel_BuiltIn_Print_Titles_58">#REF!</definedName>
    <definedName name="Excel_BuiltIn_Print_Titles_59">#REF!</definedName>
    <definedName name="Excel_BuiltIn_Print_Titles_60">#REF!</definedName>
    <definedName name="f">#REF!</definedName>
    <definedName name="fajrin">'[17]POT-0601'!#REF!</definedName>
    <definedName name="fdgr">'[17]POT-0601'!#REF!</definedName>
    <definedName name="fdregv">'[17]POT-0601'!#REF!</definedName>
    <definedName name="fdtgfth">'[17]POT-0601'!#REF!</definedName>
    <definedName name="Fenty">'[45]Tabel Perkiraan'!$A$4:$B$135</definedName>
    <definedName name="fff">'[17]POT-0601'!#REF!</definedName>
    <definedName name="fgd">'[17]POT-0601'!#REF!</definedName>
    <definedName name="fgdg">'[17]POT-0601'!#REF!</definedName>
    <definedName name="fgj" localSheetId="18">#REF!</definedName>
    <definedName name="fgj" localSheetId="16">#REF!</definedName>
    <definedName name="fgj" localSheetId="19">#REF!</definedName>
    <definedName name="fgj" localSheetId="17">#REF!</definedName>
    <definedName name="fgj">#REF!</definedName>
    <definedName name="fgrg" localSheetId="18">'[17]POT-0601'!#REF!</definedName>
    <definedName name="fgrg" localSheetId="16">'[17]POT-0601'!#REF!</definedName>
    <definedName name="fgrg" localSheetId="17">'[17]POT-0601'!#REF!</definedName>
    <definedName name="fgrg">'[17]POT-0601'!#REF!</definedName>
    <definedName name="fgrjj" localSheetId="18">'[17]POT-0601'!#REF!</definedName>
    <definedName name="fgrjj" localSheetId="16">'[17]POT-0601'!#REF!</definedName>
    <definedName name="fgrjj" localSheetId="17">'[17]POT-0601'!#REF!</definedName>
    <definedName name="fgrjj">'[17]POT-0601'!#REF!</definedName>
    <definedName name="fgtruy" localSheetId="18">'[17]POT-0601'!#REF!</definedName>
    <definedName name="fgtruy" localSheetId="16">'[17]POT-0601'!#REF!</definedName>
    <definedName name="fgtruy" localSheetId="17">'[17]POT-0601'!#REF!</definedName>
    <definedName name="fgtruy">'[17]POT-0601'!#REF!</definedName>
    <definedName name="fhjjui" localSheetId="18">'[17]POT-0601'!#REF!</definedName>
    <definedName name="fhjjui" localSheetId="17">'[17]POT-0601'!#REF!</definedName>
    <definedName name="fhjjui">'[17]POT-0601'!#REF!</definedName>
    <definedName name="FORM" localSheetId="18">#REF!</definedName>
    <definedName name="FORM" localSheetId="16">#REF!</definedName>
    <definedName name="FORM" localSheetId="19">#REF!</definedName>
    <definedName name="FORM" localSheetId="17">#REF!</definedName>
    <definedName name="FORM">#REF!</definedName>
    <definedName name="fredi" localSheetId="18">'[18]POT-0601'!#REF!</definedName>
    <definedName name="fredi" localSheetId="17">'[18]POT-0601'!#REF!</definedName>
    <definedName name="fredi">'[18]POT-0601'!#REF!</definedName>
    <definedName name="fregf" localSheetId="18">'[17]POT-0601'!#REF!</definedName>
    <definedName name="fregf" localSheetId="17">'[17]POT-0601'!#REF!</definedName>
    <definedName name="fregf">'[17]POT-0601'!#REF!</definedName>
    <definedName name="fret" localSheetId="18">'[17]POT-0601'!#REF!</definedName>
    <definedName name="fret" localSheetId="17">'[17]POT-0601'!#REF!</definedName>
    <definedName name="fret">'[17]POT-0601'!#REF!</definedName>
    <definedName name="fund3PFCY">[46]bs!$D$125:$M$189,[46]bs!$D$193:$M$207</definedName>
    <definedName name="fyuyiu" localSheetId="18">'[17]POT-0601'!#REF!</definedName>
    <definedName name="fyuyiu" localSheetId="16">'[17]POT-0601'!#REF!</definedName>
    <definedName name="fyuyiu" localSheetId="19">'[17]POT-0601'!#REF!</definedName>
    <definedName name="fyuyiu" localSheetId="17">'[17]POT-0601'!#REF!</definedName>
    <definedName name="fyuyiu">'[17]POT-0601'!#REF!</definedName>
    <definedName name="g" localSheetId="18">'[17]POT-0601'!#REF!</definedName>
    <definedName name="g" localSheetId="16">'[17]POT-0601'!#REF!</definedName>
    <definedName name="g" localSheetId="17">'[17]POT-0601'!#REF!</definedName>
    <definedName name="g">'[17]POT-0601'!#REF!</definedName>
    <definedName name="gdgdg" localSheetId="18">'[17]POT-0601'!#REF!</definedName>
    <definedName name="gdgdg" localSheetId="16">'[17]POT-0601'!#REF!</definedName>
    <definedName name="gdgdg" localSheetId="17">'[17]POT-0601'!#REF!</definedName>
    <definedName name="gdgdg">'[17]POT-0601'!#REF!</definedName>
    <definedName name="gdrg">'[17]POT-0601'!#REF!</definedName>
    <definedName name="gfgd">'[17]POT-0601'!#REF!</definedName>
    <definedName name="gfhyu">'[17]POT-0601'!#REF!</definedName>
    <definedName name="gfv">'[17]POT-0601'!#REF!</definedName>
    <definedName name="Gita" localSheetId="18">#REF!</definedName>
    <definedName name="Gita" localSheetId="16">#REF!</definedName>
    <definedName name="Gita" localSheetId="19">#REF!</definedName>
    <definedName name="Gita" localSheetId="17">#REF!</definedName>
    <definedName name="Gita">#REF!</definedName>
    <definedName name="gkgyhgi" localSheetId="18">#REF!</definedName>
    <definedName name="gkgyhgi" localSheetId="16">#REF!</definedName>
    <definedName name="gkgyhgi" localSheetId="19">#REF!</definedName>
    <definedName name="gkgyhgi" localSheetId="17">#REF!</definedName>
    <definedName name="gkgyhgi">#REF!</definedName>
    <definedName name="GRADE" localSheetId="18">#REF!</definedName>
    <definedName name="GRADE" localSheetId="16">#REF!</definedName>
    <definedName name="GRADE" localSheetId="19">#REF!</definedName>
    <definedName name="GRADE" localSheetId="17">#REF!</definedName>
    <definedName name="GRADE">#REF!</definedName>
    <definedName name="GRADE_10">#REF!</definedName>
    <definedName name="GRADE_11">#REF!</definedName>
    <definedName name="GRADE_12">#REF!</definedName>
    <definedName name="GRADE_13">#REF!</definedName>
    <definedName name="GRADE_27">#REF!</definedName>
    <definedName name="GRADE_6">#REF!</definedName>
    <definedName name="GRADE_7">#REF!</definedName>
    <definedName name="GRADE_8">#REF!</definedName>
    <definedName name="grgr">'[17]POT-0601'!#REF!</definedName>
    <definedName name="gs">'[17]POT-0601'!#REF!</definedName>
    <definedName name="gsfg">'[17]POT-0601'!#REF!</definedName>
    <definedName name="GUNARTO" localSheetId="18">#REF!</definedName>
    <definedName name="GUNARTO" localSheetId="16">#REF!</definedName>
    <definedName name="GUNARTO" localSheetId="19">#REF!</definedName>
    <definedName name="GUNARTO" localSheetId="17">#REF!</definedName>
    <definedName name="GUNARTO">#REF!</definedName>
    <definedName name="gyjt" localSheetId="18">'[17]POT-0601'!#REF!</definedName>
    <definedName name="gyjt" localSheetId="17">'[17]POT-0601'!#REF!</definedName>
    <definedName name="gyjt">'[17]POT-0601'!#REF!</definedName>
    <definedName name="h" localSheetId="18">'[17]POT-0601'!#REF!</definedName>
    <definedName name="h" localSheetId="17">'[17]POT-0601'!#REF!</definedName>
    <definedName name="h">'[17]POT-0601'!#REF!</definedName>
    <definedName name="Hari1" localSheetId="18">#REF!</definedName>
    <definedName name="Hari1" localSheetId="16">#REF!</definedName>
    <definedName name="Hari1" localSheetId="19">#REF!</definedName>
    <definedName name="Hari1" localSheetId="17">#REF!</definedName>
    <definedName name="Hari1">#REF!</definedName>
    <definedName name="Hari2" localSheetId="18">#REF!</definedName>
    <definedName name="Hari2" localSheetId="16">#REF!</definedName>
    <definedName name="Hari2" localSheetId="19">#REF!</definedName>
    <definedName name="Hari2" localSheetId="17">#REF!</definedName>
    <definedName name="Hari2">#REF!</definedName>
    <definedName name="HGDFSKHLGF" localSheetId="18" hidden="1">[19]INVES!#REF!</definedName>
    <definedName name="HGDFSKHLGF" localSheetId="16" hidden="1">[19]INVES!#REF!</definedName>
    <definedName name="HGDFSKHLGF" localSheetId="19" hidden="1">[19]INVES!#REF!</definedName>
    <definedName name="HGDFSKHLGF" localSheetId="17" hidden="1">[19]INVES!#REF!</definedName>
    <definedName name="HGDFSKHLGF" hidden="1">[19]INVES!#REF!</definedName>
    <definedName name="hsn" localSheetId="18">#REF!</definedName>
    <definedName name="hsn" localSheetId="16">#REF!</definedName>
    <definedName name="hsn" localSheetId="19">#REF!</definedName>
    <definedName name="hsn" localSheetId="17">#REF!</definedName>
    <definedName name="hsn">#REF!</definedName>
    <definedName name="hyg" localSheetId="18">'[17]POT-0601'!#REF!</definedName>
    <definedName name="hyg" localSheetId="16">'[17]POT-0601'!#REF!</definedName>
    <definedName name="hyg" localSheetId="19">'[17]POT-0601'!#REF!</definedName>
    <definedName name="hyg" localSheetId="17">'[17]POT-0601'!#REF!</definedName>
    <definedName name="hyg">'[17]POT-0601'!#REF!</definedName>
    <definedName name="I" localSheetId="18">#REF!</definedName>
    <definedName name="I" localSheetId="16">#REF!</definedName>
    <definedName name="I" localSheetId="19">#REF!</definedName>
    <definedName name="I" localSheetId="17">#REF!</definedName>
    <definedName name="I">#REF!</definedName>
    <definedName name="ina" localSheetId="18">'[18]POT-0601'!#REF!</definedName>
    <definedName name="ina" localSheetId="16">'[18]POT-0601'!#REF!</definedName>
    <definedName name="ina" localSheetId="19">'[18]POT-0601'!#REF!</definedName>
    <definedName name="ina" localSheetId="17">'[18]POT-0601'!#REF!</definedName>
    <definedName name="ina">'[18]POT-0601'!#REF!</definedName>
    <definedName name="INVENTARIS__KANTOR" localSheetId="18">#REF!</definedName>
    <definedName name="INVENTARIS__KANTOR" localSheetId="16">#REF!</definedName>
    <definedName name="INVENTARIS__KANTOR" localSheetId="19">#REF!</definedName>
    <definedName name="INVENTARIS__KANTOR" localSheetId="17">#REF!</definedName>
    <definedName name="INVENTARIS__KANTOR">#REF!</definedName>
    <definedName name="INVENTARIS__PABRIK" localSheetId="18">#REF!</definedName>
    <definedName name="INVENTARIS__PABRIK" localSheetId="16">#REF!</definedName>
    <definedName name="INVENTARIS__PABRIK" localSheetId="19">#REF!</definedName>
    <definedName name="INVENTARIS__PABRIK" localSheetId="17">#REF!</definedName>
    <definedName name="INVENTARIS__PABRIK">#REF!</definedName>
    <definedName name="j" localSheetId="18">#REF!</definedName>
    <definedName name="j" localSheetId="16">#REF!</definedName>
    <definedName name="j" localSheetId="19">#REF!</definedName>
    <definedName name="j" localSheetId="17">#REF!</definedName>
    <definedName name="j">#REF!</definedName>
    <definedName name="janua" localSheetId="18" hidden="1">[14]worksheet!#REF!</definedName>
    <definedName name="janua" localSheetId="16" hidden="1">[14]worksheet!#REF!</definedName>
    <definedName name="janua" localSheetId="19" hidden="1">[14]worksheet!#REF!</definedName>
    <definedName name="janua" localSheetId="17" hidden="1">[14]worksheet!#REF!</definedName>
    <definedName name="janua" hidden="1">[14]worksheet!#REF!</definedName>
    <definedName name="jj" localSheetId="18">'[17]POT-0601'!#REF!</definedName>
    <definedName name="jj" localSheetId="16">'[17]POT-0601'!#REF!</definedName>
    <definedName name="jj" localSheetId="19">'[17]POT-0601'!#REF!</definedName>
    <definedName name="jj" localSheetId="17">'[17]POT-0601'!#REF!</definedName>
    <definedName name="jj">'[17]POT-0601'!#REF!</definedName>
    <definedName name="jjjbjlb" localSheetId="18">'[17]POT-0601'!#REF!</definedName>
    <definedName name="jjjbjlb" localSheetId="16">'[17]POT-0601'!#REF!</definedName>
    <definedName name="jjjbjlb" localSheetId="19">'[17]POT-0601'!#REF!</definedName>
    <definedName name="jjjbjlb" localSheetId="17">'[17]POT-0601'!#REF!</definedName>
    <definedName name="jjjbjlb">'[17]POT-0601'!#REF!</definedName>
    <definedName name="jjuju" localSheetId="18">'[17]POT-0601'!#REF!</definedName>
    <definedName name="jjuju" localSheetId="16">'[17]POT-0601'!#REF!</definedName>
    <definedName name="jjuju" localSheetId="19">'[17]POT-0601'!#REF!</definedName>
    <definedName name="jjuju" localSheetId="17">'[17]POT-0601'!#REF!</definedName>
    <definedName name="jjuju">'[17]POT-0601'!#REF!</definedName>
    <definedName name="jkbhk">'[17]POT-0601'!#REF!</definedName>
    <definedName name="jtty">'[17]POT-0601'!#REF!</definedName>
    <definedName name="JUMLAH" localSheetId="18">#REF!</definedName>
    <definedName name="JUMLAH" localSheetId="16">#REF!</definedName>
    <definedName name="JUMLAH" localSheetId="19">#REF!</definedName>
    <definedName name="JUMLAH" localSheetId="17">#REF!</definedName>
    <definedName name="JUMLAH">#REF!</definedName>
    <definedName name="KARYAWAN">[47]pph!$A$8:$DJ$26</definedName>
    <definedName name="karyawan1" localSheetId="18">#REF!</definedName>
    <definedName name="karyawan1" localSheetId="16">#REF!</definedName>
    <definedName name="karyawan1" localSheetId="19">#REF!</definedName>
    <definedName name="karyawan1" localSheetId="17">#REF!</definedName>
    <definedName name="karyawan1">#REF!</definedName>
    <definedName name="kdkd" localSheetId="18">'[17]POT-0601'!#REF!</definedName>
    <definedName name="kdkd" localSheetId="16">'[17]POT-0601'!#REF!</definedName>
    <definedName name="kdkd" localSheetId="17">'[17]POT-0601'!#REF!</definedName>
    <definedName name="kdkd">'[17]POT-0601'!#REF!</definedName>
    <definedName name="kend" localSheetId="18">#REF!</definedName>
    <definedName name="kend" localSheetId="16">#REF!</definedName>
    <definedName name="kend" localSheetId="19">#REF!</definedName>
    <definedName name="kend" localSheetId="17">#REF!</definedName>
    <definedName name="kend">#REF!</definedName>
    <definedName name="KENDARAAN___KANTOR__PUSAT" localSheetId="18">#REF!</definedName>
    <definedName name="KENDARAAN___KANTOR__PUSAT" localSheetId="16">#REF!</definedName>
    <definedName name="KENDARAAN___KANTOR__PUSAT" localSheetId="19">#REF!</definedName>
    <definedName name="KENDARAAN___KANTOR__PUSAT" localSheetId="17">#REF!</definedName>
    <definedName name="KENDARAAN___KANTOR__PUSAT">#REF!</definedName>
    <definedName name="KENDARAAN___PABRIK" localSheetId="18">#REF!</definedName>
    <definedName name="KENDARAAN___PABRIK" localSheetId="16">#REF!</definedName>
    <definedName name="KENDARAAN___PABRIK" localSheetId="19">#REF!</definedName>
    <definedName name="KENDARAAN___PABRIK" localSheetId="17">#REF!</definedName>
    <definedName name="KENDARAAN___PABRIK">#REF!</definedName>
    <definedName name="khgg" localSheetId="18">'[17]POT-0601'!#REF!</definedName>
    <definedName name="khgg" localSheetId="16">'[17]POT-0601'!#REF!</definedName>
    <definedName name="khgg" localSheetId="19">'[17]POT-0601'!#REF!</definedName>
    <definedName name="khgg" localSheetId="17">'[17]POT-0601'!#REF!</definedName>
    <definedName name="khgg">'[17]POT-0601'!#REF!</definedName>
    <definedName name="khhh" localSheetId="18">'[17]POT-0601'!#REF!</definedName>
    <definedName name="khhh" localSheetId="16">'[17]POT-0601'!#REF!</definedName>
    <definedName name="khhh" localSheetId="19">'[17]POT-0601'!#REF!</definedName>
    <definedName name="khhh" localSheetId="17">'[17]POT-0601'!#REF!</definedName>
    <definedName name="khhh">'[17]POT-0601'!#REF!</definedName>
    <definedName name="Kholil" localSheetId="18">#REF!</definedName>
    <definedName name="Kholil" localSheetId="16">#REF!</definedName>
    <definedName name="Kholil" localSheetId="19">#REF!</definedName>
    <definedName name="Kholil" localSheetId="17">#REF!</definedName>
    <definedName name="Kholil">#REF!</definedName>
    <definedName name="kikik" localSheetId="18">'[17]POT-0601'!#REF!</definedName>
    <definedName name="kikik" localSheetId="16">'[17]POT-0601'!#REF!</definedName>
    <definedName name="kikik" localSheetId="19">'[17]POT-0601'!#REF!</definedName>
    <definedName name="kikik" localSheetId="17">'[17]POT-0601'!#REF!</definedName>
    <definedName name="kikik">'[17]POT-0601'!#REF!</definedName>
    <definedName name="kkk" localSheetId="18">'[17]POT-0601'!#REF!</definedName>
    <definedName name="kkk" localSheetId="16">'[17]POT-0601'!#REF!</definedName>
    <definedName name="kkk" localSheetId="19">'[17]POT-0601'!#REF!</definedName>
    <definedName name="kkk" localSheetId="17">'[17]POT-0601'!#REF!</definedName>
    <definedName name="kkk">'[17]POT-0601'!#REF!</definedName>
    <definedName name="kmn" localSheetId="18">'[17]POT-0601'!#REF!</definedName>
    <definedName name="kmn" localSheetId="16">'[17]POT-0601'!#REF!</definedName>
    <definedName name="kmn" localSheetId="19">'[17]POT-0601'!#REF!</definedName>
    <definedName name="kmn" localSheetId="17">'[17]POT-0601'!#REF!</definedName>
    <definedName name="kmn">'[17]POT-0601'!#REF!</definedName>
    <definedName name="Kode" localSheetId="18">#REF!</definedName>
    <definedName name="Kode" localSheetId="16">#REF!</definedName>
    <definedName name="Kode" localSheetId="19">#REF!</definedName>
    <definedName name="Kode" localSheetId="17">#REF!</definedName>
    <definedName name="Kode">#REF!</definedName>
    <definedName name="Kode_k" localSheetId="18">#REF!</definedName>
    <definedName name="Kode_k" localSheetId="16">#REF!</definedName>
    <definedName name="Kode_k" localSheetId="19">#REF!</definedName>
    <definedName name="Kode_k" localSheetId="17">#REF!</definedName>
    <definedName name="Kode_k">#REF!</definedName>
    <definedName name="kom" localSheetId="18">'[17]POT-0601'!#REF!</definedName>
    <definedName name="kom" localSheetId="16">'[17]POT-0601'!#REF!</definedName>
    <definedName name="kom" localSheetId="19">'[17]POT-0601'!#REF!</definedName>
    <definedName name="kom" localSheetId="17">'[17]POT-0601'!#REF!</definedName>
    <definedName name="kom">'[17]POT-0601'!#REF!</definedName>
    <definedName name="Kontraktor" localSheetId="18">#REF!</definedName>
    <definedName name="Kontraktor" localSheetId="16">#REF!</definedName>
    <definedName name="Kontraktor" localSheetId="19">#REF!</definedName>
    <definedName name="Kontraktor" localSheetId="17">#REF!</definedName>
    <definedName name="Kontraktor">#REF!</definedName>
    <definedName name="KOTA" localSheetId="18">#REF!</definedName>
    <definedName name="KOTA" localSheetId="16">#REF!</definedName>
    <definedName name="KOTA" localSheetId="19">#REF!</definedName>
    <definedName name="KOTA" localSheetId="17">#REF!</definedName>
    <definedName name="KOTA">#REF!</definedName>
    <definedName name="KPP" localSheetId="18">#REF!</definedName>
    <definedName name="KPP" localSheetId="16">#REF!</definedName>
    <definedName name="KPP" localSheetId="19">#REF!</definedName>
    <definedName name="KPP" localSheetId="17">#REF!</definedName>
    <definedName name="KPP">#REF!</definedName>
    <definedName name="KreditContra">'[20]Contra '!$L$9:$L$1331</definedName>
    <definedName name="KreditDN">'[21]Debit Note'!$L$7:$L$62</definedName>
    <definedName name="KreditEkspor">[22]Ekspor!$L$10:$L$723</definedName>
    <definedName name="KreditEksport" localSheetId="18">#REF!</definedName>
    <definedName name="KreditEksport" localSheetId="16">#REF!</definedName>
    <definedName name="KreditEksport" localSheetId="19">#REF!</definedName>
    <definedName name="KreditEksport" localSheetId="17">#REF!</definedName>
    <definedName name="KreditEksport">#REF!</definedName>
    <definedName name="KreditJournal">[23]Journal!$L$7:$L$784</definedName>
    <definedName name="KreditLokal" localSheetId="18">#REF!</definedName>
    <definedName name="KreditLokal" localSheetId="16">#REF!</definedName>
    <definedName name="KreditLokal" localSheetId="19">#REF!</definedName>
    <definedName name="KreditLokal" localSheetId="17">#REF!</definedName>
    <definedName name="KreditLokal">#REF!</definedName>
    <definedName name="KreditPayment">[23]Payment!$L$7:$L$873</definedName>
    <definedName name="KreditPE" localSheetId="18">#REF!</definedName>
    <definedName name="KreditPE" localSheetId="16">#REF!</definedName>
    <definedName name="KreditPE" localSheetId="19">#REF!</definedName>
    <definedName name="KreditPE" localSheetId="17">#REF!</definedName>
    <definedName name="KreditPE">#REF!</definedName>
    <definedName name="KreditPurchase" localSheetId="18">#REF!</definedName>
    <definedName name="KreditPurchase" localSheetId="16">#REF!</definedName>
    <definedName name="KreditPurchase" localSheetId="19">#REF!</definedName>
    <definedName name="KreditPurchase" localSheetId="17">#REF!</definedName>
    <definedName name="KreditPurchase">#REF!</definedName>
    <definedName name="KreditRecipt">[23]Receipt!$L$7:$L$480</definedName>
    <definedName name="KreditRM" localSheetId="18">#REF!</definedName>
    <definedName name="KreditRM" localSheetId="16">#REF!</definedName>
    <definedName name="KreditRM" localSheetId="19">#REF!</definedName>
    <definedName name="KreditRM" localSheetId="17">#REF!</definedName>
    <definedName name="KreditRM">#REF!</definedName>
    <definedName name="KreditSales" localSheetId="18">#REF!</definedName>
    <definedName name="KreditSales" localSheetId="16">#REF!</definedName>
    <definedName name="KreditSales" localSheetId="19">#REF!</definedName>
    <definedName name="KreditSales" localSheetId="17">#REF!</definedName>
    <definedName name="KreditSales">#REF!</definedName>
    <definedName name="Kriteria1" localSheetId="18">#REF!</definedName>
    <definedName name="Kriteria1" localSheetId="16">#REF!</definedName>
    <definedName name="Kriteria1" localSheetId="19">#REF!</definedName>
    <definedName name="Kriteria1" localSheetId="17">#REF!</definedName>
    <definedName name="Kriteria1">#REF!</definedName>
    <definedName name="Kriteria2">#REF!</definedName>
    <definedName name="kt.aan">'[18]POT-0601'!#REF!</definedName>
    <definedName name="kt.atun">'[18]POT-0601'!#REF!</definedName>
    <definedName name="kt.diman" localSheetId="18">#REF!</definedName>
    <definedName name="kt.diman" localSheetId="16">#REF!</definedName>
    <definedName name="kt.diman" localSheetId="19">#REF!</definedName>
    <definedName name="kt.diman" localSheetId="17">#REF!</definedName>
    <definedName name="kt.diman">#REF!</definedName>
    <definedName name="kt.fredi" localSheetId="18">'[18]POT-0601'!#REF!</definedName>
    <definedName name="kt.fredi" localSheetId="17">'[18]POT-0601'!#REF!</definedName>
    <definedName name="kt.fredi">'[18]POT-0601'!#REF!</definedName>
    <definedName name="kt.ina" localSheetId="18">'[18]POT-0601'!#REF!</definedName>
    <definedName name="kt.ina" localSheetId="17">'[18]POT-0601'!#REF!</definedName>
    <definedName name="kt.ina">'[18]POT-0601'!#REF!</definedName>
    <definedName name="kt.kholil" localSheetId="18">'[18]POT-0601'!#REF!</definedName>
    <definedName name="kt.kholil" localSheetId="17">'[18]POT-0601'!#REF!</definedName>
    <definedName name="kt.kholil">'[18]POT-0601'!#REF!</definedName>
    <definedName name="kt.mbok" localSheetId="18">'[18]POT-0601'!#REF!</definedName>
    <definedName name="kt.mbok" localSheetId="17">'[18]POT-0601'!#REF!</definedName>
    <definedName name="kt.mbok">'[18]POT-0601'!#REF!</definedName>
    <definedName name="kt.novita" localSheetId="18">#REF!</definedName>
    <definedName name="kt.novita" localSheetId="16">#REF!</definedName>
    <definedName name="kt.novita" localSheetId="19">#REF!</definedName>
    <definedName name="kt.novita" localSheetId="17">#REF!</definedName>
    <definedName name="kt.novita">#REF!</definedName>
    <definedName name="kt.nug" localSheetId="18">'[18]POT-0601'!#REF!</definedName>
    <definedName name="kt.nug" localSheetId="17">'[18]POT-0601'!#REF!</definedName>
    <definedName name="kt.nug">'[18]POT-0601'!#REF!</definedName>
    <definedName name="kt.rahman" localSheetId="18">#REF!</definedName>
    <definedName name="kt.rahman" localSheetId="16">#REF!</definedName>
    <definedName name="kt.rahman" localSheetId="19">#REF!</definedName>
    <definedName name="kt.rahman" localSheetId="17">#REF!</definedName>
    <definedName name="kt.rahman">#REF!</definedName>
    <definedName name="kt.restu" localSheetId="18">#REF!</definedName>
    <definedName name="kt.restu" localSheetId="16">#REF!</definedName>
    <definedName name="kt.restu" localSheetId="19">#REF!</definedName>
    <definedName name="kt.restu" localSheetId="17">#REF!</definedName>
    <definedName name="kt.restu">#REF!</definedName>
    <definedName name="kt.riki" localSheetId="18">'[18]POT-0601'!#REF!</definedName>
    <definedName name="kt.riki" localSheetId="16">'[18]POT-0601'!#REF!</definedName>
    <definedName name="kt.riki" localSheetId="19">'[18]POT-0601'!#REF!</definedName>
    <definedName name="kt.riki" localSheetId="17">'[18]POT-0601'!#REF!</definedName>
    <definedName name="kt.riki">'[18]POT-0601'!#REF!</definedName>
    <definedName name="kt.rizal" localSheetId="18">#REF!</definedName>
    <definedName name="kt.rizal" localSheetId="16">#REF!</definedName>
    <definedName name="kt.rizal" localSheetId="19">#REF!</definedName>
    <definedName name="kt.rizal" localSheetId="17">#REF!</definedName>
    <definedName name="kt.rizal">#REF!</definedName>
    <definedName name="kt.sahid" localSheetId="18">#REF!</definedName>
    <definedName name="kt.sahid" localSheetId="16">#REF!</definedName>
    <definedName name="kt.sahid" localSheetId="19">#REF!</definedName>
    <definedName name="kt.sahid" localSheetId="17">#REF!</definedName>
    <definedName name="kt.sahid">#REF!</definedName>
    <definedName name="kt.sahit" localSheetId="18">#REF!</definedName>
    <definedName name="kt.sahit" localSheetId="16">#REF!</definedName>
    <definedName name="kt.sahit" localSheetId="19">#REF!</definedName>
    <definedName name="kt.sahit" localSheetId="17">#REF!</definedName>
    <definedName name="kt.sahit">#REF!</definedName>
    <definedName name="kt.sangadi">#REF!</definedName>
    <definedName name="kt.yatno">#REF!</definedName>
    <definedName name="KTN.EDI">#REF!</definedName>
    <definedName name="KTN.NURSALI">#REF!</definedName>
    <definedName name="KTN.SUGI">#REF!</definedName>
    <definedName name="KTN.TATI">#REF!</definedName>
    <definedName name="l">'[17]POT-0601'!#REF!</definedName>
    <definedName name="LAIN.EDI" localSheetId="18">#REF!</definedName>
    <definedName name="LAIN.EDI" localSheetId="16">#REF!</definedName>
    <definedName name="LAIN.EDI" localSheetId="19">#REF!</definedName>
    <definedName name="LAIN.EDI" localSheetId="17">#REF!</definedName>
    <definedName name="LAIN.EDI">#REF!</definedName>
    <definedName name="LAIN.NURSALI" localSheetId="18">#REF!</definedName>
    <definedName name="LAIN.NURSALI" localSheetId="16">#REF!</definedName>
    <definedName name="LAIN.NURSALI" localSheetId="19">#REF!</definedName>
    <definedName name="LAIN.NURSALI" localSheetId="17">#REF!</definedName>
    <definedName name="LAIN.NURSALI">#REF!</definedName>
    <definedName name="LAIN.NURSASLI" localSheetId="18">#REF!</definedName>
    <definedName name="LAIN.NURSASLI" localSheetId="16">#REF!</definedName>
    <definedName name="LAIN.NURSASLI" localSheetId="19">#REF!</definedName>
    <definedName name="LAIN.NURSASLI" localSheetId="17">#REF!</definedName>
    <definedName name="LAIN.NURSASLI">#REF!</definedName>
    <definedName name="LAIN.SUGI">#REF!</definedName>
    <definedName name="LAIN.TATI">#REF!</definedName>
    <definedName name="lflflfl">'[17]POT-0601'!#REF!</definedName>
    <definedName name="lglt">'[17]POT-0601'!#REF!</definedName>
    <definedName name="Lia" localSheetId="18">#REF!</definedName>
    <definedName name="Lia" localSheetId="16">#REF!</definedName>
    <definedName name="Lia" localSheetId="19">#REF!</definedName>
    <definedName name="Lia" localSheetId="17">#REF!</definedName>
    <definedName name="Lia">#REF!</definedName>
    <definedName name="LINE" localSheetId="18">#REF!</definedName>
    <definedName name="LINE" localSheetId="16">#REF!</definedName>
    <definedName name="LINE" localSheetId="19">#REF!</definedName>
    <definedName name="LINE" localSheetId="17">#REF!</definedName>
    <definedName name="LINE">#REF!</definedName>
    <definedName name="lisa" localSheetId="18">'[17]POT-0601'!#REF!</definedName>
    <definedName name="lisa" localSheetId="16">'[17]POT-0601'!#REF!</definedName>
    <definedName name="lisa" localSheetId="19">'[17]POT-0601'!#REF!</definedName>
    <definedName name="lisa" localSheetId="17">'[17]POT-0601'!#REF!</definedName>
    <definedName name="lisa">'[17]POT-0601'!#REF!</definedName>
    <definedName name="LISST" localSheetId="18">#REF!</definedName>
    <definedName name="LISST" localSheetId="16">#REF!</definedName>
    <definedName name="LISST" localSheetId="19">#REF!</definedName>
    <definedName name="LISST" localSheetId="17">#REF!</definedName>
    <definedName name="LISST">#REF!</definedName>
    <definedName name="LIST" localSheetId="18">#REF!</definedName>
    <definedName name="LIST" localSheetId="16">#REF!</definedName>
    <definedName name="LIST" localSheetId="19">#REF!</definedName>
    <definedName name="LIST" localSheetId="17">#REF!</definedName>
    <definedName name="LIST">#REF!</definedName>
    <definedName name="lista" localSheetId="18">#REF!</definedName>
    <definedName name="lista" localSheetId="16">#REF!</definedName>
    <definedName name="lista" localSheetId="19">#REF!</definedName>
    <definedName name="lista" localSheetId="17">#REF!</definedName>
    <definedName name="lista">#REF!</definedName>
    <definedName name="listara">[48]NAMA!$F$9:$G$71</definedName>
    <definedName name="listr">[49]Nama!$F$9:$G$20</definedName>
    <definedName name="LISTRA" localSheetId="18">#REF!</definedName>
    <definedName name="LISTRA" localSheetId="16">#REF!</definedName>
    <definedName name="LISTRA" localSheetId="19">#REF!</definedName>
    <definedName name="LISTRA" localSheetId="17">#REF!</definedName>
    <definedName name="LISTRA">#REF!</definedName>
    <definedName name="ll.aan" localSheetId="18">'[18]POT-0601'!#REF!</definedName>
    <definedName name="ll.aan" localSheetId="16">'[18]POT-0601'!#REF!</definedName>
    <definedName name="ll.aan" localSheetId="17">'[18]POT-0601'!#REF!</definedName>
    <definedName name="ll.aan">'[18]POT-0601'!#REF!</definedName>
    <definedName name="ll.atun" localSheetId="18">'[18]POT-0601'!#REF!</definedName>
    <definedName name="ll.atun" localSheetId="16">'[18]POT-0601'!#REF!</definedName>
    <definedName name="ll.atun" localSheetId="17">'[18]POT-0601'!#REF!</definedName>
    <definedName name="ll.atun">'[18]POT-0601'!#REF!</definedName>
    <definedName name="ll.diman" localSheetId="18">#REF!</definedName>
    <definedName name="ll.diman" localSheetId="16">#REF!</definedName>
    <definedName name="ll.diman" localSheetId="19">#REF!</definedName>
    <definedName name="ll.diman" localSheetId="17">#REF!</definedName>
    <definedName name="ll.diman">#REF!</definedName>
    <definedName name="ll.fredi" localSheetId="18">'[18]POT-0601'!#REF!</definedName>
    <definedName name="ll.fredi" localSheetId="16">'[18]POT-0601'!#REF!</definedName>
    <definedName name="ll.fredi" localSheetId="17">'[18]POT-0601'!#REF!</definedName>
    <definedName name="ll.fredi">'[18]POT-0601'!#REF!</definedName>
    <definedName name="ll.ina" localSheetId="18">'[18]POT-0601'!#REF!</definedName>
    <definedName name="ll.ina" localSheetId="16">'[18]POT-0601'!#REF!</definedName>
    <definedName name="ll.ina" localSheetId="17">'[18]POT-0601'!#REF!</definedName>
    <definedName name="ll.ina">'[18]POT-0601'!#REF!</definedName>
    <definedName name="ll.kholil" localSheetId="18">'[18]POT-0601'!#REF!</definedName>
    <definedName name="ll.kholil" localSheetId="17">'[18]POT-0601'!#REF!</definedName>
    <definedName name="ll.kholil">'[18]POT-0601'!#REF!</definedName>
    <definedName name="ll.mbok" localSheetId="18">'[18]POT-0601'!#REF!</definedName>
    <definedName name="ll.mbok" localSheetId="17">'[18]POT-0601'!#REF!</definedName>
    <definedName name="ll.mbok">'[18]POT-0601'!#REF!</definedName>
    <definedName name="ll.novita" localSheetId="18">#REF!</definedName>
    <definedName name="ll.novita" localSheetId="16">#REF!</definedName>
    <definedName name="ll.novita" localSheetId="19">#REF!</definedName>
    <definedName name="ll.novita" localSheetId="17">#REF!</definedName>
    <definedName name="ll.novita">#REF!</definedName>
    <definedName name="ll.nug" localSheetId="18">'[18]POT-0601'!#REF!</definedName>
    <definedName name="ll.nug" localSheetId="17">'[18]POT-0601'!#REF!</definedName>
    <definedName name="ll.nug">'[18]POT-0601'!#REF!</definedName>
    <definedName name="ll.rahman" localSheetId="18">#REF!</definedName>
    <definedName name="ll.rahman" localSheetId="16">#REF!</definedName>
    <definedName name="ll.rahman" localSheetId="19">#REF!</definedName>
    <definedName name="ll.rahman" localSheetId="17">#REF!</definedName>
    <definedName name="ll.rahman">#REF!</definedName>
    <definedName name="ll.restu" localSheetId="18">#REF!</definedName>
    <definedName name="ll.restu" localSheetId="16">#REF!</definedName>
    <definedName name="ll.restu" localSheetId="19">#REF!</definedName>
    <definedName name="ll.restu" localSheetId="17">#REF!</definedName>
    <definedName name="ll.restu">#REF!</definedName>
    <definedName name="ll.riki" localSheetId="18">'[18]POT-0601'!#REF!</definedName>
    <definedName name="ll.riki" localSheetId="16">'[18]POT-0601'!#REF!</definedName>
    <definedName name="ll.riki" localSheetId="19">'[18]POT-0601'!#REF!</definedName>
    <definedName name="ll.riki" localSheetId="17">'[18]POT-0601'!#REF!</definedName>
    <definedName name="ll.riki">'[18]POT-0601'!#REF!</definedName>
    <definedName name="ll.rizal" localSheetId="18">#REF!</definedName>
    <definedName name="ll.rizal" localSheetId="16">#REF!</definedName>
    <definedName name="ll.rizal" localSheetId="19">#REF!</definedName>
    <definedName name="ll.rizal" localSheetId="17">#REF!</definedName>
    <definedName name="ll.rizal">#REF!</definedName>
    <definedName name="ll.sahid" localSheetId="18">#REF!</definedName>
    <definedName name="ll.sahid" localSheetId="16">#REF!</definedName>
    <definedName name="ll.sahid" localSheetId="19">#REF!</definedName>
    <definedName name="ll.sahid" localSheetId="17">#REF!</definedName>
    <definedName name="ll.sahid">#REF!</definedName>
    <definedName name="ll.sahit" localSheetId="18">#REF!</definedName>
    <definedName name="ll.sahit" localSheetId="16">#REF!</definedName>
    <definedName name="ll.sahit" localSheetId="19">#REF!</definedName>
    <definedName name="ll.sahit" localSheetId="17">#REF!</definedName>
    <definedName name="ll.sahit">#REF!</definedName>
    <definedName name="ll.sangadi">#REF!</definedName>
    <definedName name="ll.yatno">#REF!</definedName>
    <definedName name="lsle">'[17]POT-0601'!#REF!</definedName>
    <definedName name="LY">'[24]Accounts Payable (AA):10-1-1'!$J$13:$J$47</definedName>
    <definedName name="maret" hidden="1">[14]worksheet!#REF!</definedName>
    <definedName name="mas">'[17]POT-0601'!#REF!</definedName>
    <definedName name="masa">[50]PTKP!#REF!</definedName>
    <definedName name="mbok">'[18]POT-0601'!#REF!</definedName>
    <definedName name="MESIN___MESIN" localSheetId="18">#REF!</definedName>
    <definedName name="MESIN___MESIN" localSheetId="16">#REF!</definedName>
    <definedName name="MESIN___MESIN" localSheetId="19">#REF!</definedName>
    <definedName name="MESIN___MESIN" localSheetId="17">#REF!</definedName>
    <definedName name="MESIN___MESIN">#REF!</definedName>
    <definedName name="MESIN___PERLENGKAPAN_BARU" localSheetId="18">#REF!</definedName>
    <definedName name="MESIN___PERLENGKAPAN_BARU" localSheetId="16">#REF!</definedName>
    <definedName name="MESIN___PERLENGKAPAN_BARU" localSheetId="19">#REF!</definedName>
    <definedName name="MESIN___PERLENGKAPAN_BARU" localSheetId="17">#REF!</definedName>
    <definedName name="MESIN___PERLENGKAPAN_BARU">#REF!</definedName>
    <definedName name="mETRO1">4743</definedName>
    <definedName name="mkhhj" localSheetId="18">'[17]POT-0601'!#REF!</definedName>
    <definedName name="mkhhj" localSheetId="16">'[17]POT-0601'!#REF!</definedName>
    <definedName name="mkhhj" localSheetId="19">'[17]POT-0601'!#REF!</definedName>
    <definedName name="mkhhj" localSheetId="17">'[17]POT-0601'!#REF!</definedName>
    <definedName name="mkhhj">'[17]POT-0601'!#REF!</definedName>
    <definedName name="mm" localSheetId="18">'[17]POT-0601'!#REF!</definedName>
    <definedName name="mm" localSheetId="16">'[17]POT-0601'!#REF!</definedName>
    <definedName name="mm" localSheetId="19">'[17]POT-0601'!#REF!</definedName>
    <definedName name="mm" localSheetId="17">'[17]POT-0601'!#REF!</definedName>
    <definedName name="mm">'[17]POT-0601'!#REF!</definedName>
    <definedName name="Module1.bpll" localSheetId="18">'Hutang Usaha ISP 2023'!Module1.bpll</definedName>
    <definedName name="Module1.bpll" localSheetId="16">'Piutang IAS 2023'!Module1.bpll</definedName>
    <definedName name="Module1.bpll" localSheetId="21">'Piutang Usaha 2021'!Module1.bpll</definedName>
    <definedName name="Module1.bpll" localSheetId="19">'Piutang Usaha 2022'!Module1.bpll</definedName>
    <definedName name="Module1.bpll" localSheetId="17">'Piutang Usaha ISP 2023'!Module1.bpll</definedName>
    <definedName name="Module1.bpll">Module1.bpll</definedName>
    <definedName name="Module1.bpll01tm" localSheetId="18">'Hutang Usaha ISP 2023'!Module1.bpll01tm</definedName>
    <definedName name="Module1.bpll01tm" localSheetId="16">'Piutang IAS 2023'!Module1.bpll01tm</definedName>
    <definedName name="Module1.bpll01tm" localSheetId="21">'Piutang Usaha 2021'!Module1.bpll01tm</definedName>
    <definedName name="Module1.bpll01tm" localSheetId="19">'Piutang Usaha 2022'!Module1.bpll01tm</definedName>
    <definedName name="Module1.bpll01tm" localSheetId="17">'Piutang Usaha ISP 2023'!Module1.bpll01tm</definedName>
    <definedName name="Module1.bpll01tm">Module1.bpll01tm</definedName>
    <definedName name="Module1.bpll01ytd" localSheetId="18">'Hutang Usaha ISP 2023'!Module1.bpll01ytd</definedName>
    <definedName name="Module1.bpll01ytd" localSheetId="16">'Piutang IAS 2023'!Module1.bpll01ytd</definedName>
    <definedName name="Module1.bpll01ytd" localSheetId="21">'Piutang Usaha 2021'!Module1.bpll01ytd</definedName>
    <definedName name="Module1.bpll01ytd" localSheetId="19">'Piutang Usaha 2022'!Module1.bpll01ytd</definedName>
    <definedName name="Module1.bpll01ytd" localSheetId="17">'Piutang Usaha ISP 2023'!Module1.bpll01ytd</definedName>
    <definedName name="Module1.bpll01ytd">Module1.bpll01ytd</definedName>
    <definedName name="Module1.bpll02ytd" localSheetId="18">'Hutang Usaha ISP 2023'!Module1.bpll02ytd</definedName>
    <definedName name="Module1.bpll02ytd" localSheetId="16">'Piutang IAS 2023'!Module1.bpll02ytd</definedName>
    <definedName name="Module1.bpll02ytd" localSheetId="21">'Piutang Usaha 2021'!Module1.bpll02ytd</definedName>
    <definedName name="Module1.bpll02ytd" localSheetId="19">'Piutang Usaha 2022'!Module1.bpll02ytd</definedName>
    <definedName name="Module1.bpll02ytd" localSheetId="17">'Piutang Usaha ISP 2023'!Module1.bpll02ytd</definedName>
    <definedName name="Module1.bpll02ytd">Module1.bpll02ytd</definedName>
    <definedName name="Module1.bpll03ytd" localSheetId="18">'Hutang Usaha ISP 2023'!Module1.bpll03ytd</definedName>
    <definedName name="Module1.bpll03ytd" localSheetId="16">'Piutang IAS 2023'!Module1.bpll03ytd</definedName>
    <definedName name="Module1.bpll03ytd" localSheetId="21">'Piutang Usaha 2021'!Module1.bpll03ytd</definedName>
    <definedName name="Module1.bpll03ytd" localSheetId="19">'Piutang Usaha 2022'!Module1.bpll03ytd</definedName>
    <definedName name="Module1.bpll03ytd" localSheetId="17">'Piutang Usaha ISP 2023'!Module1.bpll03ytd</definedName>
    <definedName name="Module1.bpll03ytd">Module1.bpll03ytd</definedName>
    <definedName name="money">'[51]data (2)'!$T$1:$W$1008</definedName>
    <definedName name="NAFGNGV" hidden="1">[19]INVES!#REF!</definedName>
    <definedName name="nama">[47]pph!$I$8:$I$26</definedName>
    <definedName name="NAMA1" localSheetId="18">#REF!</definedName>
    <definedName name="NAMA1" localSheetId="16">#REF!</definedName>
    <definedName name="NAMA1" localSheetId="19">#REF!</definedName>
    <definedName name="NAMA1" localSheetId="17">#REF!</definedName>
    <definedName name="NAMA1">#REF!</definedName>
    <definedName name="NAMA2" localSheetId="18">#REF!</definedName>
    <definedName name="NAMA2" localSheetId="16">#REF!</definedName>
    <definedName name="NAMA2" localSheetId="19">#REF!</definedName>
    <definedName name="NAMA2" localSheetId="17">#REF!</definedName>
    <definedName name="NAMA2">#REF!</definedName>
    <definedName name="neraca" localSheetId="18">#REF!</definedName>
    <definedName name="neraca" localSheetId="16">#REF!</definedName>
    <definedName name="neraca" localSheetId="19">#REF!</definedName>
    <definedName name="neraca" localSheetId="17">#REF!</definedName>
    <definedName name="neraca">#REF!</definedName>
    <definedName name="Nilai">#REF!</definedName>
    <definedName name="njhhjh">'[17]POT-0601'!#REF!</definedName>
    <definedName name="NoUrut">[47]pph!$A$8:$A$26</definedName>
    <definedName name="novi" localSheetId="18">#REF!</definedName>
    <definedName name="novi" localSheetId="16">#REF!</definedName>
    <definedName name="novi" localSheetId="19">#REF!</definedName>
    <definedName name="novi" localSheetId="17">#REF!</definedName>
    <definedName name="novi">#REF!</definedName>
    <definedName name="NSLain">[37]NS!$A$85:$O$89</definedName>
    <definedName name="NSPendapatan">[37]NS!$A$47:$O$52</definedName>
    <definedName name="nug" localSheetId="18">#REF!</definedName>
    <definedName name="nug" localSheetId="16">#REF!</definedName>
    <definedName name="nug" localSheetId="19">#REF!</definedName>
    <definedName name="nug" localSheetId="17">#REF!</definedName>
    <definedName name="nug">#REF!</definedName>
    <definedName name="Number_of_Selections">'[6]CMA Addition'!$F$139</definedName>
    <definedName name="NURSALI">#REF!</definedName>
    <definedName name="O">#REF!</definedName>
    <definedName name="of">'[17]POT-0601'!#REF!</definedName>
    <definedName name="ok" localSheetId="18" hidden="1">#REF!</definedName>
    <definedName name="ok" localSheetId="16" hidden="1">#REF!</definedName>
    <definedName name="ok" localSheetId="19" hidden="1">#REF!</definedName>
    <definedName name="ok" localSheetId="17" hidden="1">#REF!</definedName>
    <definedName name="ok" hidden="1">#REF!</definedName>
    <definedName name="OLD" localSheetId="18" hidden="1">#REF!</definedName>
    <definedName name="OLD" localSheetId="16" hidden="1">#REF!</definedName>
    <definedName name="OLD" localSheetId="19" hidden="1">#REF!</definedName>
    <definedName name="OLD" localSheetId="17" hidden="1">#REF!</definedName>
    <definedName name="OLD" hidden="1">#REF!</definedName>
    <definedName name="olif" localSheetId="18">'[17]POT-0601'!#REF!</definedName>
    <definedName name="olif" localSheetId="16">'[17]POT-0601'!#REF!</definedName>
    <definedName name="olif" localSheetId="19">'[17]POT-0601'!#REF!</definedName>
    <definedName name="olif" localSheetId="17">'[17]POT-0601'!#REF!</definedName>
    <definedName name="olif">'[17]POT-0601'!#REF!</definedName>
    <definedName name="op" localSheetId="18">'[17]POT-0601'!#REF!</definedName>
    <definedName name="op" localSheetId="16">'[17]POT-0601'!#REF!</definedName>
    <definedName name="op" localSheetId="19">'[17]POT-0601'!#REF!</definedName>
    <definedName name="op" localSheetId="17">'[17]POT-0601'!#REF!</definedName>
    <definedName name="op">'[17]POT-0601'!#REF!</definedName>
    <definedName name="oyow" localSheetId="18">'[17]POT-0601'!#REF!</definedName>
    <definedName name="oyow" localSheetId="16">'[17]POT-0601'!#REF!</definedName>
    <definedName name="oyow" localSheetId="17">'[17]POT-0601'!#REF!</definedName>
    <definedName name="oyow">'[17]POT-0601'!#REF!</definedName>
    <definedName name="oyyy" localSheetId="18">'[17]POT-0601'!#REF!</definedName>
    <definedName name="oyyy" localSheetId="16">'[17]POT-0601'!#REF!</definedName>
    <definedName name="oyyy" localSheetId="17">'[17]POT-0601'!#REF!</definedName>
    <definedName name="oyyy">'[17]POT-0601'!#REF!</definedName>
    <definedName name="P" localSheetId="18">#REF!</definedName>
    <definedName name="P" localSheetId="16">#REF!</definedName>
    <definedName name="P" localSheetId="19">#REF!</definedName>
    <definedName name="P" localSheetId="17">#REF!</definedName>
    <definedName name="P">#REF!</definedName>
    <definedName name="Pajak" localSheetId="18">#REF!</definedName>
    <definedName name="Pajak" localSheetId="16">#REF!</definedName>
    <definedName name="Pajak" localSheetId="19">#REF!</definedName>
    <definedName name="Pajak" localSheetId="17">#REF!</definedName>
    <definedName name="Pajak">#REF!</definedName>
    <definedName name="Pajak1" localSheetId="18">#REF!</definedName>
    <definedName name="Pajak1" localSheetId="16">#REF!</definedName>
    <definedName name="Pajak1" localSheetId="19">#REF!</definedName>
    <definedName name="Pajak1" localSheetId="17">#REF!</definedName>
    <definedName name="Pajak1">#REF!</definedName>
    <definedName name="pembibitan" localSheetId="18" hidden="1">'[52]ocean voyage'!#REF!</definedName>
    <definedName name="pembibitan" localSheetId="16" hidden="1">'[52]ocean voyage'!#REF!</definedName>
    <definedName name="pembibitan" localSheetId="19" hidden="1">'[52]ocean voyage'!#REF!</definedName>
    <definedName name="pembibitan" localSheetId="17" hidden="1">'[52]ocean voyage'!#REF!</definedName>
    <definedName name="pembibitan" hidden="1">'[52]ocean voyage'!#REF!</definedName>
    <definedName name="Pendidikan" localSheetId="18">#REF!</definedName>
    <definedName name="Pendidikan" localSheetId="16">#REF!</definedName>
    <definedName name="Pendidikan" localSheetId="19">#REF!</definedName>
    <definedName name="Pendidikan" localSheetId="17">#REF!</definedName>
    <definedName name="Pendidikan">#REF!</definedName>
    <definedName name="PERLENGKAPAN__MESIN" localSheetId="18">#REF!</definedName>
    <definedName name="PERLENGKAPAN__MESIN" localSheetId="16">#REF!</definedName>
    <definedName name="PERLENGKAPAN__MESIN" localSheetId="19">#REF!</definedName>
    <definedName name="PERLENGKAPAN__MESIN" localSheetId="17">#REF!</definedName>
    <definedName name="PERLENGKAPAN__MESIN">#REF!</definedName>
    <definedName name="pk.aan" localSheetId="18">'[18]POT-0601'!#REF!</definedName>
    <definedName name="pk.aan" localSheetId="16">'[18]POT-0601'!#REF!</definedName>
    <definedName name="pk.aan" localSheetId="19">'[18]POT-0601'!#REF!</definedName>
    <definedName name="pk.aan" localSheetId="17">'[18]POT-0601'!#REF!</definedName>
    <definedName name="pk.aan">'[18]POT-0601'!#REF!</definedName>
    <definedName name="pk.atun" localSheetId="18">'[18]POT-0601'!#REF!</definedName>
    <definedName name="pk.atun" localSheetId="16">'[18]POT-0601'!#REF!</definedName>
    <definedName name="pk.atun" localSheetId="19">'[18]POT-0601'!#REF!</definedName>
    <definedName name="pk.atun" localSheetId="17">'[18]POT-0601'!#REF!</definedName>
    <definedName name="pk.atun">'[18]POT-0601'!#REF!</definedName>
    <definedName name="pk.kholil">'[18]POT-0601'!#REF!</definedName>
    <definedName name="pk.yatno">'[18]POT-0601'!#REF!</definedName>
    <definedName name="popop">'[17]POT-0601'!#REF!</definedName>
    <definedName name="POT.EDI" localSheetId="18">#REF!</definedName>
    <definedName name="POT.EDI" localSheetId="16">#REF!</definedName>
    <definedName name="POT.EDI" localSheetId="19">#REF!</definedName>
    <definedName name="POT.EDI" localSheetId="17">#REF!</definedName>
    <definedName name="POT.EDI">#REF!</definedName>
    <definedName name="POT.NURSALI" localSheetId="18">#REF!</definedName>
    <definedName name="POT.NURSALI" localSheetId="16">#REF!</definedName>
    <definedName name="POT.NURSALI" localSheetId="19">#REF!</definedName>
    <definedName name="POT.NURSALI" localSheetId="17">#REF!</definedName>
    <definedName name="POT.NURSALI">#REF!</definedName>
    <definedName name="POT.SUGI" localSheetId="18">#REF!</definedName>
    <definedName name="POT.SUGI" localSheetId="16">#REF!</definedName>
    <definedName name="POT.SUGI" localSheetId="19">#REF!</definedName>
    <definedName name="POT.SUGI" localSheetId="17">#REF!</definedName>
    <definedName name="POT.SUGI">#REF!</definedName>
    <definedName name="POT.TATI">#REF!</definedName>
    <definedName name="PRINT_A">#REF!</definedName>
    <definedName name="_xlnm.Print_Area">#REF!</definedName>
    <definedName name="Print_Area_MI">#REF!</definedName>
    <definedName name="Print_Area_MI_2">#REF!</definedName>
    <definedName name="Print_Area_MI_3">#REF!</definedName>
    <definedName name="Print_Area_MI_5">#REF!</definedName>
    <definedName name="Print_Area_MI_6">#REF!</definedName>
    <definedName name="Print_Area_MI_7">#REF!</definedName>
    <definedName name="_xlnm.Print_Titles">#REF!</definedName>
    <definedName name="PRINT_TITLES_MI">#REF!</definedName>
    <definedName name="Print_Titles_MI_1">#REF!</definedName>
    <definedName name="Print_Titles_MI_2">#REF!</definedName>
    <definedName name="Print_Titles_MI_3">#REF!</definedName>
    <definedName name="Produk">#REF!</definedName>
    <definedName name="ptkp">[53]Sheet2!$A$1:$C$13</definedName>
    <definedName name="PWE" localSheetId="18" hidden="1">#REF!</definedName>
    <definedName name="PWE" localSheetId="16" hidden="1">#REF!</definedName>
    <definedName name="PWE" localSheetId="19" hidden="1">#REF!</definedName>
    <definedName name="PWE" localSheetId="17" hidden="1">#REF!</definedName>
    <definedName name="PWE" hidden="1">#REF!</definedName>
    <definedName name="RAB" localSheetId="18" hidden="1">#REF!</definedName>
    <definedName name="RAB" localSheetId="16" hidden="1">#REF!</definedName>
    <definedName name="RAB" localSheetId="19" hidden="1">#REF!</definedName>
    <definedName name="RAB" localSheetId="17" hidden="1">#REF!</definedName>
    <definedName name="RAB" hidden="1">#REF!</definedName>
    <definedName name="rahman" localSheetId="18">#REF!</definedName>
    <definedName name="rahman" localSheetId="16">#REF!</definedName>
    <definedName name="rahman" localSheetId="19">#REF!</definedName>
    <definedName name="rahman" localSheetId="17">#REF!</definedName>
    <definedName name="rahman">#REF!</definedName>
    <definedName name="Rate1">5000</definedName>
    <definedName name="restu">#REF!</definedName>
    <definedName name="rfbhytu">'[17]POT-0601'!#REF!</definedName>
    <definedName name="rfedrg">'[17]POT-0601'!#REF!</definedName>
    <definedName name="rfr">'[17]POT-0601'!#REF!</definedName>
    <definedName name="rfsg">'[17]POT-0601'!#REF!</definedName>
    <definedName name="rgdrg">'[17]POT-0601'!#REF!</definedName>
    <definedName name="riki">'[18]POT-0601'!#REF!</definedName>
    <definedName name="rizal" localSheetId="18">#REF!</definedName>
    <definedName name="rizal" localSheetId="16">#REF!</definedName>
    <definedName name="rizal" localSheetId="19">#REF!</definedName>
    <definedName name="rizal" localSheetId="17">#REF!</definedName>
    <definedName name="rizal">#REF!</definedName>
    <definedName name="rrr" localSheetId="18">'[17]POT-0601'!#REF!</definedName>
    <definedName name="rrr" localSheetId="17">'[17]POT-0601'!#REF!</definedName>
    <definedName name="rrr">'[17]POT-0601'!#REF!</definedName>
    <definedName name="rtrr" localSheetId="18">'[17]POT-0601'!#REF!</definedName>
    <definedName name="rtrr" localSheetId="17">'[17]POT-0601'!#REF!</definedName>
    <definedName name="rtrr">'[17]POT-0601'!#REF!</definedName>
    <definedName name="rtyit" localSheetId="18">'[17]POT-0601'!#REF!</definedName>
    <definedName name="rtyit" localSheetId="17">'[17]POT-0601'!#REF!</definedName>
    <definedName name="rtyit">'[17]POT-0601'!#REF!</definedName>
    <definedName name="ruf" localSheetId="18">'[17]POT-0601'!#REF!</definedName>
    <definedName name="ruf" localSheetId="17">'[17]POT-0601'!#REF!</definedName>
    <definedName name="ruf">'[17]POT-0601'!#REF!</definedName>
    <definedName name="sahid">'[18]POT-0601'!#REF!</definedName>
    <definedName name="sajsa" hidden="1">[54]Ekuitas!#REF!</definedName>
    <definedName name="Saldo" localSheetId="18">#REF!</definedName>
    <definedName name="Saldo" localSheetId="16">#REF!</definedName>
    <definedName name="Saldo" localSheetId="19">#REF!</definedName>
    <definedName name="Saldo" localSheetId="17">#REF!</definedName>
    <definedName name="Saldo">#REF!</definedName>
    <definedName name="sangadi" localSheetId="18">#REF!</definedName>
    <definedName name="sangadi" localSheetId="16">#REF!</definedName>
    <definedName name="sangadi" localSheetId="19">#REF!</definedName>
    <definedName name="sangadi" localSheetId="17">#REF!</definedName>
    <definedName name="sangadi">#REF!</definedName>
    <definedName name="SARANA_PENUNJANG_PABRIK" localSheetId="18">#REF!</definedName>
    <definedName name="SARANA_PENUNJANG_PABRIK" localSheetId="16">#REF!</definedName>
    <definedName name="SARANA_PENUNJANG_PABRIK" localSheetId="19">#REF!</definedName>
    <definedName name="SARANA_PENUNJANG_PABRIK" localSheetId="17">#REF!</definedName>
    <definedName name="SARANA_PENUNJANG_PABRIK">#REF!</definedName>
    <definedName name="SCL">'[55]Tabel PErkiraan'!$A$3:$B$43</definedName>
    <definedName name="sd.ktn.edi">'[18]POT-0601'!#REF!</definedName>
    <definedName name="sd.ktn.nursali">'[18]POT-0601'!#REF!</definedName>
    <definedName name="sd.ktn.sugi">'[18]POT-0601'!#REF!</definedName>
    <definedName name="sd.ktn.tati">'[18]POT-0601'!#REF!</definedName>
    <definedName name="sd.lain.edi">'[18]POT-0601'!#REF!</definedName>
    <definedName name="sd.lain.nursali">'[18]POT-0601'!#REF!</definedName>
    <definedName name="sd.lain.sugi">'[18]POT-0601'!#REF!</definedName>
    <definedName name="sd.lain.tati">'[18]POT-0601'!#REF!</definedName>
    <definedName name="sd.sp.edi">'[18]POT-0601'!#REF!</definedName>
    <definedName name="sd.sp.nursali">'[18]POT-0601'!#REF!</definedName>
    <definedName name="sd.sp.sugi">'[18]POT-0601'!#REF!</definedName>
    <definedName name="sd.sp.tati">'[18]POT-0601'!#REF!</definedName>
    <definedName name="sd.tk.edi">'[18]POT-0601'!#REF!</definedName>
    <definedName name="sd.tk.nursali">'[18]POT-0601'!#REF!</definedName>
    <definedName name="sd.tk.sugi">'[18]POT-0601'!#REF!</definedName>
    <definedName name="sd.tk.tati">'[18]POT-0601'!#REF!</definedName>
    <definedName name="sdfewf">'[17]POT-0601'!#REF!</definedName>
    <definedName name="sdfrg">'[17]POT-0601'!#REF!</definedName>
    <definedName name="sewdfse">'[17]POT-0601'!#REF!</definedName>
    <definedName name="SIMP.EDI" localSheetId="18">#REF!</definedName>
    <definedName name="SIMP.EDI" localSheetId="16">#REF!</definedName>
    <definedName name="SIMP.EDI" localSheetId="19">#REF!</definedName>
    <definedName name="SIMP.EDI" localSheetId="17">#REF!</definedName>
    <definedName name="SIMP.EDI">#REF!</definedName>
    <definedName name="simp.nursali" localSheetId="18">#REF!</definedName>
    <definedName name="simp.nursali" localSheetId="16">#REF!</definedName>
    <definedName name="simp.nursali" localSheetId="19">#REF!</definedName>
    <definedName name="simp.nursali" localSheetId="17">#REF!</definedName>
    <definedName name="simp.nursali">#REF!</definedName>
    <definedName name="simp.sugi" localSheetId="18">#REF!</definedName>
    <definedName name="simp.sugi" localSheetId="16">#REF!</definedName>
    <definedName name="simp.sugi" localSheetId="19">#REF!</definedName>
    <definedName name="simp.sugi" localSheetId="17">#REF!</definedName>
    <definedName name="simp.sugi">#REF!</definedName>
    <definedName name="SIMP.TATI">#REF!</definedName>
    <definedName name="so">'[51]data (2)'!$T$2:$V$1025</definedName>
    <definedName name="So.Ktn.aan">'[18]POT-0601'!#REF!</definedName>
    <definedName name="So.Ktn.atun">'[18]POT-0601'!#REF!</definedName>
    <definedName name="So.Ktn.Diman">'[18]POT-0601'!#REF!</definedName>
    <definedName name="So.Ktn.Emak">'[18]POT-0601'!#REF!</definedName>
    <definedName name="So.Ktn.Fa">'[18]POT-0601'!#REF!</definedName>
    <definedName name="So.Ktn.Kholil">'[18]POT-0601'!#REF!</definedName>
    <definedName name="So.Ktn.novi">'[18]POT-0601'!#REF!</definedName>
    <definedName name="So.Ktn.Nugroho">'[18]POT-0601'!#REF!</definedName>
    <definedName name="So.Ktn.rahman">'[18]POT-0601'!#REF!</definedName>
    <definedName name="So.Ktn.Restu">'[18]POT-0601'!#REF!</definedName>
    <definedName name="So.Ktn.Rina">'[18]POT-0601'!#REF!</definedName>
    <definedName name="So.Ktn.Rizal">'[18]POT-0601'!#REF!</definedName>
    <definedName name="So.Ktn.Sahid">'[18]POT-0601'!#REF!</definedName>
    <definedName name="So.Ktn.Sangadi">'[18]POT-0601'!#REF!</definedName>
    <definedName name="So.Ktn.Yatno">'[18]POT-0601'!#REF!</definedName>
    <definedName name="So.LL.aan">'[18]POT-0601'!#REF!</definedName>
    <definedName name="So.LL.Atun">'[18]POT-0601'!#REF!</definedName>
    <definedName name="So.LL.Diman">'[18]POT-0601'!#REF!</definedName>
    <definedName name="So.LL.Emak">'[18]POT-0601'!#REF!</definedName>
    <definedName name="So.LL.Fa">'[18]POT-0601'!#REF!</definedName>
    <definedName name="So.LL.Kholil">'[18]POT-0601'!#REF!</definedName>
    <definedName name="So.LL.Novi">'[18]POT-0601'!#REF!</definedName>
    <definedName name="So.LL.Nugroho">'[18]POT-0601'!#REF!</definedName>
    <definedName name="So.LL.rahman">'[18]POT-0601'!#REF!</definedName>
    <definedName name="So.LL.Restu">'[18]POT-0601'!#REF!</definedName>
    <definedName name="So.LL.Rina">'[18]POT-0601'!#REF!</definedName>
    <definedName name="So.LL.Rizal">'[18]POT-0601'!#REF!</definedName>
    <definedName name="So.LL.Sahid">'[18]POT-0601'!#REF!</definedName>
    <definedName name="So.LL.Sangadi">'[18]POT-0601'!#REF!</definedName>
    <definedName name="So.LL.Yatno">'[18]POT-0601'!#REF!</definedName>
    <definedName name="So.Sp.aan">'[18]POT-0601'!#REF!</definedName>
    <definedName name="So.Sp.Atun">'[18]POT-0601'!#REF!</definedName>
    <definedName name="So.Sp.Diman">'[18]POT-0601'!#REF!</definedName>
    <definedName name="So.Sp.Emak">'[18]POT-0601'!#REF!</definedName>
    <definedName name="So.Sp.Fa">'[18]POT-0601'!#REF!</definedName>
    <definedName name="So.Sp.Kholil">'[18]POT-0601'!#REF!</definedName>
    <definedName name="So.Sp.Novi">'[18]POT-0601'!#REF!</definedName>
    <definedName name="So.Sp.Nugroho">'[18]POT-0601'!#REF!</definedName>
    <definedName name="So.Sp.Rahman">'[18]POT-0601'!#REF!</definedName>
    <definedName name="So.Sp.restu">'[18]POT-0601'!#REF!</definedName>
    <definedName name="So.Sp.Rina">'[18]POT-0601'!#REF!</definedName>
    <definedName name="So.Sp.Rizal">'[18]POT-0601'!#REF!</definedName>
    <definedName name="So.Sp.sahid">'[18]POT-0601'!#REF!</definedName>
    <definedName name="So.Sp.Sangadi">'[18]POT-0601'!#REF!</definedName>
    <definedName name="So.Sp.Yatno">'[18]POT-0601'!#REF!</definedName>
    <definedName name="So.Tk.aan">'[18]POT-0601'!#REF!</definedName>
    <definedName name="So.Tk.atun">'[18]POT-0601'!#REF!</definedName>
    <definedName name="So.Tk.Diman">'[18]POT-0601'!#REF!</definedName>
    <definedName name="So.Tk.Emak">'[18]POT-0601'!#REF!</definedName>
    <definedName name="So.Tk.Fa">'[18]POT-0601'!#REF!</definedName>
    <definedName name="So.Tk.Kholil">'[18]POT-0601'!#REF!</definedName>
    <definedName name="So.Tk.Novi">'[18]POT-0601'!#REF!</definedName>
    <definedName name="So.Tk.Nugroho">'[18]POT-0601'!#REF!</definedName>
    <definedName name="So.Tk.Rahman">'[18]POT-0601'!#REF!</definedName>
    <definedName name="So.Tk.Restu">'[18]POT-0601'!#REF!</definedName>
    <definedName name="So.Tk.Rina">'[18]POT-0601'!#REF!</definedName>
    <definedName name="So.Tk.Rizal">'[18]POT-0601'!#REF!</definedName>
    <definedName name="So.Tk.sahid">'[18]POT-0601'!#REF!</definedName>
    <definedName name="So.Tk.Sangadi">'[18]POT-0601'!#REF!</definedName>
    <definedName name="So.Tk.Yatno">'[18]POT-0601'!#REF!</definedName>
    <definedName name="sp" localSheetId="18" hidden="1">#REF!</definedName>
    <definedName name="sp" localSheetId="16" hidden="1">#REF!</definedName>
    <definedName name="sp" localSheetId="19" hidden="1">#REF!</definedName>
    <definedName name="sp" localSheetId="17" hidden="1">#REF!</definedName>
    <definedName name="sp" hidden="1">#REF!</definedName>
    <definedName name="sp.aan" localSheetId="18">'[18]POT-0601'!#REF!</definedName>
    <definedName name="sp.aan" localSheetId="17">'[18]POT-0601'!#REF!</definedName>
    <definedName name="sp.aan">'[18]POT-0601'!#REF!</definedName>
    <definedName name="sp.atun" localSheetId="18">'[18]POT-0601'!#REF!</definedName>
    <definedName name="sp.atun" localSheetId="17">'[18]POT-0601'!#REF!</definedName>
    <definedName name="sp.atun">'[18]POT-0601'!#REF!</definedName>
    <definedName name="sp.diman" localSheetId="18">#REF!</definedName>
    <definedName name="sp.diman" localSheetId="16">#REF!</definedName>
    <definedName name="sp.diman" localSheetId="19">#REF!</definedName>
    <definedName name="sp.diman" localSheetId="17">#REF!</definedName>
    <definedName name="sp.diman">#REF!</definedName>
    <definedName name="sp.fredi" localSheetId="18">'[18]POT-0601'!#REF!</definedName>
    <definedName name="sp.fredi" localSheetId="17">'[18]POT-0601'!#REF!</definedName>
    <definedName name="sp.fredi">'[18]POT-0601'!#REF!</definedName>
    <definedName name="sp.ina" localSheetId="18">'[18]POT-0601'!#REF!</definedName>
    <definedName name="sp.ina" localSheetId="17">'[18]POT-0601'!#REF!</definedName>
    <definedName name="sp.ina">'[18]POT-0601'!#REF!</definedName>
    <definedName name="sp.kholil" localSheetId="18">#REF!</definedName>
    <definedName name="sp.kholil" localSheetId="16">#REF!</definedName>
    <definedName name="sp.kholil" localSheetId="19">#REF!</definedName>
    <definedName name="sp.kholil" localSheetId="17">#REF!</definedName>
    <definedName name="sp.kholil">#REF!</definedName>
    <definedName name="sp.mbok" localSheetId="18">'[18]POT-0601'!#REF!</definedName>
    <definedName name="sp.mbok" localSheetId="17">'[18]POT-0601'!#REF!</definedName>
    <definedName name="sp.mbok">'[18]POT-0601'!#REF!</definedName>
    <definedName name="sp.novita" localSheetId="18">#REF!</definedName>
    <definedName name="sp.novita" localSheetId="16">#REF!</definedName>
    <definedName name="sp.novita" localSheetId="19">#REF!</definedName>
    <definedName name="sp.novita" localSheetId="17">#REF!</definedName>
    <definedName name="sp.novita">#REF!</definedName>
    <definedName name="sp.nug" localSheetId="18">#REF!</definedName>
    <definedName name="sp.nug" localSheetId="16">#REF!</definedName>
    <definedName name="sp.nug" localSheetId="19">#REF!</definedName>
    <definedName name="sp.nug" localSheetId="17">#REF!</definedName>
    <definedName name="sp.nug">#REF!</definedName>
    <definedName name="sp.rahman" localSheetId="18">#REF!</definedName>
    <definedName name="sp.rahman" localSheetId="16">#REF!</definedName>
    <definedName name="sp.rahman" localSheetId="19">#REF!</definedName>
    <definedName name="sp.rahman" localSheetId="17">#REF!</definedName>
    <definedName name="sp.rahman">#REF!</definedName>
    <definedName name="sp.restu">#REF!</definedName>
    <definedName name="sp.riki">'[18]POT-0601'!#REF!</definedName>
    <definedName name="sp.rizal" localSheetId="18">#REF!</definedName>
    <definedName name="sp.rizal" localSheetId="16">#REF!</definedName>
    <definedName name="sp.rizal" localSheetId="19">#REF!</definedName>
    <definedName name="sp.rizal" localSheetId="17">#REF!</definedName>
    <definedName name="sp.rizal">#REF!</definedName>
    <definedName name="sp.sahid" localSheetId="18">'[18]POT-0601'!#REF!</definedName>
    <definedName name="sp.sahid" localSheetId="17">'[18]POT-0601'!#REF!</definedName>
    <definedName name="sp.sahid">'[18]POT-0601'!#REF!</definedName>
    <definedName name="sp.sahit" localSheetId="18">'[18]POT-0601'!#REF!</definedName>
    <definedName name="sp.sahit" localSheetId="17">'[18]POT-0601'!#REF!</definedName>
    <definedName name="sp.sahit">'[18]POT-0601'!#REF!</definedName>
    <definedName name="sp.sangadi" localSheetId="18">#REF!</definedName>
    <definedName name="sp.sangadi" localSheetId="16">#REF!</definedName>
    <definedName name="sp.sangadi" localSheetId="19">#REF!</definedName>
    <definedName name="sp.sangadi" localSheetId="17">#REF!</definedName>
    <definedName name="sp.sangadi">#REF!</definedName>
    <definedName name="sp.yatno" localSheetId="18">'[18]POT-0601'!#REF!</definedName>
    <definedName name="sp.yatno" localSheetId="17">'[18]POT-0601'!#REF!</definedName>
    <definedName name="sp.yatno">'[18]POT-0601'!#REF!</definedName>
    <definedName name="SPACE" localSheetId="18">#REF!</definedName>
    <definedName name="SPACE" localSheetId="16">#REF!</definedName>
    <definedName name="SPACE" localSheetId="19">#REF!</definedName>
    <definedName name="SPACE" localSheetId="17">#REF!</definedName>
    <definedName name="SPACE">#REF!</definedName>
    <definedName name="srie" localSheetId="18">'[17]POT-0601'!#REF!</definedName>
    <definedName name="srie" localSheetId="17">'[17]POT-0601'!#REF!</definedName>
    <definedName name="srie">'[17]POT-0601'!#REF!</definedName>
    <definedName name="ssj" localSheetId="18" hidden="1">#REF!</definedName>
    <definedName name="ssj" localSheetId="16" hidden="1">#REF!</definedName>
    <definedName name="ssj" localSheetId="19" hidden="1">#REF!</definedName>
    <definedName name="ssj" localSheetId="17" hidden="1">#REF!</definedName>
    <definedName name="ssj" hidden="1">#REF!</definedName>
    <definedName name="sssss" localSheetId="18">'[17]POT-0601'!#REF!</definedName>
    <definedName name="sssss" localSheetId="17">'[17]POT-0601'!#REF!</definedName>
    <definedName name="sssss">'[17]POT-0601'!#REF!</definedName>
    <definedName name="st">[50]PTKP!$A$2:$A$13</definedName>
    <definedName name="Sub" localSheetId="18">#REF!</definedName>
    <definedName name="Sub" localSheetId="16">#REF!</definedName>
    <definedName name="Sub" localSheetId="19">#REF!</definedName>
    <definedName name="Sub" localSheetId="17">#REF!</definedName>
    <definedName name="Sub">#REF!</definedName>
    <definedName name="SUGI" localSheetId="18">#REF!</definedName>
    <definedName name="SUGI" localSheetId="16">#REF!</definedName>
    <definedName name="SUGI" localSheetId="19">#REF!</definedName>
    <definedName name="SUGI" localSheetId="17">#REF!</definedName>
    <definedName name="SUGI">#REF!</definedName>
    <definedName name="T" localSheetId="18">#REF!</definedName>
    <definedName name="T" localSheetId="16">#REF!</definedName>
    <definedName name="T" localSheetId="19">#REF!</definedName>
    <definedName name="T" localSheetId="17">#REF!</definedName>
    <definedName name="T">#REF!</definedName>
    <definedName name="Tabel">[56]COA!$A$3:$B$73</definedName>
    <definedName name="TANAH" localSheetId="18">#REF!</definedName>
    <definedName name="TANAH" localSheetId="16">#REF!</definedName>
    <definedName name="TANAH" localSheetId="19">#REF!</definedName>
    <definedName name="TANAH" localSheetId="17">#REF!</definedName>
    <definedName name="TANAH">#REF!</definedName>
    <definedName name="tari" localSheetId="18">'[17]POT-0601'!#REF!</definedName>
    <definedName name="tari" localSheetId="16">'[17]POT-0601'!#REF!</definedName>
    <definedName name="tari" localSheetId="17">'[17]POT-0601'!#REF!</definedName>
    <definedName name="tari">'[17]POT-0601'!#REF!</definedName>
    <definedName name="TATI" localSheetId="18">#REF!</definedName>
    <definedName name="TATI" localSheetId="16">#REF!</definedName>
    <definedName name="TATI" localSheetId="19">#REF!</definedName>
    <definedName name="TATI" localSheetId="17">#REF!</definedName>
    <definedName name="TATI">#REF!</definedName>
    <definedName name="tau" localSheetId="18" hidden="1">#REF!</definedName>
    <definedName name="tau" localSheetId="16" hidden="1">#REF!</definedName>
    <definedName name="tau" localSheetId="19" hidden="1">#REF!</definedName>
    <definedName name="tau" localSheetId="17" hidden="1">#REF!</definedName>
    <definedName name="tau" hidden="1">#REF!</definedName>
    <definedName name="TaxTV">10%</definedName>
    <definedName name="TaxXL">5%</definedName>
    <definedName name="Tempo" localSheetId="18">#REF!</definedName>
    <definedName name="Tempo" localSheetId="16">#REF!</definedName>
    <definedName name="Tempo" localSheetId="19">#REF!</definedName>
    <definedName name="Tempo" localSheetId="17">#REF!</definedName>
    <definedName name="Tempo">#REF!</definedName>
    <definedName name="TES" localSheetId="18" hidden="1">#REF!</definedName>
    <definedName name="TES" localSheetId="16" hidden="1">#REF!</definedName>
    <definedName name="TES" localSheetId="17" hidden="1">#REF!</definedName>
    <definedName name="TES" hidden="1">#REF!</definedName>
    <definedName name="TextRefCopy15" localSheetId="18">#REF!</definedName>
    <definedName name="TextRefCopy15" localSheetId="16">#REF!</definedName>
    <definedName name="TextRefCopy15" localSheetId="17">#REF!</definedName>
    <definedName name="TextRefCopy15">#REF!</definedName>
    <definedName name="TextRefCopy17">#REF!</definedName>
    <definedName name="TextRefCopyRangeCount" hidden="1">22</definedName>
    <definedName name="tgd">'[17]POT-0601'!#REF!</definedName>
    <definedName name="TglIni">[57]Periode!$J$19</definedName>
    <definedName name="TglLalu">[57]Periode!$J$14</definedName>
    <definedName name="Thn">[41]Tanggal!$C$4</definedName>
    <definedName name="ThnIni">[37]Periode!$J$17</definedName>
    <definedName name="ThnLalu">[37]Periode!$J$12</definedName>
    <definedName name="tihas">'[17]POT-0601'!#REF!</definedName>
    <definedName name="tk.aan">'[18]POT-0601'!#REF!</definedName>
    <definedName name="tk.atun">'[18]POT-0601'!#REF!</definedName>
    <definedName name="tk.diman" localSheetId="18">#REF!</definedName>
    <definedName name="tk.diman" localSheetId="16">#REF!</definedName>
    <definedName name="tk.diman" localSheetId="19">#REF!</definedName>
    <definedName name="tk.diman" localSheetId="17">#REF!</definedName>
    <definedName name="tk.diman">#REF!</definedName>
    <definedName name="TK.EDI" localSheetId="18">#REF!</definedName>
    <definedName name="TK.EDI" localSheetId="16">#REF!</definedName>
    <definedName name="TK.EDI" localSheetId="19">#REF!</definedName>
    <definedName name="TK.EDI" localSheetId="17">#REF!</definedName>
    <definedName name="TK.EDI">#REF!</definedName>
    <definedName name="tk.fredi" localSheetId="18">'[18]POT-0601'!#REF!</definedName>
    <definedName name="tk.fredi" localSheetId="16">'[18]POT-0601'!#REF!</definedName>
    <definedName name="tk.fredi" localSheetId="19">'[18]POT-0601'!#REF!</definedName>
    <definedName name="tk.fredi" localSheetId="17">'[18]POT-0601'!#REF!</definedName>
    <definedName name="tk.fredi">'[18]POT-0601'!#REF!</definedName>
    <definedName name="tk.ina" localSheetId="18">'[18]POT-0601'!#REF!</definedName>
    <definedName name="tk.ina" localSheetId="16">'[18]POT-0601'!#REF!</definedName>
    <definedName name="tk.ina" localSheetId="19">'[18]POT-0601'!#REF!</definedName>
    <definedName name="tk.ina" localSheetId="17">'[18]POT-0601'!#REF!</definedName>
    <definedName name="tk.ina">'[18]POT-0601'!#REF!</definedName>
    <definedName name="tk.kholil" localSheetId="18">'[18]POT-0601'!#REF!</definedName>
    <definedName name="tk.kholil" localSheetId="16">'[18]POT-0601'!#REF!</definedName>
    <definedName name="tk.kholil" localSheetId="17">'[18]POT-0601'!#REF!</definedName>
    <definedName name="tk.kholil">'[18]POT-0601'!#REF!</definedName>
    <definedName name="tk.mbok" localSheetId="18">'[18]POT-0601'!#REF!</definedName>
    <definedName name="tk.mbok" localSheetId="16">'[18]POT-0601'!#REF!</definedName>
    <definedName name="tk.mbok" localSheetId="17">'[18]POT-0601'!#REF!</definedName>
    <definedName name="tk.mbok">'[18]POT-0601'!#REF!</definedName>
    <definedName name="tk.novita" localSheetId="18">#REF!</definedName>
    <definedName name="tk.novita" localSheetId="16">#REF!</definedName>
    <definedName name="tk.novita" localSheetId="19">#REF!</definedName>
    <definedName name="tk.novita" localSheetId="17">#REF!</definedName>
    <definedName name="tk.novita">#REF!</definedName>
    <definedName name="tk.nug" localSheetId="18">'[18]POT-0601'!#REF!</definedName>
    <definedName name="tk.nug" localSheetId="16">'[18]POT-0601'!#REF!</definedName>
    <definedName name="tk.nug" localSheetId="17">'[18]POT-0601'!#REF!</definedName>
    <definedName name="tk.nug">'[18]POT-0601'!#REF!</definedName>
    <definedName name="TK.NURSALI" localSheetId="18">#REF!</definedName>
    <definedName name="TK.NURSALI" localSheetId="16">#REF!</definedName>
    <definedName name="TK.NURSALI" localSheetId="19">#REF!</definedName>
    <definedName name="TK.NURSALI" localSheetId="17">#REF!</definedName>
    <definedName name="TK.NURSALI">#REF!</definedName>
    <definedName name="tk.rahman" localSheetId="18">#REF!</definedName>
    <definedName name="tk.rahman" localSheetId="16">#REF!</definedName>
    <definedName name="tk.rahman" localSheetId="19">#REF!</definedName>
    <definedName name="tk.rahman" localSheetId="17">#REF!</definedName>
    <definedName name="tk.rahman">#REF!</definedName>
    <definedName name="tk.restu" localSheetId="18">#REF!</definedName>
    <definedName name="tk.restu" localSheetId="16">#REF!</definedName>
    <definedName name="tk.restu" localSheetId="19">#REF!</definedName>
    <definedName name="tk.restu" localSheetId="17">#REF!</definedName>
    <definedName name="tk.restu">#REF!</definedName>
    <definedName name="tk.riki" localSheetId="18">'[18]POT-0601'!#REF!</definedName>
    <definedName name="tk.riki" localSheetId="16">'[18]POT-0601'!#REF!</definedName>
    <definedName name="tk.riki" localSheetId="19">'[18]POT-0601'!#REF!</definedName>
    <definedName name="tk.riki" localSheetId="17">'[18]POT-0601'!#REF!</definedName>
    <definedName name="tk.riki">'[18]POT-0601'!#REF!</definedName>
    <definedName name="tk.rizal" localSheetId="18">#REF!</definedName>
    <definedName name="tk.rizal" localSheetId="16">#REF!</definedName>
    <definedName name="tk.rizal" localSheetId="19">#REF!</definedName>
    <definedName name="tk.rizal" localSheetId="17">#REF!</definedName>
    <definedName name="tk.rizal">#REF!</definedName>
    <definedName name="tk.sahid" localSheetId="18">#REF!</definedName>
    <definedName name="tk.sahid" localSheetId="16">#REF!</definedName>
    <definedName name="tk.sahid" localSheetId="19">#REF!</definedName>
    <definedName name="tk.sahid" localSheetId="17">#REF!</definedName>
    <definedName name="tk.sahid">#REF!</definedName>
    <definedName name="tk.sahit" localSheetId="18">#REF!</definedName>
    <definedName name="tk.sahit" localSheetId="16">#REF!</definedName>
    <definedName name="tk.sahit" localSheetId="19">#REF!</definedName>
    <definedName name="tk.sahit" localSheetId="17">#REF!</definedName>
    <definedName name="tk.sahit">#REF!</definedName>
    <definedName name="tk.sangadi">#REF!</definedName>
    <definedName name="TK.TATI">#REF!</definedName>
    <definedName name="tk.yatno">#REF!</definedName>
    <definedName name="TOKO.SUGI">#REF!</definedName>
    <definedName name="total.aan">'[18]POT-0601'!#REF!</definedName>
    <definedName name="total.atun">'[18]POT-0601'!#REF!</definedName>
    <definedName name="total.diman">'[18]POT-0601'!#REF!</definedName>
    <definedName name="total.fredi">'[18]POT-0601'!#REF!</definedName>
    <definedName name="total.ina">'[18]POT-0601'!#REF!</definedName>
    <definedName name="total.kholil">'[18]POT-0601'!#REF!</definedName>
    <definedName name="total.mbok">'[18]POT-0601'!#REF!</definedName>
    <definedName name="total.novita">'[18]POT-0601'!#REF!</definedName>
    <definedName name="total.nug">'[18]POT-0601'!#REF!</definedName>
    <definedName name="total.rahman">'[18]POT-0601'!#REF!</definedName>
    <definedName name="total.restu">'[18]POT-0601'!#REF!</definedName>
    <definedName name="total.riki">'[18]POT-0601'!#REF!</definedName>
    <definedName name="total.rizal">'[18]POT-0601'!#REF!</definedName>
    <definedName name="total.sahid">'[18]POT-0601'!#REF!</definedName>
    <definedName name="total.sahit">'[18]POT-0601'!#REF!</definedName>
    <definedName name="total.sangadi">'[18]POT-0601'!#REF!</definedName>
    <definedName name="total.yatno">'[18]POT-0601'!#REF!</definedName>
    <definedName name="Total_Amount">'[1]CMA Addition'!$D$139</definedName>
    <definedName name="tr_service">#REF!</definedName>
    <definedName name="TV">#REF!</definedName>
    <definedName name="TY">'[24]Accounts Payable (AA):10-1-1'!$I$13:$I$47</definedName>
    <definedName name="U" localSheetId="18">#REF!</definedName>
    <definedName name="U" localSheetId="16">#REF!</definedName>
    <definedName name="U" localSheetId="19">#REF!</definedName>
    <definedName name="U" localSheetId="17">#REF!</definedName>
    <definedName name="U">#REF!</definedName>
    <definedName name="ueda1" localSheetId="18" hidden="1">#REF!</definedName>
    <definedName name="ueda1" localSheetId="16" hidden="1">#REF!</definedName>
    <definedName name="ueda1" localSheetId="19" hidden="1">#REF!</definedName>
    <definedName name="ueda1" localSheetId="17" hidden="1">#REF!</definedName>
    <definedName name="ueda1" hidden="1">#REF!</definedName>
    <definedName name="uiuiuiu" localSheetId="18">'[17]POT-0601'!#REF!</definedName>
    <definedName name="uiuiuiu" localSheetId="16">'[17]POT-0601'!#REF!</definedName>
    <definedName name="uiuiuiu" localSheetId="19">'[17]POT-0601'!#REF!</definedName>
    <definedName name="uiuiuiu" localSheetId="17">'[17]POT-0601'!#REF!</definedName>
    <definedName name="uiuiuiu">'[17]POT-0601'!#REF!</definedName>
    <definedName name="URAIAN" localSheetId="18">#REF!</definedName>
    <definedName name="URAIAN" localSheetId="16">#REF!</definedName>
    <definedName name="URAIAN" localSheetId="19">#REF!</definedName>
    <definedName name="URAIAN" localSheetId="17">#REF!</definedName>
    <definedName name="URAIAN">#REF!</definedName>
    <definedName name="uu">'[58]Accounts Payable (AA):10-1-1'!$A$1:$J$69</definedName>
    <definedName name="v" localSheetId="18">#REF!</definedName>
    <definedName name="v" localSheetId="16">#REF!</definedName>
    <definedName name="v" localSheetId="19">#REF!</definedName>
    <definedName name="v" localSheetId="17">#REF!</definedName>
    <definedName name="v">#REF!</definedName>
    <definedName name="vdfdfh" localSheetId="18">'[17]POT-0601'!#REF!</definedName>
    <definedName name="vdfdfh" localSheetId="17">'[17]POT-0601'!#REF!</definedName>
    <definedName name="vdfdfh">'[17]POT-0601'!#REF!</definedName>
    <definedName name="Volume" localSheetId="18">#REF!</definedName>
    <definedName name="Volume" localSheetId="16">#REF!</definedName>
    <definedName name="Volume" localSheetId="19">#REF!</definedName>
    <definedName name="Volume" localSheetId="17">#REF!</definedName>
    <definedName name="Volume">#REF!</definedName>
    <definedName name="w" localSheetId="18" hidden="1">#REF!</definedName>
    <definedName name="w" localSheetId="16" hidden="1">#REF!</definedName>
    <definedName name="w" localSheetId="19" hidden="1">#REF!</definedName>
    <definedName name="w" localSheetId="17" hidden="1">#REF!</definedName>
    <definedName name="w" hidden="1">#REF!</definedName>
    <definedName name="WAHID" localSheetId="18">#REF!</definedName>
    <definedName name="WAHID" localSheetId="16">#REF!</definedName>
    <definedName name="WAHID" localSheetId="19">#REF!</definedName>
    <definedName name="WAHID" localSheetId="17">#REF!</definedName>
    <definedName name="WAHID">#REF!</definedName>
    <definedName name="wjb.aan" localSheetId="18">'[18]POT-0601'!#REF!</definedName>
    <definedName name="wjb.aan" localSheetId="16">'[18]POT-0601'!#REF!</definedName>
    <definedName name="wjb.aan" localSheetId="19">'[18]POT-0601'!#REF!</definedName>
    <definedName name="wjb.aan" localSheetId="17">'[18]POT-0601'!#REF!</definedName>
    <definedName name="wjb.aan">'[18]POT-0601'!#REF!</definedName>
    <definedName name="Wjb.atun" localSheetId="18">'[18]POT-0601'!#REF!</definedName>
    <definedName name="Wjb.atun" localSheetId="16">'[18]POT-0601'!#REF!</definedName>
    <definedName name="Wjb.atun" localSheetId="19">'[18]POT-0601'!#REF!</definedName>
    <definedName name="Wjb.atun" localSheetId="17">'[18]POT-0601'!#REF!</definedName>
    <definedName name="Wjb.atun">'[18]POT-0601'!#REF!</definedName>
    <definedName name="wjb.diman" localSheetId="18">#REF!</definedName>
    <definedName name="wjb.diman" localSheetId="16">#REF!</definedName>
    <definedName name="wjb.diman" localSheetId="19">#REF!</definedName>
    <definedName name="wjb.diman" localSheetId="17">#REF!</definedName>
    <definedName name="wjb.diman">#REF!</definedName>
    <definedName name="wjb.fredi" localSheetId="18">'[18]POT-0601'!#REF!</definedName>
    <definedName name="wjb.fredi" localSheetId="16">'[18]POT-0601'!#REF!</definedName>
    <definedName name="wjb.fredi" localSheetId="19">'[18]POT-0601'!#REF!</definedName>
    <definedName name="wjb.fredi" localSheetId="17">'[18]POT-0601'!#REF!</definedName>
    <definedName name="wjb.fredi">'[18]POT-0601'!#REF!</definedName>
    <definedName name="wjb.ina" localSheetId="18">'[18]POT-0601'!#REF!</definedName>
    <definedName name="wjb.ina" localSheetId="16">'[18]POT-0601'!#REF!</definedName>
    <definedName name="wjb.ina" localSheetId="19">'[18]POT-0601'!#REF!</definedName>
    <definedName name="wjb.ina" localSheetId="17">'[18]POT-0601'!#REF!</definedName>
    <definedName name="wjb.ina">'[18]POT-0601'!#REF!</definedName>
    <definedName name="wjb.kholil" localSheetId="18">#REF!</definedName>
    <definedName name="wjb.kholil" localSheetId="16">#REF!</definedName>
    <definedName name="wjb.kholil" localSheetId="19">#REF!</definedName>
    <definedName name="wjb.kholil" localSheetId="17">#REF!</definedName>
    <definedName name="wjb.kholil">#REF!</definedName>
    <definedName name="wjb.mbok" localSheetId="18">'[18]POT-0601'!#REF!</definedName>
    <definedName name="wjb.mbok" localSheetId="16">'[18]POT-0601'!#REF!</definedName>
    <definedName name="wjb.mbok" localSheetId="19">'[18]POT-0601'!#REF!</definedName>
    <definedName name="wjb.mbok" localSheetId="17">'[18]POT-0601'!#REF!</definedName>
    <definedName name="wjb.mbok">'[18]POT-0601'!#REF!</definedName>
    <definedName name="wjb.novita" localSheetId="18">#REF!</definedName>
    <definedName name="wjb.novita" localSheetId="16">#REF!</definedName>
    <definedName name="wjb.novita" localSheetId="19">#REF!</definedName>
    <definedName name="wjb.novita" localSheetId="17">#REF!</definedName>
    <definedName name="wjb.novita">#REF!</definedName>
    <definedName name="wjb.nug" localSheetId="18">#REF!</definedName>
    <definedName name="wjb.nug" localSheetId="16">#REF!</definedName>
    <definedName name="wjb.nug" localSheetId="19">#REF!</definedName>
    <definedName name="wjb.nug" localSheetId="17">#REF!</definedName>
    <definedName name="wjb.nug">#REF!</definedName>
    <definedName name="wjb.rahman" localSheetId="18">#REF!</definedName>
    <definedName name="wjb.rahman" localSheetId="16">#REF!</definedName>
    <definedName name="wjb.rahman" localSheetId="19">#REF!</definedName>
    <definedName name="wjb.rahman" localSheetId="17">#REF!</definedName>
    <definedName name="wjb.rahman">#REF!</definedName>
    <definedName name="wjb.restu">#REF!</definedName>
    <definedName name="wjb.riki">'[18]POT-0601'!#REF!</definedName>
    <definedName name="wjb.rizal" localSheetId="18">#REF!</definedName>
    <definedName name="wjb.rizal" localSheetId="16">#REF!</definedName>
    <definedName name="wjb.rizal" localSheetId="19">#REF!</definedName>
    <definedName name="wjb.rizal" localSheetId="17">#REF!</definedName>
    <definedName name="wjb.rizal">#REF!</definedName>
    <definedName name="wjb.sahid" localSheetId="18">'[18]POT-0601'!#REF!</definedName>
    <definedName name="wjb.sahid" localSheetId="17">'[18]POT-0601'!#REF!</definedName>
    <definedName name="wjb.sahid">'[18]POT-0601'!#REF!</definedName>
    <definedName name="wjb.sangadi" localSheetId="18">#REF!</definedName>
    <definedName name="wjb.sangadi" localSheetId="16">#REF!</definedName>
    <definedName name="wjb.sangadi" localSheetId="19">#REF!</definedName>
    <definedName name="wjb.sangadi" localSheetId="17">#REF!</definedName>
    <definedName name="wjb.sangadi">#REF!</definedName>
    <definedName name="wjb.yatno" localSheetId="18">'[18]POT-0601'!#REF!</definedName>
    <definedName name="wjb.yatno" localSheetId="17">'[18]POT-0601'!#REF!</definedName>
    <definedName name="wjb.yatno">'[18]POT-0601'!#REF!</definedName>
    <definedName name="wjib.sahid" localSheetId="18">'[18]POT-0601'!#REF!</definedName>
    <definedName name="wjib.sahid" localSheetId="17">'[18]POT-0601'!#REF!</definedName>
    <definedName name="wjib.sahid">'[18]POT-0601'!#REF!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localSheetId="19" hidden="1">{#N/A,#N/A,FALSE,"Aging Summary";#N/A,#N/A,FALSE,"Ratio Analysis";#N/A,#N/A,FALSE,"Test 120 Day Accts";#N/A,#N/A,FALSE,"Tickmarks"}</definedName>
    <definedName name="wrn.Aging._.and._.Trend._.Analysis." localSheetId="1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XRefColumnsCount" hidden="1">1</definedName>
    <definedName name="XRefCopyRangeCount" hidden="1">1</definedName>
    <definedName name="XRefPaste1" hidden="1">#REF!</definedName>
    <definedName name="XRefPasteRangeCount" hidden="1">1</definedName>
    <definedName name="yatno">'[18]POT-0601'!#REF!</definedName>
    <definedName name="Yes" hidden="1">[14]worksheet!#REF!</definedName>
    <definedName name="yudgd">'[17]POT-0601'!#REF!</definedName>
    <definedName name="YURNALIS" hidden="1">'[3]ocean voyage'!#REF!</definedName>
    <definedName name="ZBZGB" hidden="1">[19]INVES!#REF!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5" i="25" l="1"/>
  <c r="K115" i="25"/>
  <c r="J115" i="25"/>
  <c r="I115" i="25"/>
  <c r="H115" i="25"/>
  <c r="B31" i="27" l="1"/>
  <c r="B16" i="25" l="1"/>
  <c r="B78" i="28" l="1"/>
  <c r="L4" i="28"/>
  <c r="K4" i="28"/>
  <c r="B4" i="28"/>
  <c r="I78" i="28"/>
  <c r="I4" i="28" s="1"/>
  <c r="L76" i="28"/>
  <c r="L74" i="28"/>
  <c r="J72" i="28"/>
  <c r="F72" i="28"/>
  <c r="G72" i="28" s="1"/>
  <c r="J71" i="28"/>
  <c r="F71" i="28"/>
  <c r="G71" i="28" s="1"/>
  <c r="J70" i="28"/>
  <c r="F70" i="28"/>
  <c r="G70" i="28" s="1"/>
  <c r="J69" i="28"/>
  <c r="F69" i="28"/>
  <c r="G69" i="28" s="1"/>
  <c r="H68" i="28"/>
  <c r="F68" i="28"/>
  <c r="G68" i="28" s="1"/>
  <c r="H66" i="28"/>
  <c r="F66" i="28"/>
  <c r="G66" i="28" s="1"/>
  <c r="H64" i="28"/>
  <c r="F64" i="28"/>
  <c r="G64" i="28" s="1"/>
  <c r="H63" i="28"/>
  <c r="F63" i="28"/>
  <c r="G63" i="28" s="1"/>
  <c r="H61" i="28"/>
  <c r="F61" i="28"/>
  <c r="G61" i="28" s="1"/>
  <c r="I59" i="28"/>
  <c r="F59" i="28"/>
  <c r="G59" i="28" s="1"/>
  <c r="I58" i="28"/>
  <c r="F58" i="28"/>
  <c r="G58" i="28" s="1"/>
  <c r="J57" i="28"/>
  <c r="F57" i="28"/>
  <c r="G57" i="28" s="1"/>
  <c r="H55" i="28"/>
  <c r="F55" i="28"/>
  <c r="G55" i="28" s="1"/>
  <c r="H54" i="28"/>
  <c r="F54" i="28"/>
  <c r="G54" i="28" s="1"/>
  <c r="H53" i="28"/>
  <c r="F53" i="28"/>
  <c r="G53" i="28" s="1"/>
  <c r="L51" i="28"/>
  <c r="I49" i="28"/>
  <c r="H47" i="28"/>
  <c r="F47" i="28"/>
  <c r="G47" i="28" s="1"/>
  <c r="H46" i="28"/>
  <c r="F46" i="28"/>
  <c r="G46" i="28" s="1"/>
  <c r="I44" i="28"/>
  <c r="F44" i="28"/>
  <c r="G44" i="28" s="1"/>
  <c r="I42" i="28"/>
  <c r="F42" i="28"/>
  <c r="G42" i="28" s="1"/>
  <c r="I41" i="28"/>
  <c r="F41" i="28"/>
  <c r="G41" i="28" s="1"/>
  <c r="I40" i="28"/>
  <c r="F40" i="28"/>
  <c r="G40" i="28" s="1"/>
  <c r="H38" i="28"/>
  <c r="F38" i="28"/>
  <c r="G38" i="28" s="1"/>
  <c r="I37" i="28"/>
  <c r="F37" i="28"/>
  <c r="G37" i="28" s="1"/>
  <c r="H35" i="28"/>
  <c r="F35" i="28"/>
  <c r="G35" i="28" s="1"/>
  <c r="H33" i="28"/>
  <c r="F33" i="28"/>
  <c r="G33" i="28" s="1"/>
  <c r="H32" i="28"/>
  <c r="F32" i="28"/>
  <c r="G32" i="28" s="1"/>
  <c r="H31" i="28"/>
  <c r="F31" i="28"/>
  <c r="G31" i="28" s="1"/>
  <c r="H30" i="28"/>
  <c r="F30" i="28"/>
  <c r="G30" i="28" s="1"/>
  <c r="H29" i="28"/>
  <c r="F29" i="28"/>
  <c r="G29" i="28" s="1"/>
  <c r="H28" i="28"/>
  <c r="F28" i="28"/>
  <c r="G28" i="28" s="1"/>
  <c r="I27" i="28"/>
  <c r="F27" i="28"/>
  <c r="G27" i="28" s="1"/>
  <c r="I26" i="28"/>
  <c r="F26" i="28"/>
  <c r="G26" i="28" s="1"/>
  <c r="I25" i="28"/>
  <c r="F25" i="28"/>
  <c r="G25" i="28" s="1"/>
  <c r="I24" i="28"/>
  <c r="F24" i="28"/>
  <c r="G24" i="28" s="1"/>
  <c r="I23" i="28"/>
  <c r="F23" i="28"/>
  <c r="G23" i="28" s="1"/>
  <c r="I22" i="28"/>
  <c r="F22" i="28"/>
  <c r="G22" i="28" s="1"/>
  <c r="I21" i="28"/>
  <c r="F21" i="28"/>
  <c r="G21" i="28" s="1"/>
  <c r="I20" i="28"/>
  <c r="F20" i="28"/>
  <c r="G20" i="28" s="1"/>
  <c r="F19" i="28"/>
  <c r="G19" i="28" s="1"/>
  <c r="B19" i="28"/>
  <c r="I19" i="28" s="1"/>
  <c r="I18" i="28"/>
  <c r="F18" i="28"/>
  <c r="G18" i="28" s="1"/>
  <c r="I17" i="28"/>
  <c r="F17" i="28"/>
  <c r="G17" i="28" s="1"/>
  <c r="J16" i="28"/>
  <c r="J4" i="28" s="1"/>
  <c r="F16" i="28"/>
  <c r="G16" i="28" s="1"/>
  <c r="K15" i="28"/>
  <c r="F15" i="28"/>
  <c r="G15" i="28" s="1"/>
  <c r="K13" i="28"/>
  <c r="F13" i="28"/>
  <c r="G13" i="28" s="1"/>
  <c r="K11" i="28"/>
  <c r="F11" i="28"/>
  <c r="G11" i="28" s="1"/>
  <c r="H9" i="28"/>
  <c r="H4" i="28" s="1"/>
  <c r="F9" i="28"/>
  <c r="G9" i="28" s="1"/>
  <c r="K8" i="28"/>
  <c r="F8" i="28"/>
  <c r="G8" i="28" s="1"/>
  <c r="I6" i="28"/>
  <c r="B4" i="26"/>
  <c r="I105" i="26"/>
  <c r="L103" i="26"/>
  <c r="L4" i="26" s="1"/>
  <c r="F103" i="26"/>
  <c r="G103" i="26" s="1"/>
  <c r="H102" i="26"/>
  <c r="F102" i="26"/>
  <c r="G102" i="26" s="1"/>
  <c r="I101" i="26"/>
  <c r="F101" i="26"/>
  <c r="G101" i="26" s="1"/>
  <c r="I100" i="26"/>
  <c r="F100" i="26"/>
  <c r="G100" i="26" s="1"/>
  <c r="I99" i="26"/>
  <c r="F99" i="26"/>
  <c r="G99" i="26" s="1"/>
  <c r="H97" i="26"/>
  <c r="F97" i="26"/>
  <c r="G97" i="26" s="1"/>
  <c r="H96" i="26"/>
  <c r="F96" i="26"/>
  <c r="G96" i="26" s="1"/>
  <c r="H94" i="26"/>
  <c r="F94" i="26"/>
  <c r="G94" i="26" s="1"/>
  <c r="H93" i="26"/>
  <c r="F93" i="26"/>
  <c r="G93" i="26" s="1"/>
  <c r="H91" i="26"/>
  <c r="F91" i="26"/>
  <c r="G91" i="26" s="1"/>
  <c r="H90" i="26"/>
  <c r="F90" i="26"/>
  <c r="G90" i="26" s="1"/>
  <c r="H89" i="26"/>
  <c r="F89" i="26"/>
  <c r="G89" i="26" s="1"/>
  <c r="I88" i="26"/>
  <c r="F88" i="26"/>
  <c r="G88" i="26" s="1"/>
  <c r="I87" i="26"/>
  <c r="F87" i="26"/>
  <c r="G87" i="26" s="1"/>
  <c r="I86" i="26"/>
  <c r="F86" i="26"/>
  <c r="G86" i="26" s="1"/>
  <c r="I84" i="26"/>
  <c r="F84" i="26"/>
  <c r="G84" i="26" s="1"/>
  <c r="K81" i="26"/>
  <c r="F81" i="26"/>
  <c r="G81" i="26" s="1"/>
  <c r="K80" i="26"/>
  <c r="F80" i="26"/>
  <c r="G80" i="26" s="1"/>
  <c r="I79" i="26"/>
  <c r="F79" i="26"/>
  <c r="G79" i="26" s="1"/>
  <c r="H78" i="26"/>
  <c r="F78" i="26"/>
  <c r="G78" i="26" s="1"/>
  <c r="H76" i="26"/>
  <c r="F76" i="26"/>
  <c r="G76" i="26" s="1"/>
  <c r="H75" i="26"/>
  <c r="F75" i="26"/>
  <c r="G75" i="26" s="1"/>
  <c r="H74" i="26"/>
  <c r="F74" i="26"/>
  <c r="G74" i="26" s="1"/>
  <c r="H73" i="26"/>
  <c r="F73" i="26"/>
  <c r="G73" i="26" s="1"/>
  <c r="H72" i="26"/>
  <c r="F72" i="26"/>
  <c r="G72" i="26" s="1"/>
  <c r="H70" i="26"/>
  <c r="F70" i="26"/>
  <c r="G70" i="26" s="1"/>
  <c r="H69" i="26"/>
  <c r="F69" i="26"/>
  <c r="G69" i="26" s="1"/>
  <c r="H68" i="26"/>
  <c r="F68" i="26"/>
  <c r="G68" i="26" s="1"/>
  <c r="H67" i="26"/>
  <c r="F67" i="26"/>
  <c r="G67" i="26" s="1"/>
  <c r="I66" i="26"/>
  <c r="F66" i="26"/>
  <c r="G66" i="26" s="1"/>
  <c r="I65" i="26"/>
  <c r="F65" i="26"/>
  <c r="G65" i="26" s="1"/>
  <c r="I64" i="26"/>
  <c r="F64" i="26"/>
  <c r="G64" i="26" s="1"/>
  <c r="I63" i="26"/>
  <c r="F63" i="26"/>
  <c r="G63" i="26" s="1"/>
  <c r="I62" i="26"/>
  <c r="F62" i="26"/>
  <c r="G62" i="26" s="1"/>
  <c r="I61" i="26"/>
  <c r="F61" i="26"/>
  <c r="G61" i="26" s="1"/>
  <c r="I60" i="26"/>
  <c r="F60" i="26"/>
  <c r="G60" i="26" s="1"/>
  <c r="F59" i="26"/>
  <c r="G59" i="26" s="1"/>
  <c r="B59" i="26"/>
  <c r="I59" i="26" s="1"/>
  <c r="I58" i="26"/>
  <c r="F58" i="26"/>
  <c r="G58" i="26" s="1"/>
  <c r="J57" i="26"/>
  <c r="F57" i="26"/>
  <c r="G57" i="26" s="1"/>
  <c r="J56" i="26"/>
  <c r="F56" i="26"/>
  <c r="G56" i="26" s="1"/>
  <c r="J55" i="26"/>
  <c r="F55" i="26"/>
  <c r="G55" i="26" s="1"/>
  <c r="J54" i="26"/>
  <c r="F54" i="26"/>
  <c r="G54" i="26" s="1"/>
  <c r="K53" i="26"/>
  <c r="F53" i="26"/>
  <c r="G53" i="26" s="1"/>
  <c r="I51" i="26"/>
  <c r="F51" i="26"/>
  <c r="G51" i="26" s="1"/>
  <c r="I49" i="26"/>
  <c r="F49" i="26"/>
  <c r="G49" i="26" s="1"/>
  <c r="F48" i="26"/>
  <c r="G48" i="26" s="1"/>
  <c r="B48" i="26"/>
  <c r="H48" i="26" s="1"/>
  <c r="H47" i="26"/>
  <c r="F47" i="26"/>
  <c r="G47" i="26" s="1"/>
  <c r="H45" i="26"/>
  <c r="F45" i="26"/>
  <c r="G45" i="26" s="1"/>
  <c r="I44" i="26"/>
  <c r="F44" i="26"/>
  <c r="G44" i="26" s="1"/>
  <c r="I43" i="26"/>
  <c r="F43" i="26"/>
  <c r="G43" i="26" s="1"/>
  <c r="J40" i="26"/>
  <c r="F40" i="26"/>
  <c r="G40" i="26" s="1"/>
  <c r="J39" i="26"/>
  <c r="F39" i="26"/>
  <c r="G39" i="26" s="1"/>
  <c r="I38" i="26"/>
  <c r="F38" i="26"/>
  <c r="G38" i="26" s="1"/>
  <c r="I37" i="26"/>
  <c r="F37" i="26"/>
  <c r="G37" i="26" s="1"/>
  <c r="I36" i="26"/>
  <c r="F36" i="26"/>
  <c r="G36" i="26" s="1"/>
  <c r="I35" i="26"/>
  <c r="F35" i="26"/>
  <c r="G35" i="26" s="1"/>
  <c r="I34" i="26"/>
  <c r="F34" i="26"/>
  <c r="G34" i="26" s="1"/>
  <c r="H33" i="26"/>
  <c r="F33" i="26"/>
  <c r="G33" i="26" s="1"/>
  <c r="H32" i="26"/>
  <c r="F32" i="26"/>
  <c r="G32" i="26" s="1"/>
  <c r="H31" i="26"/>
  <c r="F31" i="26"/>
  <c r="G31" i="26" s="1"/>
  <c r="I29" i="26"/>
  <c r="F29" i="26"/>
  <c r="G29" i="26" s="1"/>
  <c r="H27" i="26"/>
  <c r="F27" i="26"/>
  <c r="G27" i="26" s="1"/>
  <c r="H26" i="26"/>
  <c r="F26" i="26"/>
  <c r="G26" i="26" s="1"/>
  <c r="H25" i="26"/>
  <c r="F25" i="26"/>
  <c r="G25" i="26" s="1"/>
  <c r="H24" i="26"/>
  <c r="F24" i="26"/>
  <c r="G24" i="26" s="1"/>
  <c r="I23" i="26"/>
  <c r="F23" i="26"/>
  <c r="G23" i="26" s="1"/>
  <c r="I22" i="26"/>
  <c r="F22" i="26"/>
  <c r="G22" i="26" s="1"/>
  <c r="I21" i="26"/>
  <c r="F21" i="26"/>
  <c r="G21" i="26" s="1"/>
  <c r="I20" i="26"/>
  <c r="F20" i="26"/>
  <c r="G20" i="26" s="1"/>
  <c r="I19" i="26"/>
  <c r="F19" i="26"/>
  <c r="G19" i="26" s="1"/>
  <c r="I18" i="26"/>
  <c r="F18" i="26"/>
  <c r="G18" i="26" s="1"/>
  <c r="J17" i="26"/>
  <c r="F17" i="26"/>
  <c r="G17" i="26" s="1"/>
  <c r="J16" i="26"/>
  <c r="F16" i="26"/>
  <c r="G16" i="26" s="1"/>
  <c r="J15" i="26"/>
  <c r="F15" i="26"/>
  <c r="G15" i="26" s="1"/>
  <c r="J14" i="26"/>
  <c r="F14" i="26"/>
  <c r="G14" i="26" s="1"/>
  <c r="J13" i="26"/>
  <c r="F13" i="26"/>
  <c r="G13" i="26" s="1"/>
  <c r="J12" i="26"/>
  <c r="F12" i="26"/>
  <c r="G12" i="26" s="1"/>
  <c r="F11" i="26"/>
  <c r="G11" i="26" s="1"/>
  <c r="B11" i="26"/>
  <c r="J11" i="26" s="1"/>
  <c r="J10" i="26"/>
  <c r="F10" i="26"/>
  <c r="G10" i="26" s="1"/>
  <c r="J9" i="26"/>
  <c r="J4" i="26" s="1"/>
  <c r="F9" i="26"/>
  <c r="G9" i="26" s="1"/>
  <c r="H7" i="26"/>
  <c r="F7" i="26"/>
  <c r="G7" i="26" s="1"/>
  <c r="H6" i="26"/>
  <c r="H4" i="26" s="1"/>
  <c r="F6" i="26"/>
  <c r="G6" i="26" s="1"/>
  <c r="B81" i="28"/>
  <c r="M4" i="28" l="1"/>
  <c r="K4" i="26"/>
  <c r="I4" i="26"/>
  <c r="M4" i="26" s="1"/>
  <c r="B1" i="26"/>
  <c r="L74" i="25" l="1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K82" i="25"/>
  <c r="K81" i="25"/>
  <c r="K80" i="25"/>
  <c r="K79" i="25"/>
  <c r="K78" i="25"/>
  <c r="K77" i="25"/>
  <c r="K76" i="25"/>
  <c r="K75" i="25"/>
  <c r="J87" i="25"/>
  <c r="J86" i="25"/>
  <c r="J85" i="25"/>
  <c r="J3" i="25" s="1"/>
  <c r="J84" i="25"/>
  <c r="J83" i="25"/>
  <c r="I100" i="25"/>
  <c r="I99" i="25"/>
  <c r="I98" i="25"/>
  <c r="I97" i="25"/>
  <c r="I96" i="25"/>
  <c r="I95" i="25"/>
  <c r="I94" i="25"/>
  <c r="I93" i="25"/>
  <c r="I92" i="25"/>
  <c r="I91" i="25"/>
  <c r="I90" i="25"/>
  <c r="I89" i="25"/>
  <c r="I88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F114" i="25"/>
  <c r="G114" i="25" s="1"/>
  <c r="F113" i="25"/>
  <c r="G113" i="25" s="1"/>
  <c r="F112" i="25"/>
  <c r="G112" i="25" s="1"/>
  <c r="F111" i="25"/>
  <c r="G111" i="25" s="1"/>
  <c r="F110" i="25"/>
  <c r="G110" i="25" s="1"/>
  <c r="F109" i="25"/>
  <c r="G109" i="25" s="1"/>
  <c r="F108" i="25"/>
  <c r="G108" i="25" s="1"/>
  <c r="F107" i="25"/>
  <c r="G107" i="25" s="1"/>
  <c r="F106" i="25"/>
  <c r="G106" i="25" s="1"/>
  <c r="F105" i="25"/>
  <c r="G105" i="25" s="1"/>
  <c r="F104" i="25"/>
  <c r="G104" i="25" s="1"/>
  <c r="F103" i="25"/>
  <c r="G103" i="25" s="1"/>
  <c r="F102" i="25"/>
  <c r="G102" i="25" s="1"/>
  <c r="F101" i="25"/>
  <c r="G101" i="25" s="1"/>
  <c r="F100" i="25"/>
  <c r="G100" i="25" s="1"/>
  <c r="F99" i="25"/>
  <c r="G99" i="25" s="1"/>
  <c r="F98" i="25"/>
  <c r="G98" i="25" s="1"/>
  <c r="F97" i="25"/>
  <c r="G97" i="25" s="1"/>
  <c r="F96" i="25"/>
  <c r="G96" i="25" s="1"/>
  <c r="F95" i="25"/>
  <c r="G95" i="25" s="1"/>
  <c r="F94" i="25"/>
  <c r="G94" i="25" s="1"/>
  <c r="F93" i="25"/>
  <c r="G93" i="25" s="1"/>
  <c r="F92" i="25"/>
  <c r="G92" i="25" s="1"/>
  <c r="F91" i="25"/>
  <c r="G91" i="25" s="1"/>
  <c r="F90" i="25"/>
  <c r="G90" i="25" s="1"/>
  <c r="F89" i="25"/>
  <c r="G89" i="25" s="1"/>
  <c r="F88" i="25"/>
  <c r="G88" i="25" s="1"/>
  <c r="F87" i="25"/>
  <c r="G87" i="25" s="1"/>
  <c r="F86" i="25"/>
  <c r="G86" i="25" s="1"/>
  <c r="F85" i="25"/>
  <c r="G85" i="25" s="1"/>
  <c r="F84" i="25"/>
  <c r="G84" i="25" s="1"/>
  <c r="F83" i="25"/>
  <c r="G83" i="25" s="1"/>
  <c r="F82" i="25"/>
  <c r="G82" i="25" s="1"/>
  <c r="F81" i="25"/>
  <c r="G81" i="25" s="1"/>
  <c r="F80" i="25"/>
  <c r="G80" i="25" s="1"/>
  <c r="F79" i="25"/>
  <c r="G79" i="25" s="1"/>
  <c r="F78" i="25"/>
  <c r="G78" i="25" s="1"/>
  <c r="F77" i="25"/>
  <c r="G77" i="25" s="1"/>
  <c r="F76" i="25"/>
  <c r="G76" i="25" s="1"/>
  <c r="F75" i="25"/>
  <c r="G75" i="25" s="1"/>
  <c r="F74" i="25"/>
  <c r="G74" i="25" s="1"/>
  <c r="F73" i="25"/>
  <c r="G73" i="25" s="1"/>
  <c r="F72" i="25"/>
  <c r="G72" i="25" s="1"/>
  <c r="F71" i="25"/>
  <c r="G71" i="25" s="1"/>
  <c r="F70" i="25"/>
  <c r="G70" i="25" s="1"/>
  <c r="F69" i="25"/>
  <c r="G69" i="25" s="1"/>
  <c r="F68" i="25"/>
  <c r="G68" i="25" s="1"/>
  <c r="F67" i="25"/>
  <c r="G67" i="25" s="1"/>
  <c r="F66" i="25"/>
  <c r="G66" i="25" s="1"/>
  <c r="F65" i="25"/>
  <c r="G65" i="25" s="1"/>
  <c r="F64" i="25"/>
  <c r="G64" i="25" s="1"/>
  <c r="F63" i="25"/>
  <c r="G63" i="25" s="1"/>
  <c r="F62" i="25"/>
  <c r="G62" i="25" s="1"/>
  <c r="F61" i="25"/>
  <c r="G61" i="25" s="1"/>
  <c r="F60" i="25"/>
  <c r="G60" i="25" s="1"/>
  <c r="F59" i="25"/>
  <c r="G59" i="25" s="1"/>
  <c r="F58" i="25"/>
  <c r="G58" i="25" s="1"/>
  <c r="F57" i="25"/>
  <c r="G57" i="25" s="1"/>
  <c r="F56" i="25"/>
  <c r="G56" i="25" s="1"/>
  <c r="F55" i="25"/>
  <c r="G55" i="25" s="1"/>
  <c r="F54" i="25"/>
  <c r="G54" i="25" s="1"/>
  <c r="F53" i="25"/>
  <c r="G53" i="25" s="1"/>
  <c r="F52" i="25"/>
  <c r="G52" i="25" s="1"/>
  <c r="F51" i="25"/>
  <c r="G51" i="25" s="1"/>
  <c r="F50" i="25"/>
  <c r="G50" i="25" s="1"/>
  <c r="F49" i="25"/>
  <c r="G49" i="25" s="1"/>
  <c r="F48" i="25"/>
  <c r="G48" i="25" s="1"/>
  <c r="F47" i="25"/>
  <c r="G47" i="25" s="1"/>
  <c r="F46" i="25"/>
  <c r="G46" i="25" s="1"/>
  <c r="B45" i="25"/>
  <c r="F3" i="25" s="1"/>
  <c r="H50" i="27" l="1"/>
  <c r="F50" i="27"/>
  <c r="G50" i="27" s="1"/>
  <c r="J4" i="25"/>
  <c r="F43" i="25"/>
  <c r="G43" i="25" s="1"/>
  <c r="H42" i="25"/>
  <c r="F42" i="25"/>
  <c r="G42" i="25" s="1"/>
  <c r="F41" i="25"/>
  <c r="G41" i="25" s="1"/>
  <c r="H40" i="25"/>
  <c r="F40" i="25"/>
  <c r="G40" i="25" s="1"/>
  <c r="H41" i="25"/>
  <c r="H43" i="25"/>
  <c r="H49" i="27"/>
  <c r="F49" i="27"/>
  <c r="G49" i="27" s="1"/>
  <c r="H16" i="27"/>
  <c r="K18" i="27" l="1"/>
  <c r="I17" i="27"/>
  <c r="H53" i="27"/>
  <c r="H47" i="27"/>
  <c r="H46" i="27"/>
  <c r="H45" i="27"/>
  <c r="H44" i="27"/>
  <c r="H40" i="27"/>
  <c r="H39" i="27"/>
  <c r="H38" i="27"/>
  <c r="H37" i="27"/>
  <c r="H36" i="27"/>
  <c r="H35" i="27"/>
  <c r="H33" i="27"/>
  <c r="H32" i="27"/>
  <c r="H31" i="27"/>
  <c r="H28" i="27"/>
  <c r="H26" i="27"/>
  <c r="H25" i="27"/>
  <c r="H24" i="27"/>
  <c r="H14" i="27"/>
  <c r="H13" i="27"/>
  <c r="H12" i="27"/>
  <c r="H11" i="27"/>
  <c r="H10" i="27"/>
  <c r="H9" i="27"/>
  <c r="H8" i="27"/>
  <c r="L4" i="27"/>
  <c r="K4" i="27"/>
  <c r="J4" i="27"/>
  <c r="F53" i="27"/>
  <c r="G53" i="27" s="1"/>
  <c r="F52" i="27"/>
  <c r="G52" i="27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F40" i="27"/>
  <c r="G40" i="27" s="1"/>
  <c r="F39" i="27"/>
  <c r="G39" i="27" s="1"/>
  <c r="F38" i="27"/>
  <c r="G38" i="27" s="1"/>
  <c r="F37" i="27"/>
  <c r="G37" i="27" s="1"/>
  <c r="F36" i="27"/>
  <c r="G36" i="27" s="1"/>
  <c r="F35" i="27"/>
  <c r="G35" i="27" s="1"/>
  <c r="F33" i="27"/>
  <c r="G33" i="27" s="1"/>
  <c r="F32" i="27"/>
  <c r="G32" i="27" s="1"/>
  <c r="F31" i="27"/>
  <c r="G31" i="27" s="1"/>
  <c r="F30" i="27"/>
  <c r="G30" i="27" s="1"/>
  <c r="F28" i="27"/>
  <c r="G28" i="27" s="1"/>
  <c r="F26" i="27"/>
  <c r="G26" i="27" s="1"/>
  <c r="F25" i="27"/>
  <c r="G25" i="27" s="1"/>
  <c r="F24" i="27"/>
  <c r="G24" i="27" s="1"/>
  <c r="F14" i="27"/>
  <c r="G14" i="27" s="1"/>
  <c r="F13" i="27"/>
  <c r="G13" i="27" s="1"/>
  <c r="F12" i="27"/>
  <c r="G12" i="27" s="1"/>
  <c r="F11" i="27"/>
  <c r="G11" i="27" s="1"/>
  <c r="F10" i="27"/>
  <c r="G10" i="27" s="1"/>
  <c r="F9" i="27"/>
  <c r="G9" i="27" s="1"/>
  <c r="F18" i="27"/>
  <c r="G18" i="27" s="1"/>
  <c r="F17" i="27"/>
  <c r="G17" i="27" s="1"/>
  <c r="B52" i="27"/>
  <c r="H52" i="27" s="1"/>
  <c r="B43" i="27"/>
  <c r="H43" i="27" s="1"/>
  <c r="B42" i="27"/>
  <c r="H42" i="27" s="1"/>
  <c r="H30" i="27"/>
  <c r="H4" i="27" s="1"/>
  <c r="I20" i="27" l="1"/>
  <c r="I4" i="27" s="1"/>
  <c r="H38" i="25" l="1"/>
  <c r="H36" i="25"/>
  <c r="H34" i="25"/>
  <c r="H32" i="25"/>
  <c r="H31" i="25"/>
  <c r="H30" i="25"/>
  <c r="H27" i="25"/>
  <c r="H20" i="25"/>
  <c r="H19" i="25"/>
  <c r="H18" i="25"/>
  <c r="H17" i="25"/>
  <c r="F38" i="25"/>
  <c r="G38" i="25" s="1"/>
  <c r="F34" i="25"/>
  <c r="G34" i="25" s="1"/>
  <c r="F32" i="25"/>
  <c r="G32" i="25" s="1"/>
  <c r="F31" i="25"/>
  <c r="G31" i="25" s="1"/>
  <c r="F30" i="25"/>
  <c r="G30" i="25" s="1"/>
  <c r="F16" i="25"/>
  <c r="G16" i="25" s="1"/>
  <c r="H28" i="25"/>
  <c r="L12" i="25" l="1"/>
  <c r="L11" i="25"/>
  <c r="K10" i="25"/>
  <c r="I9" i="25"/>
  <c r="H8" i="25"/>
  <c r="F36" i="25"/>
  <c r="G36" i="25" s="1"/>
  <c r="F28" i="25"/>
  <c r="G28" i="25" s="1"/>
  <c r="F27" i="25"/>
  <c r="G27" i="25" s="1"/>
  <c r="K4" i="25" l="1"/>
  <c r="K3" i="25"/>
  <c r="L4" i="25"/>
  <c r="L3" i="25"/>
  <c r="I4" i="25"/>
  <c r="I3" i="25"/>
  <c r="B25" i="25"/>
  <c r="H25" i="25" s="1"/>
  <c r="B24" i="25"/>
  <c r="H24" i="25" s="1"/>
  <c r="B23" i="25"/>
  <c r="H23" i="25" s="1"/>
  <c r="B22" i="25"/>
  <c r="H22" i="25" s="1"/>
  <c r="B21" i="25"/>
  <c r="F23" i="25"/>
  <c r="G23" i="25" s="1"/>
  <c r="F22" i="25"/>
  <c r="G22" i="25" s="1"/>
  <c r="F21" i="25"/>
  <c r="G21" i="25" s="1"/>
  <c r="B4" i="25" l="1"/>
  <c r="B2" i="25" s="1"/>
  <c r="H21" i="25"/>
  <c r="H16" i="25"/>
  <c r="F12" i="25"/>
  <c r="G12" i="25" s="1"/>
  <c r="F11" i="25"/>
  <c r="G11" i="25" s="1"/>
  <c r="H4" i="25" l="1"/>
  <c r="H3" i="25"/>
  <c r="M3" i="25" s="1"/>
  <c r="D9" i="3"/>
  <c r="D9" i="5" s="1"/>
  <c r="D8" i="3"/>
  <c r="D8" i="5" s="1"/>
  <c r="D7" i="3"/>
  <c r="D6" i="3"/>
  <c r="D5" i="3"/>
  <c r="D5" i="5" s="1"/>
  <c r="D11" i="5" s="1"/>
  <c r="D13" i="5" s="1"/>
  <c r="B2" i="28"/>
  <c r="D22" i="3"/>
  <c r="D21" i="3"/>
  <c r="D20" i="3"/>
  <c r="F20" i="27"/>
  <c r="F16" i="27"/>
  <c r="G16" i="27" s="1"/>
  <c r="F8" i="27"/>
  <c r="G8" i="27" s="1"/>
  <c r="D19" i="3"/>
  <c r="D18" i="3"/>
  <c r="D24" i="3" s="1"/>
  <c r="D26" i="3" s="1"/>
  <c r="B4" i="27"/>
  <c r="B2" i="27" s="1"/>
  <c r="E10" i="4"/>
  <c r="E9" i="4"/>
  <c r="E8" i="4"/>
  <c r="E12" i="4" s="1"/>
  <c r="E14" i="4" s="1"/>
  <c r="E7" i="4"/>
  <c r="E6" i="4"/>
  <c r="F25" i="25"/>
  <c r="G25" i="25" s="1"/>
  <c r="F24" i="25"/>
  <c r="G24" i="25" s="1"/>
  <c r="F20" i="25"/>
  <c r="G20" i="25" s="1"/>
  <c r="F19" i="25"/>
  <c r="G19" i="25" s="1"/>
  <c r="F18" i="25"/>
  <c r="G18" i="25" s="1"/>
  <c r="F17" i="25"/>
  <c r="G17" i="25" s="1"/>
  <c r="F10" i="25"/>
  <c r="G10" i="25" s="1"/>
  <c r="F9" i="25"/>
  <c r="G9" i="25" s="1"/>
  <c r="F8" i="25"/>
  <c r="G8" i="25" s="1"/>
  <c r="E22" i="4"/>
  <c r="D22" i="5" s="1"/>
  <c r="E21" i="4"/>
  <c r="E20" i="4"/>
  <c r="E19" i="4"/>
  <c r="M4" i="25"/>
  <c r="D21" i="5"/>
  <c r="D20" i="5"/>
  <c r="D19" i="5"/>
  <c r="D16" i="5"/>
  <c r="D7" i="5"/>
  <c r="D6" i="5"/>
  <c r="G13" i="4"/>
  <c r="E16" i="4"/>
  <c r="D16" i="3"/>
  <c r="D11" i="3"/>
  <c r="D13" i="3" s="1"/>
  <c r="E18" i="4" l="1"/>
  <c r="B91" i="24"/>
  <c r="B88" i="21"/>
  <c r="B59" i="21"/>
  <c r="B93" i="24"/>
  <c r="B57" i="24"/>
  <c r="D18" i="5" l="1"/>
  <c r="D24" i="5" s="1"/>
  <c r="D26" i="5" s="1"/>
  <c r="E24" i="4"/>
  <c r="E26" i="4" s="1"/>
  <c r="L4" i="23"/>
  <c r="G22" i="4" s="1"/>
  <c r="K4" i="23"/>
  <c r="J4" i="23"/>
  <c r="G21" i="4"/>
  <c r="G20" i="4"/>
  <c r="H29" i="23"/>
  <c r="H27" i="23"/>
  <c r="H26" i="23"/>
  <c r="H24" i="23"/>
  <c r="H22" i="23"/>
  <c r="H20" i="23"/>
  <c r="H19" i="23"/>
  <c r="H18" i="23"/>
  <c r="H17" i="23"/>
  <c r="H16" i="23"/>
  <c r="H15" i="23"/>
  <c r="H14" i="23"/>
  <c r="F29" i="23"/>
  <c r="G29" i="23" s="1"/>
  <c r="F27" i="23"/>
  <c r="G27" i="23" s="1"/>
  <c r="F26" i="23"/>
  <c r="G26" i="23" s="1"/>
  <c r="F24" i="23"/>
  <c r="G24" i="23" s="1"/>
  <c r="F22" i="23"/>
  <c r="G22" i="23" s="1"/>
  <c r="F21" i="23"/>
  <c r="G21" i="23" s="1"/>
  <c r="F20" i="23"/>
  <c r="G20" i="23" s="1"/>
  <c r="F19" i="23"/>
  <c r="G19" i="23" s="1"/>
  <c r="F18" i="23"/>
  <c r="G18" i="23" s="1"/>
  <c r="F17" i="23"/>
  <c r="G17" i="23" s="1"/>
  <c r="F16" i="23"/>
  <c r="G16" i="23" s="1"/>
  <c r="F15" i="23"/>
  <c r="G15" i="23" s="1"/>
  <c r="F14" i="23"/>
  <c r="G14" i="23" s="1"/>
  <c r="B21" i="23"/>
  <c r="H21" i="23" s="1"/>
  <c r="I8" i="23" l="1"/>
  <c r="I4" i="23" s="1"/>
  <c r="G19" i="4" s="1"/>
  <c r="H10" i="23"/>
  <c r="H9" i="23"/>
  <c r="H4" i="23" s="1"/>
  <c r="G18" i="4" s="1"/>
  <c r="G24" i="4" s="1"/>
  <c r="G26" i="4" s="1"/>
  <c r="F10" i="23"/>
  <c r="G10" i="23" s="1"/>
  <c r="F9" i="23"/>
  <c r="G9" i="23" s="1"/>
  <c r="F8" i="23"/>
  <c r="G8" i="23" s="1"/>
  <c r="F22" i="5"/>
  <c r="F21" i="5"/>
  <c r="F20" i="5"/>
  <c r="F16" i="5"/>
  <c r="H22" i="22"/>
  <c r="H21" i="22"/>
  <c r="H20" i="22"/>
  <c r="H19" i="22"/>
  <c r="H18" i="22"/>
  <c r="H17" i="22"/>
  <c r="H16" i="22"/>
  <c r="H15" i="22"/>
  <c r="H14" i="22"/>
  <c r="H13" i="22"/>
  <c r="F22" i="22"/>
  <c r="G22" i="22" s="1"/>
  <c r="F21" i="22"/>
  <c r="G21" i="22" s="1"/>
  <c r="F20" i="22"/>
  <c r="G20" i="22" s="1"/>
  <c r="F19" i="22"/>
  <c r="G19" i="22" s="1"/>
  <c r="F18" i="22"/>
  <c r="G18" i="22" s="1"/>
  <c r="F17" i="22"/>
  <c r="G17" i="22" s="1"/>
  <c r="F16" i="22"/>
  <c r="G16" i="22" s="1"/>
  <c r="F15" i="22"/>
  <c r="G15" i="22" s="1"/>
  <c r="F14" i="22"/>
  <c r="G14" i="22" s="1"/>
  <c r="F13" i="22"/>
  <c r="G13" i="22" s="1"/>
  <c r="H50" i="22"/>
  <c r="H49" i="22"/>
  <c r="H48" i="22"/>
  <c r="H47" i="22"/>
  <c r="H46" i="22"/>
  <c r="H45" i="22"/>
  <c r="H44" i="22"/>
  <c r="H43" i="22"/>
  <c r="H42" i="22"/>
  <c r="H41" i="22"/>
  <c r="H37" i="22"/>
  <c r="H35" i="22"/>
  <c r="H32" i="22"/>
  <c r="H30" i="22"/>
  <c r="H29" i="22"/>
  <c r="H27" i="22"/>
  <c r="H11" i="22"/>
  <c r="H10" i="22"/>
  <c r="H9" i="22"/>
  <c r="L194" i="21"/>
  <c r="L190" i="21"/>
  <c r="L179" i="21"/>
  <c r="L178" i="21"/>
  <c r="K199" i="21"/>
  <c r="K181" i="21"/>
  <c r="K180" i="21"/>
  <c r="K4" i="21" s="1"/>
  <c r="F8" i="3" s="1"/>
  <c r="J182" i="21"/>
  <c r="J154" i="21"/>
  <c r="J153" i="21"/>
  <c r="J152" i="21"/>
  <c r="J151" i="21"/>
  <c r="J150" i="21"/>
  <c r="J149" i="21"/>
  <c r="J142" i="21"/>
  <c r="J141" i="21"/>
  <c r="J140" i="21"/>
  <c r="J138" i="21"/>
  <c r="J113" i="21"/>
  <c r="J46" i="21"/>
  <c r="J45" i="21"/>
  <c r="J31" i="21"/>
  <c r="J30" i="21"/>
  <c r="J29" i="21"/>
  <c r="J28" i="21"/>
  <c r="I197" i="21"/>
  <c r="I196" i="21"/>
  <c r="I195" i="21"/>
  <c r="I193" i="21"/>
  <c r="I192" i="21"/>
  <c r="I191" i="21"/>
  <c r="I185" i="21"/>
  <c r="I184" i="21"/>
  <c r="I165" i="21"/>
  <c r="I164" i="21"/>
  <c r="I159" i="21"/>
  <c r="I158" i="21"/>
  <c r="I157" i="21"/>
  <c r="I156" i="21"/>
  <c r="I155" i="21"/>
  <c r="I146" i="21"/>
  <c r="I145" i="21"/>
  <c r="I144" i="21"/>
  <c r="I143" i="21"/>
  <c r="I129" i="21"/>
  <c r="I121" i="21"/>
  <c r="I120" i="21"/>
  <c r="I119" i="21"/>
  <c r="I118" i="21"/>
  <c r="I117" i="21"/>
  <c r="I68" i="21"/>
  <c r="I67" i="21"/>
  <c r="I66" i="21"/>
  <c r="I65" i="21"/>
  <c r="I48" i="21"/>
  <c r="I47" i="21"/>
  <c r="I38" i="21"/>
  <c r="I37" i="21"/>
  <c r="I36" i="21"/>
  <c r="I35" i="21"/>
  <c r="I33" i="21"/>
  <c r="I32" i="21"/>
  <c r="I16" i="21"/>
  <c r="I12" i="21"/>
  <c r="H214" i="21"/>
  <c r="H212" i="21"/>
  <c r="H210" i="21"/>
  <c r="H209" i="21"/>
  <c r="H208" i="21"/>
  <c r="H204" i="21"/>
  <c r="H203" i="21"/>
  <c r="H202" i="21"/>
  <c r="H200" i="21"/>
  <c r="H188" i="21"/>
  <c r="H187" i="21"/>
  <c r="H186" i="21"/>
  <c r="H183" i="21"/>
  <c r="H176" i="21"/>
  <c r="H175" i="21"/>
  <c r="H174" i="21"/>
  <c r="H173" i="21"/>
  <c r="H172" i="21"/>
  <c r="H171" i="21"/>
  <c r="H170" i="21"/>
  <c r="H169" i="21"/>
  <c r="H167" i="21"/>
  <c r="H166" i="21"/>
  <c r="H162" i="21"/>
  <c r="H161" i="21"/>
  <c r="H160" i="21"/>
  <c r="H148" i="21"/>
  <c r="H147" i="21"/>
  <c r="H136" i="21"/>
  <c r="H135" i="21"/>
  <c r="H134" i="21"/>
  <c r="H133" i="21"/>
  <c r="H132" i="21"/>
  <c r="H131" i="21"/>
  <c r="H130" i="21"/>
  <c r="H127" i="21"/>
  <c r="H126" i="21"/>
  <c r="H125" i="21"/>
  <c r="H124" i="21"/>
  <c r="H123" i="21"/>
  <c r="H122" i="21"/>
  <c r="H114" i="21"/>
  <c r="H111" i="21"/>
  <c r="H109" i="21"/>
  <c r="H107" i="21"/>
  <c r="H106" i="21"/>
  <c r="H105" i="21"/>
  <c r="H104" i="21"/>
  <c r="H103" i="21"/>
  <c r="H102" i="21"/>
  <c r="H101" i="21"/>
  <c r="H100" i="21"/>
  <c r="H99" i="21"/>
  <c r="H98" i="21"/>
  <c r="H97" i="21"/>
  <c r="H95" i="21"/>
  <c r="H94" i="21"/>
  <c r="H92" i="21"/>
  <c r="H91" i="21"/>
  <c r="H90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1" i="21"/>
  <c r="H59" i="21"/>
  <c r="H55" i="21"/>
  <c r="H54" i="21"/>
  <c r="H51" i="21"/>
  <c r="H50" i="21"/>
  <c r="H43" i="21"/>
  <c r="H42" i="21"/>
  <c r="H41" i="21"/>
  <c r="H40" i="21"/>
  <c r="H39" i="21"/>
  <c r="H26" i="21"/>
  <c r="H22" i="21"/>
  <c r="H20" i="21"/>
  <c r="H19" i="21"/>
  <c r="H18" i="21"/>
  <c r="H14" i="21"/>
  <c r="H13" i="21"/>
  <c r="H10" i="21"/>
  <c r="H8" i="21"/>
  <c r="J4" i="21"/>
  <c r="F7" i="3" s="1"/>
  <c r="K4" i="24"/>
  <c r="G9" i="4" s="1"/>
  <c r="L86" i="24"/>
  <c r="L43" i="24"/>
  <c r="L8" i="24"/>
  <c r="K9" i="24"/>
  <c r="J87" i="24"/>
  <c r="J10" i="24"/>
  <c r="J4" i="24" s="1"/>
  <c r="G8" i="4" s="1"/>
  <c r="I84" i="24"/>
  <c r="I79" i="24"/>
  <c r="I70" i="24"/>
  <c r="I59" i="24"/>
  <c r="I41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H105" i="24"/>
  <c r="H104" i="24"/>
  <c r="H103" i="24"/>
  <c r="H102" i="24"/>
  <c r="H101" i="24"/>
  <c r="H100" i="24"/>
  <c r="H99" i="24"/>
  <c r="H97" i="24"/>
  <c r="H95" i="24"/>
  <c r="H93" i="24"/>
  <c r="H91" i="24"/>
  <c r="H89" i="24"/>
  <c r="H88" i="24"/>
  <c r="H82" i="24"/>
  <c r="H77" i="24"/>
  <c r="H76" i="24"/>
  <c r="H75" i="24"/>
  <c r="H74" i="24"/>
  <c r="H73" i="24"/>
  <c r="H72" i="24"/>
  <c r="H68" i="24"/>
  <c r="H67" i="24"/>
  <c r="H65" i="24"/>
  <c r="H64" i="24"/>
  <c r="H63" i="24"/>
  <c r="H62" i="24"/>
  <c r="H61" i="24"/>
  <c r="H60" i="24"/>
  <c r="H57" i="24"/>
  <c r="H55" i="24"/>
  <c r="H54" i="24"/>
  <c r="H53" i="24"/>
  <c r="H52" i="24"/>
  <c r="H50" i="24"/>
  <c r="H48" i="24"/>
  <c r="H46" i="24"/>
  <c r="H45" i="24"/>
  <c r="H42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6" i="24"/>
  <c r="F39" i="24"/>
  <c r="G39" i="24" s="1"/>
  <c r="F38" i="24"/>
  <c r="G38" i="24" s="1"/>
  <c r="F37" i="24"/>
  <c r="G37" i="24" s="1"/>
  <c r="F36" i="24"/>
  <c r="G36" i="24" s="1"/>
  <c r="F35" i="24"/>
  <c r="G35" i="24" s="1"/>
  <c r="F34" i="24"/>
  <c r="G34" i="24" s="1"/>
  <c r="F33" i="24"/>
  <c r="G33" i="24" s="1"/>
  <c r="F32" i="24"/>
  <c r="G32" i="24" s="1"/>
  <c r="F31" i="24"/>
  <c r="G31" i="24" s="1"/>
  <c r="F30" i="24"/>
  <c r="G30" i="24" s="1"/>
  <c r="F29" i="24"/>
  <c r="G29" i="24" s="1"/>
  <c r="F28" i="24"/>
  <c r="G28" i="24" s="1"/>
  <c r="F27" i="24"/>
  <c r="G27" i="24" s="1"/>
  <c r="F26" i="24"/>
  <c r="G26" i="24" s="1"/>
  <c r="F25" i="24"/>
  <c r="G25" i="24" s="1"/>
  <c r="F24" i="24"/>
  <c r="G24" i="24" s="1"/>
  <c r="F23" i="24"/>
  <c r="G23" i="24" s="1"/>
  <c r="F22" i="24"/>
  <c r="G22" i="24" s="1"/>
  <c r="F21" i="24"/>
  <c r="G21" i="24" s="1"/>
  <c r="F20" i="24"/>
  <c r="G20" i="24" s="1"/>
  <c r="F19" i="24"/>
  <c r="G19" i="24" s="1"/>
  <c r="F18" i="24"/>
  <c r="G18" i="24" s="1"/>
  <c r="F17" i="24"/>
  <c r="G17" i="24" s="1"/>
  <c r="F16" i="24"/>
  <c r="G16" i="24" s="1"/>
  <c r="F15" i="24"/>
  <c r="G15" i="24" s="1"/>
  <c r="F14" i="24"/>
  <c r="G14" i="24" s="1"/>
  <c r="F13" i="24"/>
  <c r="G13" i="24" s="1"/>
  <c r="F12" i="24"/>
  <c r="G12" i="24" s="1"/>
  <c r="F11" i="24"/>
  <c r="G11" i="24" s="1"/>
  <c r="F10" i="24"/>
  <c r="G10" i="24" s="1"/>
  <c r="F9" i="24"/>
  <c r="G9" i="24" s="1"/>
  <c r="I107" i="24"/>
  <c r="F105" i="24"/>
  <c r="G105" i="24" s="1"/>
  <c r="F104" i="24"/>
  <c r="G104" i="24" s="1"/>
  <c r="F103" i="24"/>
  <c r="G103" i="24" s="1"/>
  <c r="F102" i="24"/>
  <c r="G102" i="24" s="1"/>
  <c r="F101" i="24"/>
  <c r="G101" i="24" s="1"/>
  <c r="F100" i="24"/>
  <c r="G100" i="24" s="1"/>
  <c r="F99" i="24"/>
  <c r="G99" i="24" s="1"/>
  <c r="F89" i="24"/>
  <c r="G89" i="24" s="1"/>
  <c r="F88" i="24"/>
  <c r="G88" i="24" s="1"/>
  <c r="F87" i="24"/>
  <c r="G87" i="24" s="1"/>
  <c r="F86" i="24"/>
  <c r="G86" i="24" s="1"/>
  <c r="F82" i="24"/>
  <c r="G82" i="24" s="1"/>
  <c r="F81" i="24"/>
  <c r="G81" i="24" s="1"/>
  <c r="B81" i="24"/>
  <c r="H81" i="24" s="1"/>
  <c r="F77" i="24"/>
  <c r="G77" i="24" s="1"/>
  <c r="F76" i="24"/>
  <c r="G76" i="24" s="1"/>
  <c r="F75" i="24"/>
  <c r="G75" i="24" s="1"/>
  <c r="F74" i="24"/>
  <c r="G74" i="24" s="1"/>
  <c r="F73" i="24"/>
  <c r="G73" i="24" s="1"/>
  <c r="F72" i="24"/>
  <c r="G72" i="24" s="1"/>
  <c r="F68" i="24"/>
  <c r="G68" i="24" s="1"/>
  <c r="F67" i="24"/>
  <c r="G67" i="24" s="1"/>
  <c r="F65" i="24"/>
  <c r="G65" i="24" s="1"/>
  <c r="F64" i="24"/>
  <c r="G64" i="24" s="1"/>
  <c r="F63" i="24"/>
  <c r="G63" i="24" s="1"/>
  <c r="F62" i="24"/>
  <c r="G62" i="24" s="1"/>
  <c r="F61" i="24"/>
  <c r="G61" i="24" s="1"/>
  <c r="F60" i="24"/>
  <c r="G60" i="24" s="1"/>
  <c r="F59" i="24"/>
  <c r="G59" i="24" s="1"/>
  <c r="F55" i="24"/>
  <c r="G55" i="24" s="1"/>
  <c r="F54" i="24"/>
  <c r="G54" i="24" s="1"/>
  <c r="F53" i="24"/>
  <c r="G53" i="24" s="1"/>
  <c r="F52" i="24"/>
  <c r="G52" i="24" s="1"/>
  <c r="F46" i="24"/>
  <c r="G46" i="24" s="1"/>
  <c r="F45" i="24"/>
  <c r="G45" i="24" s="1"/>
  <c r="F43" i="24"/>
  <c r="G43" i="24" s="1"/>
  <c r="F42" i="24"/>
  <c r="G42" i="24" s="1"/>
  <c r="F41" i="24"/>
  <c r="G41" i="24" s="1"/>
  <c r="F97" i="24"/>
  <c r="G97" i="24" s="1"/>
  <c r="F95" i="24"/>
  <c r="G95" i="24" s="1"/>
  <c r="F93" i="24"/>
  <c r="G93" i="24" s="1"/>
  <c r="F91" i="24"/>
  <c r="G91" i="24" s="1"/>
  <c r="F84" i="24"/>
  <c r="G84" i="24" s="1"/>
  <c r="F79" i="24"/>
  <c r="G79" i="24" s="1"/>
  <c r="F70" i="24"/>
  <c r="G70" i="24" s="1"/>
  <c r="F57" i="24"/>
  <c r="G57" i="24" s="1"/>
  <c r="F50" i="24"/>
  <c r="G50" i="24" s="1"/>
  <c r="F48" i="24"/>
  <c r="G48" i="24" s="1"/>
  <c r="F8" i="24"/>
  <c r="G8" i="24" s="1"/>
  <c r="F6" i="24"/>
  <c r="G6" i="24" s="1"/>
  <c r="H4" i="24" l="1"/>
  <c r="G6" i="4" s="1"/>
  <c r="B4" i="24"/>
  <c r="M4" i="24" s="1"/>
  <c r="I4" i="24"/>
  <c r="G7" i="4" s="1"/>
  <c r="G12" i="4" s="1"/>
  <c r="G14" i="4" s="1"/>
  <c r="L4" i="24"/>
  <c r="G10" i="4" s="1"/>
  <c r="F7" i="5"/>
  <c r="F8" i="5"/>
  <c r="B4" i="23" l="1"/>
  <c r="F50" i="22" l="1"/>
  <c r="G50" i="22" s="1"/>
  <c r="F49" i="22"/>
  <c r="G49" i="22" s="1"/>
  <c r="F48" i="22"/>
  <c r="G48" i="22" s="1"/>
  <c r="F47" i="22"/>
  <c r="G47" i="22" s="1"/>
  <c r="F46" i="22"/>
  <c r="G46" i="22" s="1"/>
  <c r="F45" i="22"/>
  <c r="G45" i="22" s="1"/>
  <c r="F44" i="22"/>
  <c r="G44" i="22" s="1"/>
  <c r="F43" i="22"/>
  <c r="G43" i="22" s="1"/>
  <c r="F42" i="22"/>
  <c r="G42" i="22" s="1"/>
  <c r="F41" i="22"/>
  <c r="G41" i="22" s="1"/>
  <c r="F38" i="22"/>
  <c r="G38" i="22" s="1"/>
  <c r="B38" i="22"/>
  <c r="H38" i="22" s="1"/>
  <c r="F35" i="22"/>
  <c r="G35" i="22" s="1"/>
  <c r="F33" i="22"/>
  <c r="G33" i="22" s="1"/>
  <c r="B33" i="22"/>
  <c r="H33" i="22" s="1"/>
  <c r="F37" i="22"/>
  <c r="G37" i="22" s="1"/>
  <c r="F32" i="22" l="1"/>
  <c r="G32" i="22" s="1"/>
  <c r="F30" i="22"/>
  <c r="G30" i="22" s="1"/>
  <c r="F29" i="22"/>
  <c r="G29" i="22" s="1"/>
  <c r="F28" i="22"/>
  <c r="G28" i="22" s="1"/>
  <c r="F27" i="22"/>
  <c r="G27" i="22" s="1"/>
  <c r="B28" i="22" l="1"/>
  <c r="H28" i="22" s="1"/>
  <c r="I24" i="22" l="1"/>
  <c r="I4" i="22" s="1"/>
  <c r="F19" i="3" s="1"/>
  <c r="F19" i="5" s="1"/>
  <c r="F11" i="22"/>
  <c r="G11" i="22" s="1"/>
  <c r="F10" i="22"/>
  <c r="G10" i="22" s="1"/>
  <c r="F9" i="22"/>
  <c r="G9" i="22" s="1"/>
  <c r="F8" i="22"/>
  <c r="G8" i="22" s="1"/>
  <c r="F27" i="19"/>
  <c r="G27" i="19" s="1"/>
  <c r="B8" i="22"/>
  <c r="B4" i="22" l="1"/>
  <c r="H8" i="22"/>
  <c r="H4" i="22" s="1"/>
  <c r="F18" i="3" s="1"/>
  <c r="I216" i="21"/>
  <c r="F210" i="21"/>
  <c r="G210" i="21" s="1"/>
  <c r="F209" i="21"/>
  <c r="G209" i="21" s="1"/>
  <c r="F208" i="21"/>
  <c r="G208" i="21" s="1"/>
  <c r="L206" i="21"/>
  <c r="F204" i="21"/>
  <c r="G204" i="21" s="1"/>
  <c r="F203" i="21"/>
  <c r="G203" i="21" s="1"/>
  <c r="F202" i="21"/>
  <c r="G202" i="21" s="1"/>
  <c r="F200" i="21"/>
  <c r="G200" i="21" s="1"/>
  <c r="F199" i="21"/>
  <c r="G199" i="21" s="1"/>
  <c r="F197" i="21"/>
  <c r="G197" i="21" s="1"/>
  <c r="F196" i="21"/>
  <c r="G196" i="21" s="1"/>
  <c r="F195" i="21"/>
  <c r="G195" i="21" s="1"/>
  <c r="F194" i="21"/>
  <c r="G194" i="21" s="1"/>
  <c r="F193" i="21"/>
  <c r="G193" i="21" s="1"/>
  <c r="F192" i="21"/>
  <c r="G192" i="21" s="1"/>
  <c r="F191" i="21"/>
  <c r="G191" i="21" s="1"/>
  <c r="F190" i="21"/>
  <c r="G190" i="21" s="1"/>
  <c r="F188" i="21"/>
  <c r="G188" i="21" s="1"/>
  <c r="F187" i="21"/>
  <c r="G187" i="21" s="1"/>
  <c r="F186" i="21"/>
  <c r="G186" i="21" s="1"/>
  <c r="F185" i="21"/>
  <c r="G185" i="21" s="1"/>
  <c r="F184" i="21"/>
  <c r="G184" i="21" s="1"/>
  <c r="F183" i="21"/>
  <c r="G183" i="21" s="1"/>
  <c r="F182" i="21"/>
  <c r="G182" i="21" s="1"/>
  <c r="F181" i="21"/>
  <c r="G181" i="21" s="1"/>
  <c r="F180" i="21"/>
  <c r="G180" i="21" s="1"/>
  <c r="F179" i="21"/>
  <c r="G179" i="21" s="1"/>
  <c r="F178" i="21"/>
  <c r="G178" i="21" s="1"/>
  <c r="F176" i="21"/>
  <c r="G176" i="21" s="1"/>
  <c r="F175" i="21"/>
  <c r="G175" i="21" s="1"/>
  <c r="F174" i="21"/>
  <c r="G174" i="21" s="1"/>
  <c r="F173" i="21"/>
  <c r="G173" i="21" s="1"/>
  <c r="F172" i="21"/>
  <c r="G172" i="21" s="1"/>
  <c r="F171" i="21"/>
  <c r="G171" i="21" s="1"/>
  <c r="F170" i="21"/>
  <c r="G170" i="21" s="1"/>
  <c r="F169" i="21"/>
  <c r="G169" i="21" s="1"/>
  <c r="F167" i="21"/>
  <c r="G167" i="21" s="1"/>
  <c r="F166" i="21"/>
  <c r="G166" i="21" s="1"/>
  <c r="F165" i="21"/>
  <c r="G165" i="21" s="1"/>
  <c r="F164" i="21"/>
  <c r="G164" i="21" s="1"/>
  <c r="F162" i="21"/>
  <c r="G162" i="21" s="1"/>
  <c r="F161" i="21"/>
  <c r="G161" i="21" s="1"/>
  <c r="F160" i="21"/>
  <c r="G160" i="21" s="1"/>
  <c r="F159" i="21"/>
  <c r="G159" i="21" s="1"/>
  <c r="F158" i="21"/>
  <c r="G158" i="21" s="1"/>
  <c r="F157" i="21"/>
  <c r="G157" i="21" s="1"/>
  <c r="F156" i="21"/>
  <c r="G156" i="21" s="1"/>
  <c r="F155" i="21"/>
  <c r="G155" i="21" s="1"/>
  <c r="F154" i="21"/>
  <c r="G154" i="21" s="1"/>
  <c r="F153" i="21"/>
  <c r="G153" i="21" s="1"/>
  <c r="F152" i="21"/>
  <c r="G152" i="21" s="1"/>
  <c r="F151" i="21"/>
  <c r="G151" i="21" s="1"/>
  <c r="F150" i="21"/>
  <c r="G150" i="21" s="1"/>
  <c r="F149" i="21"/>
  <c r="G149" i="21" s="1"/>
  <c r="F148" i="21"/>
  <c r="G148" i="21" s="1"/>
  <c r="F147" i="21"/>
  <c r="G147" i="21" s="1"/>
  <c r="F146" i="21"/>
  <c r="G146" i="21" s="1"/>
  <c r="F145" i="21"/>
  <c r="G145" i="21" s="1"/>
  <c r="F144" i="21"/>
  <c r="G144" i="21" s="1"/>
  <c r="F143" i="21"/>
  <c r="G143" i="21" s="1"/>
  <c r="F142" i="21"/>
  <c r="G142" i="21" s="1"/>
  <c r="F141" i="21"/>
  <c r="G141" i="21" s="1"/>
  <c r="F140" i="21"/>
  <c r="G140" i="21" s="1"/>
  <c r="F136" i="21"/>
  <c r="G136" i="21" s="1"/>
  <c r="F135" i="21"/>
  <c r="G135" i="21" s="1"/>
  <c r="F134" i="21"/>
  <c r="G134" i="21" s="1"/>
  <c r="F133" i="21"/>
  <c r="G133" i="21" s="1"/>
  <c r="F132" i="21"/>
  <c r="G132" i="21" s="1"/>
  <c r="F131" i="21"/>
  <c r="G131" i="21" s="1"/>
  <c r="F130" i="21"/>
  <c r="G130" i="21" s="1"/>
  <c r="F129" i="21"/>
  <c r="G129" i="21" s="1"/>
  <c r="F138" i="21"/>
  <c r="G138" i="21"/>
  <c r="F127" i="21"/>
  <c r="G127" i="21" s="1"/>
  <c r="F126" i="21"/>
  <c r="G126" i="21" s="1"/>
  <c r="F125" i="21"/>
  <c r="G125" i="21" s="1"/>
  <c r="F124" i="21"/>
  <c r="G124" i="21" s="1"/>
  <c r="F123" i="21"/>
  <c r="G123" i="21" s="1"/>
  <c r="F122" i="21"/>
  <c r="G122" i="21" s="1"/>
  <c r="F121" i="21"/>
  <c r="G121" i="21" s="1"/>
  <c r="F120" i="21"/>
  <c r="G120" i="21" s="1"/>
  <c r="F119" i="21"/>
  <c r="G119" i="21" s="1"/>
  <c r="F118" i="21"/>
  <c r="G118" i="21" s="1"/>
  <c r="F117" i="21"/>
  <c r="G117" i="21" s="1"/>
  <c r="F116" i="21"/>
  <c r="G116" i="21" s="1"/>
  <c r="B116" i="21"/>
  <c r="I116" i="21" s="1"/>
  <c r="F114" i="21"/>
  <c r="G114" i="21" s="1"/>
  <c r="F107" i="21"/>
  <c r="G107" i="21" s="1"/>
  <c r="F106" i="21"/>
  <c r="G106" i="21" s="1"/>
  <c r="F105" i="21"/>
  <c r="G105" i="21" s="1"/>
  <c r="F104" i="21"/>
  <c r="G104" i="21" s="1"/>
  <c r="F103" i="21"/>
  <c r="G103" i="21" s="1"/>
  <c r="F102" i="21"/>
  <c r="G102" i="21" s="1"/>
  <c r="F101" i="21"/>
  <c r="G101" i="21" s="1"/>
  <c r="F100" i="21"/>
  <c r="G100" i="21" s="1"/>
  <c r="F99" i="21"/>
  <c r="G99" i="21" s="1"/>
  <c r="F98" i="21"/>
  <c r="G98" i="21" s="1"/>
  <c r="F97" i="21"/>
  <c r="G97" i="21" s="1"/>
  <c r="F95" i="21"/>
  <c r="G95" i="21" s="1"/>
  <c r="F92" i="21"/>
  <c r="G92" i="21" s="1"/>
  <c r="F91" i="21"/>
  <c r="G91" i="21" s="1"/>
  <c r="F90" i="21"/>
  <c r="G90" i="21" s="1"/>
  <c r="F24" i="3" l="1"/>
  <c r="F26" i="3" s="1"/>
  <c r="F18" i="5"/>
  <c r="F24" i="5" s="1"/>
  <c r="F26" i="5" s="1"/>
  <c r="L88" i="21"/>
  <c r="F86" i="21"/>
  <c r="G86" i="21" s="1"/>
  <c r="F85" i="21"/>
  <c r="G85" i="21" s="1"/>
  <c r="F84" i="21"/>
  <c r="G84" i="21" s="1"/>
  <c r="F83" i="21"/>
  <c r="G83" i="21" s="1"/>
  <c r="F82" i="21"/>
  <c r="G82" i="21" s="1"/>
  <c r="F81" i="21"/>
  <c r="G81" i="21" s="1"/>
  <c r="F80" i="21"/>
  <c r="G80" i="21" s="1"/>
  <c r="F79" i="21"/>
  <c r="G79" i="21" s="1"/>
  <c r="F78" i="21"/>
  <c r="G78" i="21" s="1"/>
  <c r="F77" i="21"/>
  <c r="G77" i="21" s="1"/>
  <c r="F76" i="21"/>
  <c r="G76" i="21" s="1"/>
  <c r="F75" i="21"/>
  <c r="G75" i="21" s="1"/>
  <c r="F74" i="21"/>
  <c r="G74" i="21" s="1"/>
  <c r="F73" i="21"/>
  <c r="G73" i="21" s="1"/>
  <c r="F72" i="21"/>
  <c r="G72" i="21" s="1"/>
  <c r="F71" i="21"/>
  <c r="G71" i="21" s="1"/>
  <c r="F70" i="21"/>
  <c r="G70" i="21" s="1"/>
  <c r="F69" i="21"/>
  <c r="G69" i="21" s="1"/>
  <c r="F68" i="21"/>
  <c r="G68" i="21" s="1"/>
  <c r="F67" i="21"/>
  <c r="G67" i="21" s="1"/>
  <c r="F66" i="21"/>
  <c r="G66" i="21" s="1"/>
  <c r="F65" i="21"/>
  <c r="G65" i="21" s="1"/>
  <c r="L63" i="21"/>
  <c r="L57" i="21"/>
  <c r="F55" i="21" l="1"/>
  <c r="G55" i="21" s="1"/>
  <c r="F52" i="21"/>
  <c r="G52" i="21" s="1"/>
  <c r="F51" i="21"/>
  <c r="G51" i="21" s="1"/>
  <c r="B52" i="21"/>
  <c r="H52" i="21" s="1"/>
  <c r="H4" i="21" s="1"/>
  <c r="F5" i="3" s="1"/>
  <c r="F5" i="5" s="1"/>
  <c r="F43" i="21"/>
  <c r="G43" i="21" s="1"/>
  <c r="F42" i="21"/>
  <c r="G42" i="21" s="1"/>
  <c r="F41" i="21"/>
  <c r="G41" i="21" s="1"/>
  <c r="F40" i="21"/>
  <c r="G40" i="21" s="1"/>
  <c r="F39" i="21"/>
  <c r="G39" i="21" s="1"/>
  <c r="F38" i="21"/>
  <c r="G38" i="21" s="1"/>
  <c r="F37" i="21"/>
  <c r="G37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9" i="21"/>
  <c r="G29" i="21" s="1"/>
  <c r="B34" i="21"/>
  <c r="I34" i="21" s="1"/>
  <c r="F48" i="21"/>
  <c r="G48" i="21" s="1"/>
  <c r="F47" i="21"/>
  <c r="G47" i="21" s="1"/>
  <c r="F46" i="21"/>
  <c r="G46" i="21" s="1"/>
  <c r="L24" i="21"/>
  <c r="L4" i="21" s="1"/>
  <c r="F9" i="3" s="1"/>
  <c r="F9" i="5" s="1"/>
  <c r="F20" i="21"/>
  <c r="G20" i="21" s="1"/>
  <c r="F19" i="21"/>
  <c r="G19" i="21" s="1"/>
  <c r="F14" i="21"/>
  <c r="G14" i="21" s="1"/>
  <c r="F13" i="21"/>
  <c r="G13" i="21" s="1"/>
  <c r="I6" i="21"/>
  <c r="F214" i="21"/>
  <c r="G214" i="21" s="1"/>
  <c r="F212" i="21"/>
  <c r="G212" i="21" s="1"/>
  <c r="F206" i="21"/>
  <c r="G206" i="21" s="1"/>
  <c r="F113" i="21"/>
  <c r="G113" i="21" s="1"/>
  <c r="F111" i="21"/>
  <c r="G111" i="21" s="1"/>
  <c r="F109" i="21"/>
  <c r="G109" i="21" s="1"/>
  <c r="F94" i="21"/>
  <c r="G94" i="21" s="1"/>
  <c r="F88" i="21"/>
  <c r="G88" i="21" s="1"/>
  <c r="F63" i="21"/>
  <c r="G63" i="21" s="1"/>
  <c r="F61" i="21"/>
  <c r="G61" i="21" s="1"/>
  <c r="F59" i="21"/>
  <c r="G59" i="21" s="1"/>
  <c r="F57" i="21"/>
  <c r="G57" i="21" s="1"/>
  <c r="F54" i="21"/>
  <c r="G54" i="21" s="1"/>
  <c r="F50" i="21"/>
  <c r="G50" i="21" s="1"/>
  <c r="F45" i="21"/>
  <c r="G45" i="21" s="1"/>
  <c r="F28" i="21"/>
  <c r="G28" i="21" s="1"/>
  <c r="F26" i="21"/>
  <c r="G26" i="21" s="1"/>
  <c r="F24" i="21"/>
  <c r="G24" i="21" s="1"/>
  <c r="F22" i="21"/>
  <c r="G22" i="21" s="1"/>
  <c r="F18" i="21"/>
  <c r="G18" i="21" s="1"/>
  <c r="F16" i="21"/>
  <c r="G16" i="21" s="1"/>
  <c r="F12" i="21"/>
  <c r="G12" i="21" s="1"/>
  <c r="F10" i="21"/>
  <c r="G10" i="21" s="1"/>
  <c r="F8" i="21"/>
  <c r="G8" i="21" s="1"/>
  <c r="F8" i="20"/>
  <c r="G8" i="20" s="1"/>
  <c r="I4" i="21" l="1"/>
  <c r="B4" i="21"/>
  <c r="F6" i="3"/>
  <c r="M4" i="21"/>
  <c r="B10" i="19"/>
  <c r="F11" i="3" l="1"/>
  <c r="F13" i="3" s="1"/>
  <c r="F6" i="5"/>
  <c r="F11" i="5" s="1"/>
  <c r="F13" i="5" s="1"/>
  <c r="B24" i="17"/>
  <c r="B198" i="20"/>
  <c r="F3" i="20"/>
  <c r="B190" i="20"/>
  <c r="B189" i="20"/>
  <c r="B188" i="20"/>
  <c r="B197" i="20"/>
  <c r="H197" i="20" s="1"/>
  <c r="E4" i="20"/>
  <c r="C4" i="20"/>
  <c r="L223" i="20"/>
  <c r="L202" i="20"/>
  <c r="L160" i="20"/>
  <c r="L159" i="20"/>
  <c r="L158" i="20"/>
  <c r="L157" i="20"/>
  <c r="L156" i="20"/>
  <c r="L155" i="20"/>
  <c r="L154" i="20"/>
  <c r="L153" i="20"/>
  <c r="L152" i="20"/>
  <c r="L151" i="20"/>
  <c r="L150" i="20"/>
  <c r="L149" i="20"/>
  <c r="L148" i="20"/>
  <c r="L147" i="20"/>
  <c r="L146" i="20"/>
  <c r="L145" i="20"/>
  <c r="L144" i="20"/>
  <c r="L143" i="20"/>
  <c r="L142" i="20"/>
  <c r="L141" i="20"/>
  <c r="L140" i="20"/>
  <c r="L139" i="20"/>
  <c r="L138" i="20"/>
  <c r="L137" i="20"/>
  <c r="L136" i="20"/>
  <c r="L135" i="20"/>
  <c r="L134" i="20"/>
  <c r="L133" i="20"/>
  <c r="L128" i="20"/>
  <c r="L127" i="20"/>
  <c r="L126" i="20"/>
  <c r="L125" i="20"/>
  <c r="L109" i="20"/>
  <c r="L104" i="20"/>
  <c r="L96" i="20"/>
  <c r="L37" i="20"/>
  <c r="L13" i="20"/>
  <c r="L228" i="20" s="1"/>
  <c r="H9" i="3" s="1"/>
  <c r="K174" i="20"/>
  <c r="K163" i="20"/>
  <c r="K162" i="20"/>
  <c r="K161" i="20"/>
  <c r="K112" i="20"/>
  <c r="K228" i="20" s="1"/>
  <c r="H8" i="3" s="1"/>
  <c r="K111" i="20"/>
  <c r="K110" i="20"/>
  <c r="J166" i="20"/>
  <c r="J165" i="20"/>
  <c r="J164" i="20"/>
  <c r="J131" i="20"/>
  <c r="J114" i="20"/>
  <c r="J113" i="20"/>
  <c r="J94" i="20"/>
  <c r="J38" i="20"/>
  <c r="J33" i="20"/>
  <c r="J9" i="20"/>
  <c r="I178" i="20"/>
  <c r="I176" i="20"/>
  <c r="I175" i="20"/>
  <c r="I170" i="20"/>
  <c r="I169" i="20"/>
  <c r="I168" i="20"/>
  <c r="I167" i="20"/>
  <c r="I117" i="20"/>
  <c r="I116" i="20"/>
  <c r="I115" i="20"/>
  <c r="I106" i="20"/>
  <c r="I100" i="20"/>
  <c r="I98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49" i="20"/>
  <c r="I47" i="20"/>
  <c r="I40" i="20"/>
  <c r="I20" i="20"/>
  <c r="I19" i="20"/>
  <c r="I18" i="20"/>
  <c r="I17" i="20"/>
  <c r="I14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0" i="20"/>
  <c r="H199" i="20"/>
  <c r="H198" i="20"/>
  <c r="H196" i="20"/>
  <c r="H195" i="20"/>
  <c r="H194" i="20"/>
  <c r="H193" i="20"/>
  <c r="H192" i="20"/>
  <c r="H191" i="20"/>
  <c r="H190" i="20"/>
  <c r="H189" i="20"/>
  <c r="H188" i="20"/>
  <c r="H186" i="20"/>
  <c r="H184" i="20"/>
  <c r="H183" i="20"/>
  <c r="H181" i="20"/>
  <c r="H180" i="20"/>
  <c r="H179" i="20"/>
  <c r="H172" i="20"/>
  <c r="H171" i="20"/>
  <c r="H130" i="20"/>
  <c r="H129" i="20"/>
  <c r="H123" i="20"/>
  <c r="H122" i="20"/>
  <c r="H121" i="20"/>
  <c r="H119" i="20"/>
  <c r="H118" i="20"/>
  <c r="H107" i="20"/>
  <c r="H102" i="20"/>
  <c r="H101" i="20"/>
  <c r="H92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55" i="20"/>
  <c r="H54" i="20"/>
  <c r="H53" i="20"/>
  <c r="H52" i="20"/>
  <c r="H51" i="20"/>
  <c r="H45" i="20"/>
  <c r="H44" i="20"/>
  <c r="H43" i="20"/>
  <c r="H41" i="20"/>
  <c r="H35" i="20"/>
  <c r="H31" i="20"/>
  <c r="H30" i="20"/>
  <c r="H29" i="20"/>
  <c r="H28" i="20"/>
  <c r="H27" i="20"/>
  <c r="H26" i="20"/>
  <c r="H25" i="20"/>
  <c r="H24" i="20"/>
  <c r="H23" i="20"/>
  <c r="H22" i="20"/>
  <c r="H21" i="20"/>
  <c r="H11" i="20"/>
  <c r="H228" i="20" s="1"/>
  <c r="H5" i="3" s="1"/>
  <c r="H8" i="20"/>
  <c r="J228" i="20"/>
  <c r="H7" i="3" s="1"/>
  <c r="I225" i="20"/>
  <c r="F223" i="20"/>
  <c r="G223" i="20" s="1"/>
  <c r="F221" i="20"/>
  <c r="G221" i="20" s="1"/>
  <c r="F220" i="20"/>
  <c r="G220" i="20" s="1"/>
  <c r="F219" i="20"/>
  <c r="G219" i="20" s="1"/>
  <c r="F218" i="20"/>
  <c r="G218" i="20" s="1"/>
  <c r="F217" i="20"/>
  <c r="G217" i="20" s="1"/>
  <c r="F216" i="20"/>
  <c r="G216" i="20" s="1"/>
  <c r="F215" i="20"/>
  <c r="G215" i="20" s="1"/>
  <c r="F214" i="20"/>
  <c r="G214" i="20" s="1"/>
  <c r="F213" i="20"/>
  <c r="G213" i="20" s="1"/>
  <c r="F212" i="20"/>
  <c r="G212" i="20" s="1"/>
  <c r="F211" i="20"/>
  <c r="G211" i="20" s="1"/>
  <c r="F210" i="20"/>
  <c r="G210" i="20" s="1"/>
  <c r="F209" i="20"/>
  <c r="G209" i="20" s="1"/>
  <c r="F208" i="20"/>
  <c r="G208" i="20" s="1"/>
  <c r="F207" i="20"/>
  <c r="G207" i="20" s="1"/>
  <c r="F206" i="20"/>
  <c r="G206" i="20" s="1"/>
  <c r="F205" i="20"/>
  <c r="G205" i="20" s="1"/>
  <c r="F204" i="20"/>
  <c r="G204" i="20" s="1"/>
  <c r="F202" i="20"/>
  <c r="G202" i="20" s="1"/>
  <c r="F200" i="20"/>
  <c r="G200" i="20" s="1"/>
  <c r="F199" i="20"/>
  <c r="G199" i="20" s="1"/>
  <c r="F198" i="20"/>
  <c r="G198" i="20" s="1"/>
  <c r="F197" i="20"/>
  <c r="G197" i="20" s="1"/>
  <c r="F196" i="20"/>
  <c r="G196" i="20" s="1"/>
  <c r="F195" i="20"/>
  <c r="G195" i="20" s="1"/>
  <c r="F194" i="20"/>
  <c r="G194" i="20" s="1"/>
  <c r="F193" i="20"/>
  <c r="G193" i="20" s="1"/>
  <c r="F192" i="20"/>
  <c r="G192" i="20" s="1"/>
  <c r="F191" i="20"/>
  <c r="G191" i="20" s="1"/>
  <c r="F190" i="20"/>
  <c r="G190" i="20" s="1"/>
  <c r="F189" i="20"/>
  <c r="G189" i="20" s="1"/>
  <c r="F188" i="20"/>
  <c r="G188" i="20" s="1"/>
  <c r="F186" i="20"/>
  <c r="G186" i="20" s="1"/>
  <c r="F184" i="20"/>
  <c r="G184" i="20" s="1"/>
  <c r="F183" i="20"/>
  <c r="G183" i="20" s="1"/>
  <c r="F181" i="20"/>
  <c r="G181" i="20" s="1"/>
  <c r="F180" i="20"/>
  <c r="G180" i="20" s="1"/>
  <c r="F179" i="20"/>
  <c r="G179" i="20" s="1"/>
  <c r="F178" i="20"/>
  <c r="G178" i="20" s="1"/>
  <c r="F176" i="20"/>
  <c r="G176" i="20" s="1"/>
  <c r="F175" i="20"/>
  <c r="G175" i="20" s="1"/>
  <c r="F174" i="20"/>
  <c r="G174" i="20" s="1"/>
  <c r="F172" i="20"/>
  <c r="G172" i="20" s="1"/>
  <c r="F171" i="20"/>
  <c r="G171" i="20" s="1"/>
  <c r="F170" i="20"/>
  <c r="G170" i="20" s="1"/>
  <c r="F169" i="20"/>
  <c r="G169" i="20" s="1"/>
  <c r="F168" i="20"/>
  <c r="G168" i="20" s="1"/>
  <c r="F167" i="20"/>
  <c r="G167" i="20" s="1"/>
  <c r="F166" i="20"/>
  <c r="G166" i="20" s="1"/>
  <c r="F165" i="20"/>
  <c r="G165" i="20" s="1"/>
  <c r="F164" i="20"/>
  <c r="G164" i="20" s="1"/>
  <c r="F163" i="20"/>
  <c r="G163" i="20" s="1"/>
  <c r="F162" i="20"/>
  <c r="G162" i="20" s="1"/>
  <c r="F161" i="20"/>
  <c r="G161" i="20" s="1"/>
  <c r="F160" i="20"/>
  <c r="G160" i="20" s="1"/>
  <c r="F159" i="20"/>
  <c r="G159" i="20" s="1"/>
  <c r="F158" i="20"/>
  <c r="G158" i="20" s="1"/>
  <c r="F157" i="20"/>
  <c r="G157" i="20" s="1"/>
  <c r="F156" i="20"/>
  <c r="G156" i="20" s="1"/>
  <c r="F155" i="20"/>
  <c r="G155" i="20" s="1"/>
  <c r="F154" i="20"/>
  <c r="G154" i="20" s="1"/>
  <c r="F153" i="20"/>
  <c r="G153" i="20" s="1"/>
  <c r="F152" i="20"/>
  <c r="G152" i="20" s="1"/>
  <c r="F151" i="20"/>
  <c r="G151" i="20" s="1"/>
  <c r="F150" i="20"/>
  <c r="G150" i="20" s="1"/>
  <c r="F149" i="20"/>
  <c r="G149" i="20" s="1"/>
  <c r="F148" i="20"/>
  <c r="G148" i="20" s="1"/>
  <c r="F147" i="20"/>
  <c r="G147" i="20" s="1"/>
  <c r="F146" i="20"/>
  <c r="G146" i="20" s="1"/>
  <c r="F145" i="20"/>
  <c r="G145" i="20" s="1"/>
  <c r="F144" i="20"/>
  <c r="G144" i="20" s="1"/>
  <c r="F143" i="20"/>
  <c r="G143" i="20" s="1"/>
  <c r="F142" i="20"/>
  <c r="G142" i="20" s="1"/>
  <c r="F141" i="20"/>
  <c r="G141" i="20" s="1"/>
  <c r="F140" i="20"/>
  <c r="G140" i="20" s="1"/>
  <c r="F139" i="20"/>
  <c r="G139" i="20" s="1"/>
  <c r="F138" i="20"/>
  <c r="G138" i="20" s="1"/>
  <c r="F137" i="20"/>
  <c r="G137" i="20" s="1"/>
  <c r="F136" i="20"/>
  <c r="G136" i="20" s="1"/>
  <c r="F135" i="20"/>
  <c r="G135" i="20" s="1"/>
  <c r="F134" i="20"/>
  <c r="G134" i="20" s="1"/>
  <c r="F133" i="20"/>
  <c r="G133" i="20" s="1"/>
  <c r="F131" i="20"/>
  <c r="G131" i="20" s="1"/>
  <c r="F130" i="20"/>
  <c r="G130" i="20" s="1"/>
  <c r="F129" i="20"/>
  <c r="G129" i="20" s="1"/>
  <c r="F128" i="20"/>
  <c r="G128" i="20" s="1"/>
  <c r="F127" i="20"/>
  <c r="G127" i="20" s="1"/>
  <c r="F126" i="20"/>
  <c r="G126" i="20" s="1"/>
  <c r="F125" i="20"/>
  <c r="G125" i="20" s="1"/>
  <c r="F123" i="20"/>
  <c r="G123" i="20" s="1"/>
  <c r="F122" i="20"/>
  <c r="G122" i="20" s="1"/>
  <c r="F121" i="20"/>
  <c r="G121" i="20" s="1"/>
  <c r="F119" i="20"/>
  <c r="G119" i="20" s="1"/>
  <c r="F118" i="20"/>
  <c r="G118" i="20" s="1"/>
  <c r="F117" i="20"/>
  <c r="G117" i="20" s="1"/>
  <c r="F116" i="20"/>
  <c r="G116" i="20" s="1"/>
  <c r="F115" i="20"/>
  <c r="G115" i="20" s="1"/>
  <c r="F114" i="20"/>
  <c r="G114" i="20" s="1"/>
  <c r="F113" i="20"/>
  <c r="G113" i="20" s="1"/>
  <c r="F112" i="20"/>
  <c r="G112" i="20" s="1"/>
  <c r="F111" i="20"/>
  <c r="G111" i="20" s="1"/>
  <c r="F110" i="20"/>
  <c r="G110" i="20" s="1"/>
  <c r="F109" i="20"/>
  <c r="G109" i="20" s="1"/>
  <c r="F107" i="20"/>
  <c r="G107" i="20" s="1"/>
  <c r="F106" i="20"/>
  <c r="G106" i="20" s="1"/>
  <c r="F104" i="20"/>
  <c r="G104" i="20" s="1"/>
  <c r="F102" i="20"/>
  <c r="G102" i="20" s="1"/>
  <c r="F101" i="20"/>
  <c r="G101" i="20" s="1"/>
  <c r="F100" i="20"/>
  <c r="G100" i="20" s="1"/>
  <c r="F98" i="20"/>
  <c r="G98" i="20" s="1"/>
  <c r="F96" i="20"/>
  <c r="G96" i="20" s="1"/>
  <c r="F94" i="20"/>
  <c r="G94" i="20" s="1"/>
  <c r="F92" i="20"/>
  <c r="G92" i="20" s="1"/>
  <c r="F90" i="20"/>
  <c r="G90" i="20" s="1"/>
  <c r="F89" i="20"/>
  <c r="G89" i="20" s="1"/>
  <c r="F88" i="20"/>
  <c r="G88" i="20" s="1"/>
  <c r="F87" i="20"/>
  <c r="G87" i="20" s="1"/>
  <c r="F86" i="20"/>
  <c r="G86" i="20" s="1"/>
  <c r="F85" i="20"/>
  <c r="G85" i="20" s="1"/>
  <c r="F84" i="20"/>
  <c r="G84" i="20" s="1"/>
  <c r="F83" i="20"/>
  <c r="G83" i="20" s="1"/>
  <c r="F82" i="20"/>
  <c r="G82" i="20" s="1"/>
  <c r="F81" i="20"/>
  <c r="G81" i="20" s="1"/>
  <c r="F80" i="20"/>
  <c r="G80" i="20" s="1"/>
  <c r="F79" i="20"/>
  <c r="G79" i="20" s="1"/>
  <c r="F78" i="20"/>
  <c r="G78" i="20" s="1"/>
  <c r="F77" i="20"/>
  <c r="G77" i="20" s="1"/>
  <c r="F76" i="20"/>
  <c r="G76" i="20" s="1"/>
  <c r="F75" i="20"/>
  <c r="G75" i="20" s="1"/>
  <c r="F74" i="20"/>
  <c r="G74" i="20" s="1"/>
  <c r="F73" i="20"/>
  <c r="G73" i="20" s="1"/>
  <c r="F72" i="20"/>
  <c r="G72" i="20" s="1"/>
  <c r="F71" i="20"/>
  <c r="G71" i="20" s="1"/>
  <c r="F70" i="20"/>
  <c r="G70" i="20" s="1"/>
  <c r="F69" i="20"/>
  <c r="G69" i="20" s="1"/>
  <c r="F68" i="20"/>
  <c r="G68" i="20" s="1"/>
  <c r="F67" i="20"/>
  <c r="G67" i="20" s="1"/>
  <c r="F66" i="20"/>
  <c r="G66" i="20" s="1"/>
  <c r="F65" i="20"/>
  <c r="G65" i="20" s="1"/>
  <c r="F64" i="20"/>
  <c r="G64" i="20" s="1"/>
  <c r="F63" i="20"/>
  <c r="G63" i="20" s="1"/>
  <c r="F62" i="20"/>
  <c r="G62" i="20" s="1"/>
  <c r="F61" i="20"/>
  <c r="G61" i="20" s="1"/>
  <c r="F60" i="20"/>
  <c r="G60" i="20" s="1"/>
  <c r="F59" i="20"/>
  <c r="G59" i="20" s="1"/>
  <c r="F58" i="20"/>
  <c r="G58" i="20" s="1"/>
  <c r="F57" i="20"/>
  <c r="G57" i="20" s="1"/>
  <c r="F55" i="20"/>
  <c r="G55" i="20" s="1"/>
  <c r="F54" i="20"/>
  <c r="G54" i="20" s="1"/>
  <c r="F53" i="20"/>
  <c r="G53" i="20" s="1"/>
  <c r="F52" i="20"/>
  <c r="G52" i="20" s="1"/>
  <c r="F51" i="20"/>
  <c r="G51" i="20" s="1"/>
  <c r="F49" i="20"/>
  <c r="G49" i="20" s="1"/>
  <c r="F47" i="20"/>
  <c r="G47" i="20" s="1"/>
  <c r="F45" i="20"/>
  <c r="G45" i="20" s="1"/>
  <c r="F44" i="20"/>
  <c r="G44" i="20" s="1"/>
  <c r="F43" i="20"/>
  <c r="G43" i="20" s="1"/>
  <c r="F41" i="20"/>
  <c r="G41" i="20" s="1"/>
  <c r="F40" i="20"/>
  <c r="G40" i="20" s="1"/>
  <c r="F38" i="20"/>
  <c r="G38" i="20" s="1"/>
  <c r="F37" i="20"/>
  <c r="G37" i="20" s="1"/>
  <c r="F35" i="20"/>
  <c r="G35" i="20" s="1"/>
  <c r="F33" i="20"/>
  <c r="G33" i="20" s="1"/>
  <c r="F31" i="20"/>
  <c r="G31" i="20" s="1"/>
  <c r="F30" i="20"/>
  <c r="G30" i="20" s="1"/>
  <c r="F29" i="20"/>
  <c r="G29" i="20" s="1"/>
  <c r="F28" i="20"/>
  <c r="G28" i="20" s="1"/>
  <c r="F27" i="20"/>
  <c r="G27" i="20" s="1"/>
  <c r="F26" i="20"/>
  <c r="G26" i="20" s="1"/>
  <c r="F25" i="20"/>
  <c r="G25" i="20" s="1"/>
  <c r="F24" i="20"/>
  <c r="G24" i="20" s="1"/>
  <c r="F23" i="20"/>
  <c r="G23" i="20" s="1"/>
  <c r="F22" i="20"/>
  <c r="G22" i="20" s="1"/>
  <c r="F21" i="20"/>
  <c r="G21" i="20" s="1"/>
  <c r="F20" i="20"/>
  <c r="G20" i="20" s="1"/>
  <c r="F19" i="20"/>
  <c r="G19" i="20" s="1"/>
  <c r="F18" i="20"/>
  <c r="G18" i="20" s="1"/>
  <c r="F17" i="20"/>
  <c r="G17" i="20" s="1"/>
  <c r="F16" i="20"/>
  <c r="G16" i="20" s="1"/>
  <c r="B16" i="20"/>
  <c r="I16" i="20" s="1"/>
  <c r="F14" i="20"/>
  <c r="G14" i="20" s="1"/>
  <c r="F13" i="20"/>
  <c r="G13" i="20" s="1"/>
  <c r="F11" i="20"/>
  <c r="G11" i="20" s="1"/>
  <c r="F9" i="20"/>
  <c r="G9" i="20" s="1"/>
  <c r="I6" i="20"/>
  <c r="H21" i="3"/>
  <c r="K38" i="19"/>
  <c r="J38" i="19"/>
  <c r="H20" i="3" s="1"/>
  <c r="H34" i="19"/>
  <c r="H33" i="19"/>
  <c r="H32" i="19"/>
  <c r="H31" i="19"/>
  <c r="F34" i="19"/>
  <c r="G34" i="19" s="1"/>
  <c r="F33" i="19"/>
  <c r="G33" i="19" s="1"/>
  <c r="F32" i="19"/>
  <c r="G32" i="19" s="1"/>
  <c r="F31" i="19"/>
  <c r="G31" i="19" s="1"/>
  <c r="L27" i="19"/>
  <c r="L28" i="19"/>
  <c r="F29" i="19"/>
  <c r="G29" i="19" s="1"/>
  <c r="F28" i="19"/>
  <c r="G28" i="19" s="1"/>
  <c r="B29" i="19"/>
  <c r="J29" i="19" s="1"/>
  <c r="I36" i="19"/>
  <c r="I38" i="19" s="1"/>
  <c r="H19" i="3" s="1"/>
  <c r="L7" i="19"/>
  <c r="L38" i="19" s="1"/>
  <c r="H22" i="3" s="1"/>
  <c r="H24" i="19"/>
  <c r="H23" i="19"/>
  <c r="H21" i="19"/>
  <c r="H20" i="19"/>
  <c r="H18" i="19"/>
  <c r="H17" i="19"/>
  <c r="H16" i="19"/>
  <c r="H15" i="19"/>
  <c r="H14" i="19"/>
  <c r="H13" i="19"/>
  <c r="H12" i="19"/>
  <c r="H10" i="19"/>
  <c r="H9" i="19"/>
  <c r="F24" i="19"/>
  <c r="G24" i="19" s="1"/>
  <c r="F23" i="19"/>
  <c r="G23" i="19" s="1"/>
  <c r="F21" i="19"/>
  <c r="G21" i="19" s="1"/>
  <c r="F20" i="19"/>
  <c r="G20" i="19" s="1"/>
  <c r="F18" i="19"/>
  <c r="G18" i="19" s="1"/>
  <c r="F17" i="19"/>
  <c r="G17" i="19" s="1"/>
  <c r="F16" i="19"/>
  <c r="G16" i="19" s="1"/>
  <c r="F15" i="19"/>
  <c r="G15" i="19" s="1"/>
  <c r="F14" i="19"/>
  <c r="G14" i="19" s="1"/>
  <c r="F13" i="19"/>
  <c r="G13" i="19" s="1"/>
  <c r="F12" i="19"/>
  <c r="G12" i="19" s="1"/>
  <c r="F9" i="19"/>
  <c r="G9" i="19" s="1"/>
  <c r="F10" i="19"/>
  <c r="G10" i="19" s="1"/>
  <c r="B228" i="20" l="1"/>
  <c r="B38" i="19"/>
  <c r="I228" i="20"/>
  <c r="H6" i="3" s="1"/>
  <c r="H11" i="3" s="1"/>
  <c r="H13" i="3" s="1"/>
  <c r="H38" i="19"/>
  <c r="H18" i="3" s="1"/>
  <c r="H24" i="3" s="1"/>
  <c r="F7" i="19"/>
  <c r="G7" i="19" s="1"/>
  <c r="I9" i="4"/>
  <c r="H8" i="5" s="1"/>
  <c r="L120" i="18"/>
  <c r="L102" i="18"/>
  <c r="L101" i="18"/>
  <c r="L99" i="18"/>
  <c r="L48" i="18"/>
  <c r="L47" i="18"/>
  <c r="L46" i="18"/>
  <c r="L45" i="18"/>
  <c r="L6" i="18"/>
  <c r="L126" i="18" s="1"/>
  <c r="I10" i="4" s="1"/>
  <c r="H9" i="5" s="1"/>
  <c r="J105" i="18"/>
  <c r="J49" i="18"/>
  <c r="J35" i="18"/>
  <c r="J34" i="18"/>
  <c r="I121" i="18"/>
  <c r="I115" i="18"/>
  <c r="I114" i="18"/>
  <c r="I113" i="18"/>
  <c r="I112" i="18"/>
  <c r="I107" i="18"/>
  <c r="I106" i="18"/>
  <c r="I103" i="18"/>
  <c r="I97" i="18"/>
  <c r="I68" i="18"/>
  <c r="I67" i="18"/>
  <c r="I66" i="18"/>
  <c r="I65" i="18"/>
  <c r="I64" i="18"/>
  <c r="I63" i="18"/>
  <c r="I62" i="18"/>
  <c r="I61" i="18"/>
  <c r="I60" i="18"/>
  <c r="I59" i="18"/>
  <c r="I58" i="18"/>
  <c r="I54" i="18"/>
  <c r="I53" i="18"/>
  <c r="I50" i="18"/>
  <c r="I41" i="18"/>
  <c r="I40" i="18"/>
  <c r="I39" i="18"/>
  <c r="I37" i="18"/>
  <c r="I36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H84" i="18"/>
  <c r="H122" i="18"/>
  <c r="H118" i="18"/>
  <c r="H117" i="18"/>
  <c r="H110" i="18"/>
  <c r="H109" i="18"/>
  <c r="H108" i="18"/>
  <c r="H95" i="18"/>
  <c r="H94" i="18"/>
  <c r="H93" i="18"/>
  <c r="H92" i="18"/>
  <c r="H91" i="18"/>
  <c r="H90" i="18"/>
  <c r="H89" i="18"/>
  <c r="H88" i="18"/>
  <c r="H87" i="18"/>
  <c r="H86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56" i="18"/>
  <c r="H43" i="18"/>
  <c r="H42" i="18"/>
  <c r="H32" i="18"/>
  <c r="H31" i="18"/>
  <c r="H30" i="18"/>
  <c r="H29" i="18"/>
  <c r="H28" i="18"/>
  <c r="H27" i="18"/>
  <c r="H26" i="18"/>
  <c r="H25" i="18"/>
  <c r="H24" i="18"/>
  <c r="K126" i="18"/>
  <c r="H126" i="18"/>
  <c r="I6" i="4" s="1"/>
  <c r="H5" i="5" s="1"/>
  <c r="F122" i="18"/>
  <c r="G122" i="18" s="1"/>
  <c r="F121" i="18"/>
  <c r="G121" i="18" s="1"/>
  <c r="F120" i="18"/>
  <c r="G120" i="18" s="1"/>
  <c r="F118" i="18"/>
  <c r="G118" i="18" s="1"/>
  <c r="F117" i="18"/>
  <c r="G117" i="18" s="1"/>
  <c r="F115" i="18"/>
  <c r="G115" i="18" s="1"/>
  <c r="F114" i="18"/>
  <c r="G114" i="18" s="1"/>
  <c r="F113" i="18"/>
  <c r="G113" i="18" s="1"/>
  <c r="F112" i="18"/>
  <c r="G112" i="18" s="1"/>
  <c r="B113" i="18"/>
  <c r="F110" i="18"/>
  <c r="G110" i="18" s="1"/>
  <c r="F109" i="18"/>
  <c r="G109" i="18" s="1"/>
  <c r="F108" i="18"/>
  <c r="G108" i="18" s="1"/>
  <c r="F107" i="18"/>
  <c r="G107" i="18" s="1"/>
  <c r="F106" i="18"/>
  <c r="G106" i="18" s="1"/>
  <c r="F105" i="18"/>
  <c r="G105" i="18" s="1"/>
  <c r="F103" i="18"/>
  <c r="G103" i="18" s="1"/>
  <c r="F102" i="18"/>
  <c r="G102" i="18" s="1"/>
  <c r="F101" i="18"/>
  <c r="G101" i="18" s="1"/>
  <c r="F99" i="18"/>
  <c r="G99" i="18" s="1"/>
  <c r="F97" i="18"/>
  <c r="G97" i="18" s="1"/>
  <c r="F95" i="18"/>
  <c r="G95" i="18" s="1"/>
  <c r="F94" i="18"/>
  <c r="G94" i="18" s="1"/>
  <c r="F93" i="18"/>
  <c r="G93" i="18" s="1"/>
  <c r="F92" i="18"/>
  <c r="G92" i="18" s="1"/>
  <c r="F91" i="18"/>
  <c r="G91" i="18" s="1"/>
  <c r="F90" i="18"/>
  <c r="G90" i="18" s="1"/>
  <c r="F89" i="18"/>
  <c r="G89" i="18" s="1"/>
  <c r="F88" i="18"/>
  <c r="G88" i="18" s="1"/>
  <c r="F87" i="18"/>
  <c r="G87" i="18" s="1"/>
  <c r="F86" i="18"/>
  <c r="G86" i="18" s="1"/>
  <c r="F84" i="18"/>
  <c r="G84" i="18" s="1"/>
  <c r="F83" i="18"/>
  <c r="G83" i="18" s="1"/>
  <c r="F82" i="18"/>
  <c r="G82" i="18" s="1"/>
  <c r="F81" i="18"/>
  <c r="G81" i="18" s="1"/>
  <c r="F80" i="18"/>
  <c r="G80" i="18" s="1"/>
  <c r="F79" i="18"/>
  <c r="G79" i="18" s="1"/>
  <c r="F78" i="18"/>
  <c r="G78" i="18" s="1"/>
  <c r="F77" i="18"/>
  <c r="G77" i="18" s="1"/>
  <c r="F76" i="18"/>
  <c r="G76" i="18" s="1"/>
  <c r="F75" i="18"/>
  <c r="G75" i="18" s="1"/>
  <c r="F74" i="18"/>
  <c r="G74" i="18" s="1"/>
  <c r="F73" i="18"/>
  <c r="G73" i="18" s="1"/>
  <c r="F72" i="18"/>
  <c r="G72" i="18" s="1"/>
  <c r="F71" i="18"/>
  <c r="G71" i="18" s="1"/>
  <c r="F70" i="18"/>
  <c r="G70" i="18" s="1"/>
  <c r="F69" i="18"/>
  <c r="G69" i="18" s="1"/>
  <c r="F68" i="18"/>
  <c r="G68" i="18" s="1"/>
  <c r="F67" i="18"/>
  <c r="G67" i="18" s="1"/>
  <c r="F66" i="18"/>
  <c r="G66" i="18" s="1"/>
  <c r="F65" i="18"/>
  <c r="G65" i="18" s="1"/>
  <c r="F64" i="18"/>
  <c r="G64" i="18" s="1"/>
  <c r="F63" i="18"/>
  <c r="G63" i="18" s="1"/>
  <c r="F62" i="18"/>
  <c r="G62" i="18" s="1"/>
  <c r="F61" i="18"/>
  <c r="G61" i="18" s="1"/>
  <c r="F60" i="18"/>
  <c r="G60" i="18" s="1"/>
  <c r="F59" i="18"/>
  <c r="G59" i="18" s="1"/>
  <c r="F58" i="18"/>
  <c r="G58" i="18" s="1"/>
  <c r="F56" i="18"/>
  <c r="G56" i="18" s="1"/>
  <c r="F54" i="18"/>
  <c r="G54" i="18" s="1"/>
  <c r="F53" i="18"/>
  <c r="G53" i="18" s="1"/>
  <c r="F52" i="18"/>
  <c r="G52" i="18" s="1"/>
  <c r="B52" i="18"/>
  <c r="J52" i="18" s="1"/>
  <c r="J126" i="18" l="1"/>
  <c r="I8" i="4" s="1"/>
  <c r="H7" i="5" s="1"/>
  <c r="F50" i="18"/>
  <c r="G50" i="18" s="1"/>
  <c r="F49" i="18"/>
  <c r="G49" i="18" s="1"/>
  <c r="F48" i="18"/>
  <c r="G48" i="18" s="1"/>
  <c r="F47" i="18"/>
  <c r="G47" i="18" s="1"/>
  <c r="F46" i="18"/>
  <c r="G46" i="18" s="1"/>
  <c r="F45" i="18"/>
  <c r="G45" i="18" s="1"/>
  <c r="F43" i="18"/>
  <c r="G43" i="18" s="1"/>
  <c r="F42" i="18"/>
  <c r="G42" i="18" s="1"/>
  <c r="F41" i="18"/>
  <c r="G41" i="18" s="1"/>
  <c r="F40" i="18"/>
  <c r="G40" i="18" s="1"/>
  <c r="F39" i="18"/>
  <c r="G39" i="18" s="1"/>
  <c r="F37" i="18"/>
  <c r="G37" i="18" s="1"/>
  <c r="F36" i="18"/>
  <c r="G36" i="18" s="1"/>
  <c r="F35" i="18"/>
  <c r="G35" i="18" s="1"/>
  <c r="F34" i="18"/>
  <c r="G34" i="18" s="1"/>
  <c r="F32" i="18"/>
  <c r="G32" i="18" s="1"/>
  <c r="F31" i="18"/>
  <c r="G31" i="18" s="1"/>
  <c r="F30" i="18"/>
  <c r="G30" i="18" s="1"/>
  <c r="F29" i="18"/>
  <c r="G29" i="18" s="1"/>
  <c r="F28" i="18"/>
  <c r="G28" i="18" s="1"/>
  <c r="F27" i="18"/>
  <c r="G27" i="18" s="1"/>
  <c r="F26" i="18"/>
  <c r="G26" i="18" s="1"/>
  <c r="F25" i="18"/>
  <c r="G25" i="18" s="1"/>
  <c r="F24" i="18"/>
  <c r="G24" i="18" s="1"/>
  <c r="F23" i="18"/>
  <c r="G23" i="18" s="1"/>
  <c r="F22" i="18"/>
  <c r="G22" i="18" s="1"/>
  <c r="F21" i="18"/>
  <c r="G21" i="18" s="1"/>
  <c r="F20" i="18"/>
  <c r="G20" i="18" s="1"/>
  <c r="F19" i="18"/>
  <c r="G19" i="18" s="1"/>
  <c r="F18" i="18"/>
  <c r="G18" i="18" s="1"/>
  <c r="F17" i="18"/>
  <c r="G17" i="18" s="1"/>
  <c r="F16" i="18"/>
  <c r="G16" i="18" s="1"/>
  <c r="F15" i="18"/>
  <c r="G15" i="18" s="1"/>
  <c r="F14" i="18"/>
  <c r="G14" i="18" s="1"/>
  <c r="F13" i="18"/>
  <c r="G13" i="18" s="1"/>
  <c r="F12" i="18"/>
  <c r="G12" i="18" s="1"/>
  <c r="F11" i="18"/>
  <c r="G11" i="18" s="1"/>
  <c r="F10" i="18"/>
  <c r="G10" i="18" s="1"/>
  <c r="F9" i="18"/>
  <c r="G9" i="18" s="1"/>
  <c r="F8" i="18"/>
  <c r="G8" i="18" s="1"/>
  <c r="B8" i="18"/>
  <c r="F6" i="18"/>
  <c r="G6" i="18" s="1"/>
  <c r="I124" i="18"/>
  <c r="K7" i="17"/>
  <c r="K47" i="17" s="1"/>
  <c r="I21" i="4" s="1"/>
  <c r="H21" i="5" s="1"/>
  <c r="J8" i="17"/>
  <c r="I9" i="17"/>
  <c r="H10" i="17"/>
  <c r="L47" i="17"/>
  <c r="I22" i="4" s="1"/>
  <c r="H22" i="5" s="1"/>
  <c r="J47" i="17"/>
  <c r="I20" i="4" s="1"/>
  <c r="H20" i="5" s="1"/>
  <c r="I47" i="17"/>
  <c r="I19" i="4" s="1"/>
  <c r="H19" i="5" s="1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F10" i="17"/>
  <c r="G10" i="17" s="1"/>
  <c r="F9" i="17"/>
  <c r="G9" i="17" s="1"/>
  <c r="F8" i="17"/>
  <c r="G8" i="17" s="1"/>
  <c r="F7" i="17"/>
  <c r="G7" i="17" s="1"/>
  <c r="F46" i="17"/>
  <c r="G46" i="17" s="1"/>
  <c r="F45" i="17"/>
  <c r="G45" i="17" s="1"/>
  <c r="F44" i="17"/>
  <c r="G44" i="17" s="1"/>
  <c r="F43" i="17"/>
  <c r="G43" i="17" s="1"/>
  <c r="F42" i="17"/>
  <c r="G42" i="17" s="1"/>
  <c r="F41" i="17"/>
  <c r="G41" i="17" s="1"/>
  <c r="F40" i="17"/>
  <c r="G40" i="17" s="1"/>
  <c r="F39" i="17"/>
  <c r="G39" i="17" s="1"/>
  <c r="F38" i="17"/>
  <c r="G38" i="17" s="1"/>
  <c r="F37" i="17"/>
  <c r="G37" i="17" s="1"/>
  <c r="F36" i="17"/>
  <c r="G36" i="17" s="1"/>
  <c r="F35" i="17"/>
  <c r="G35" i="17" s="1"/>
  <c r="F34" i="17"/>
  <c r="G34" i="17" s="1"/>
  <c r="F33" i="17"/>
  <c r="G33" i="17" s="1"/>
  <c r="F32" i="17"/>
  <c r="G32" i="17" s="1"/>
  <c r="F31" i="17"/>
  <c r="G31" i="17" s="1"/>
  <c r="F30" i="17"/>
  <c r="G30" i="17" s="1"/>
  <c r="F29" i="17"/>
  <c r="G29" i="17" s="1"/>
  <c r="F28" i="17"/>
  <c r="G28" i="17" s="1"/>
  <c r="F27" i="17"/>
  <c r="G27" i="17" s="1"/>
  <c r="B31" i="17"/>
  <c r="F16" i="17"/>
  <c r="G16" i="17" s="1"/>
  <c r="F15" i="17"/>
  <c r="G15" i="17" s="1"/>
  <c r="F14" i="17"/>
  <c r="G14" i="17" s="1"/>
  <c r="F13" i="17"/>
  <c r="G13" i="17" s="1"/>
  <c r="F12" i="17"/>
  <c r="G12" i="17" s="1"/>
  <c r="F23" i="17"/>
  <c r="G23" i="17" s="1"/>
  <c r="F24" i="17"/>
  <c r="G24" i="17" s="1"/>
  <c r="B126" i="18" l="1"/>
  <c r="I8" i="18"/>
  <c r="I126" i="18" s="1"/>
  <c r="I7" i="4" s="1"/>
  <c r="H47" i="17"/>
  <c r="I18" i="4" s="1"/>
  <c r="G14" i="14"/>
  <c r="F14" i="14"/>
  <c r="H6" i="5" l="1"/>
  <c r="I12" i="4"/>
  <c r="H18" i="5"/>
  <c r="H24" i="5" s="1"/>
  <c r="H26" i="5" s="1"/>
  <c r="I24" i="4"/>
  <c r="I26" i="4" s="1"/>
  <c r="H16" i="5"/>
  <c r="H11" i="5"/>
  <c r="B12" i="14"/>
  <c r="B11" i="14"/>
  <c r="B10" i="14"/>
  <c r="B9" i="14"/>
  <c r="B8" i="14"/>
  <c r="R28" i="9" l="1"/>
  <c r="Q28" i="9"/>
  <c r="P28" i="9"/>
  <c r="J25" i="5"/>
  <c r="R19" i="15"/>
  <c r="Q19" i="15"/>
  <c r="P19" i="15"/>
  <c r="J20" i="5" s="1"/>
  <c r="Q27" i="14"/>
  <c r="J21" i="5" s="1"/>
  <c r="P27" i="14"/>
  <c r="H8" i="14"/>
  <c r="H22" i="14"/>
  <c r="H21" i="14"/>
  <c r="H19" i="14"/>
  <c r="H18" i="14"/>
  <c r="H16" i="14"/>
  <c r="H14" i="14"/>
  <c r="H12" i="14"/>
  <c r="H11" i="14"/>
  <c r="H10" i="14"/>
  <c r="H9" i="14"/>
  <c r="N27" i="14" l="1"/>
  <c r="B279" i="16" l="1"/>
  <c r="B281" i="16" s="1"/>
  <c r="H276" i="16"/>
  <c r="F276" i="16"/>
  <c r="G276" i="16" s="1"/>
  <c r="H275" i="16"/>
  <c r="F275" i="16"/>
  <c r="G275" i="16" s="1"/>
  <c r="H274" i="16"/>
  <c r="F274" i="16"/>
  <c r="G274" i="16" s="1"/>
  <c r="H273" i="16"/>
  <c r="F273" i="16"/>
  <c r="G273" i="16" s="1"/>
  <c r="H272" i="16"/>
  <c r="F272" i="16"/>
  <c r="G272" i="16" s="1"/>
  <c r="H271" i="16"/>
  <c r="F271" i="16"/>
  <c r="G271" i="16" s="1"/>
  <c r="H270" i="16"/>
  <c r="F270" i="16"/>
  <c r="G270" i="16" s="1"/>
  <c r="H269" i="16"/>
  <c r="F269" i="16"/>
  <c r="G269" i="16" s="1"/>
  <c r="H268" i="16"/>
  <c r="F268" i="16"/>
  <c r="G268" i="16" s="1"/>
  <c r="H267" i="16"/>
  <c r="F267" i="16"/>
  <c r="G267" i="16" s="1"/>
  <c r="H266" i="16"/>
  <c r="F266" i="16"/>
  <c r="G266" i="16" s="1"/>
  <c r="H265" i="16"/>
  <c r="F265" i="16"/>
  <c r="G265" i="16" s="1"/>
  <c r="H264" i="16"/>
  <c r="F264" i="16"/>
  <c r="G264" i="16" s="1"/>
  <c r="H263" i="16"/>
  <c r="F263" i="16"/>
  <c r="G263" i="16" s="1"/>
  <c r="H262" i="16"/>
  <c r="F262" i="16"/>
  <c r="G262" i="16" s="1"/>
  <c r="H261" i="16"/>
  <c r="F261" i="16"/>
  <c r="G261" i="16" s="1"/>
  <c r="H260" i="16"/>
  <c r="F260" i="16"/>
  <c r="G260" i="16" s="1"/>
  <c r="H259" i="16"/>
  <c r="F259" i="16"/>
  <c r="G259" i="16" s="1"/>
  <c r="H258" i="16"/>
  <c r="F258" i="16"/>
  <c r="G258" i="16" s="1"/>
  <c r="I257" i="16"/>
  <c r="F257" i="16"/>
  <c r="G257" i="16" s="1"/>
  <c r="I256" i="16"/>
  <c r="F256" i="16"/>
  <c r="G256" i="16" s="1"/>
  <c r="I255" i="16"/>
  <c r="F255" i="16"/>
  <c r="G255" i="16" s="1"/>
  <c r="I254" i="16"/>
  <c r="F254" i="16"/>
  <c r="G254" i="16" s="1"/>
  <c r="I253" i="16"/>
  <c r="F253" i="16"/>
  <c r="G253" i="16" s="1"/>
  <c r="J252" i="16"/>
  <c r="F252" i="16"/>
  <c r="G252" i="16" s="1"/>
  <c r="J251" i="16"/>
  <c r="F251" i="16"/>
  <c r="G251" i="16" s="1"/>
  <c r="J250" i="16"/>
  <c r="F250" i="16"/>
  <c r="G250" i="16" s="1"/>
  <c r="J249" i="16"/>
  <c r="F249" i="16"/>
  <c r="G249" i="16" s="1"/>
  <c r="J248" i="16"/>
  <c r="F248" i="16"/>
  <c r="G248" i="16" s="1"/>
  <c r="J247" i="16"/>
  <c r="F247" i="16"/>
  <c r="G247" i="16" s="1"/>
  <c r="J246" i="16"/>
  <c r="F246" i="16"/>
  <c r="G246" i="16" s="1"/>
  <c r="J245" i="16"/>
  <c r="F245" i="16"/>
  <c r="G245" i="16" s="1"/>
  <c r="J244" i="16"/>
  <c r="F244" i="16"/>
  <c r="G244" i="16" s="1"/>
  <c r="J243" i="16"/>
  <c r="F243" i="16"/>
  <c r="G243" i="16" s="1"/>
  <c r="J242" i="16"/>
  <c r="F242" i="16"/>
  <c r="G242" i="16" s="1"/>
  <c r="J241" i="16"/>
  <c r="F241" i="16"/>
  <c r="G241" i="16" s="1"/>
  <c r="J240" i="16"/>
  <c r="F240" i="16"/>
  <c r="G240" i="16" s="1"/>
  <c r="L239" i="16"/>
  <c r="F239" i="16"/>
  <c r="G239" i="16" s="1"/>
  <c r="L238" i="16"/>
  <c r="F238" i="16"/>
  <c r="G238" i="16" s="1"/>
  <c r="L237" i="16"/>
  <c r="F237" i="16"/>
  <c r="G237" i="16" s="1"/>
  <c r="L236" i="16"/>
  <c r="F236" i="16"/>
  <c r="G236" i="16" s="1"/>
  <c r="L235" i="16"/>
  <c r="F235" i="16"/>
  <c r="G235" i="16" s="1"/>
  <c r="L234" i="16"/>
  <c r="F234" i="16"/>
  <c r="G234" i="16" s="1"/>
  <c r="L233" i="16"/>
  <c r="F233" i="16"/>
  <c r="G233" i="16" s="1"/>
  <c r="L232" i="16"/>
  <c r="F232" i="16"/>
  <c r="G232" i="16" s="1"/>
  <c r="L231" i="16"/>
  <c r="F231" i="16"/>
  <c r="G231" i="16" s="1"/>
  <c r="L230" i="16"/>
  <c r="F230" i="16"/>
  <c r="G230" i="16" s="1"/>
  <c r="L229" i="16"/>
  <c r="F229" i="16"/>
  <c r="G229" i="16" s="1"/>
  <c r="L228" i="16"/>
  <c r="F228" i="16"/>
  <c r="G228" i="16" s="1"/>
  <c r="L227" i="16"/>
  <c r="F227" i="16"/>
  <c r="G227" i="16" s="1"/>
  <c r="L226" i="16"/>
  <c r="F226" i="16"/>
  <c r="G226" i="16" s="1"/>
  <c r="H223" i="16"/>
  <c r="F223" i="16"/>
  <c r="G223" i="16" s="1"/>
  <c r="H222" i="16"/>
  <c r="F222" i="16"/>
  <c r="G222" i="16" s="1"/>
  <c r="I221" i="16"/>
  <c r="F221" i="16"/>
  <c r="G221" i="16" s="1"/>
  <c r="L219" i="16"/>
  <c r="F219" i="16"/>
  <c r="G219" i="16" s="1"/>
  <c r="H217" i="16"/>
  <c r="F217" i="16"/>
  <c r="G217" i="16" s="1"/>
  <c r="H216" i="16"/>
  <c r="F216" i="16"/>
  <c r="G216" i="16" s="1"/>
  <c r="H215" i="16"/>
  <c r="F215" i="16"/>
  <c r="G215" i="16" s="1"/>
  <c r="H214" i="16"/>
  <c r="F214" i="16"/>
  <c r="G214" i="16" s="1"/>
  <c r="H213" i="16"/>
  <c r="F213" i="16"/>
  <c r="G213" i="16" s="1"/>
  <c r="H211" i="16"/>
  <c r="F211" i="16"/>
  <c r="G211" i="16" s="1"/>
  <c r="H210" i="16"/>
  <c r="F210" i="16"/>
  <c r="G210" i="16" s="1"/>
  <c r="J209" i="16"/>
  <c r="F209" i="16"/>
  <c r="G209" i="16" s="1"/>
  <c r="H207" i="16"/>
  <c r="F207" i="16"/>
  <c r="G207" i="16" s="1"/>
  <c r="H206" i="16"/>
  <c r="F206" i="16"/>
  <c r="G206" i="16" s="1"/>
  <c r="L204" i="16"/>
  <c r="F204" i="16"/>
  <c r="G204" i="16" s="1"/>
  <c r="L202" i="16"/>
  <c r="F202" i="16"/>
  <c r="G202" i="16" s="1"/>
  <c r="L201" i="16"/>
  <c r="F201" i="16"/>
  <c r="G201" i="16" s="1"/>
  <c r="L200" i="16"/>
  <c r="F200" i="16"/>
  <c r="G200" i="16" s="1"/>
  <c r="L199" i="16"/>
  <c r="F199" i="16"/>
  <c r="G199" i="16" s="1"/>
  <c r="L198" i="16"/>
  <c r="F198" i="16"/>
  <c r="G198" i="16" s="1"/>
  <c r="L197" i="16"/>
  <c r="F197" i="16"/>
  <c r="G197" i="16" s="1"/>
  <c r="L196" i="16"/>
  <c r="F196" i="16"/>
  <c r="G196" i="16" s="1"/>
  <c r="L195" i="16"/>
  <c r="F195" i="16"/>
  <c r="G195" i="16" s="1"/>
  <c r="L194" i="16"/>
  <c r="F194" i="16"/>
  <c r="G194" i="16" s="1"/>
  <c r="L193" i="16"/>
  <c r="F193" i="16"/>
  <c r="G193" i="16" s="1"/>
  <c r="L192" i="16"/>
  <c r="F192" i="16"/>
  <c r="G192" i="16" s="1"/>
  <c r="L191" i="16"/>
  <c r="F191" i="16"/>
  <c r="G191" i="16" s="1"/>
  <c r="L190" i="16"/>
  <c r="F190" i="16"/>
  <c r="G190" i="16" s="1"/>
  <c r="L189" i="16"/>
  <c r="F189" i="16"/>
  <c r="G189" i="16" s="1"/>
  <c r="L188" i="16"/>
  <c r="F188" i="16"/>
  <c r="G188" i="16" s="1"/>
  <c r="L187" i="16"/>
  <c r="F187" i="16"/>
  <c r="G187" i="16" s="1"/>
  <c r="L185" i="16"/>
  <c r="F185" i="16"/>
  <c r="G185" i="16" s="1"/>
  <c r="L184" i="16"/>
  <c r="F184" i="16"/>
  <c r="G184" i="16" s="1"/>
  <c r="L182" i="16"/>
  <c r="F182" i="16"/>
  <c r="G182" i="16" s="1"/>
  <c r="H180" i="16"/>
  <c r="F180" i="16"/>
  <c r="G180" i="16" s="1"/>
  <c r="H179" i="16"/>
  <c r="F179" i="16"/>
  <c r="G179" i="16" s="1"/>
  <c r="H178" i="16"/>
  <c r="F178" i="16"/>
  <c r="G178" i="16" s="1"/>
  <c r="H177" i="16"/>
  <c r="F177" i="16"/>
  <c r="G177" i="16" s="1"/>
  <c r="I176" i="16"/>
  <c r="F176" i="16"/>
  <c r="G176" i="16" s="1"/>
  <c r="I175" i="16"/>
  <c r="F175" i="16"/>
  <c r="G175" i="16" s="1"/>
  <c r="J174" i="16"/>
  <c r="F174" i="16"/>
  <c r="G174" i="16" s="1"/>
  <c r="J173" i="16"/>
  <c r="F173" i="16"/>
  <c r="G173" i="16" s="1"/>
  <c r="H172" i="16"/>
  <c r="F172" i="16"/>
  <c r="G172" i="16" s="1"/>
  <c r="I171" i="16"/>
  <c r="F171" i="16"/>
  <c r="G171" i="16" s="1"/>
  <c r="I170" i="16"/>
  <c r="F170" i="16"/>
  <c r="G170" i="16" s="1"/>
  <c r="I169" i="16"/>
  <c r="F169" i="16"/>
  <c r="G169" i="16" s="1"/>
  <c r="I168" i="16"/>
  <c r="F168" i="16"/>
  <c r="G168" i="16" s="1"/>
  <c r="J167" i="16"/>
  <c r="F167" i="16"/>
  <c r="G167" i="16" s="1"/>
  <c r="J166" i="16"/>
  <c r="F166" i="16"/>
  <c r="G166" i="16" s="1"/>
  <c r="J165" i="16"/>
  <c r="F165" i="16"/>
  <c r="G165" i="16" s="1"/>
  <c r="K164" i="16"/>
  <c r="F164" i="16"/>
  <c r="G164" i="16" s="1"/>
  <c r="K163" i="16"/>
  <c r="F163" i="16"/>
  <c r="G163" i="16" s="1"/>
  <c r="K162" i="16"/>
  <c r="F162" i="16"/>
  <c r="G162" i="16" s="1"/>
  <c r="L161" i="16"/>
  <c r="F161" i="16"/>
  <c r="G161" i="16" s="1"/>
  <c r="L160" i="16"/>
  <c r="F160" i="16"/>
  <c r="G160" i="16" s="1"/>
  <c r="L159" i="16"/>
  <c r="F159" i="16"/>
  <c r="G159" i="16" s="1"/>
  <c r="L158" i="16"/>
  <c r="F158" i="16"/>
  <c r="G158" i="16" s="1"/>
  <c r="L157" i="16"/>
  <c r="F157" i="16"/>
  <c r="G157" i="16" s="1"/>
  <c r="L156" i="16"/>
  <c r="F156" i="16"/>
  <c r="G156" i="16" s="1"/>
  <c r="L155" i="16"/>
  <c r="F155" i="16"/>
  <c r="G155" i="16" s="1"/>
  <c r="L154" i="16"/>
  <c r="F154" i="16"/>
  <c r="G154" i="16" s="1"/>
  <c r="L153" i="16"/>
  <c r="F153" i="16"/>
  <c r="G153" i="16" s="1"/>
  <c r="L152" i="16"/>
  <c r="F152" i="16"/>
  <c r="G152" i="16" s="1"/>
  <c r="L151" i="16"/>
  <c r="F151" i="16"/>
  <c r="G151" i="16" s="1"/>
  <c r="L150" i="16"/>
  <c r="F150" i="16"/>
  <c r="G150" i="16" s="1"/>
  <c r="L149" i="16"/>
  <c r="F149" i="16"/>
  <c r="G149" i="16" s="1"/>
  <c r="L148" i="16"/>
  <c r="F148" i="16"/>
  <c r="G148" i="16" s="1"/>
  <c r="L147" i="16"/>
  <c r="F147" i="16"/>
  <c r="G147" i="16" s="1"/>
  <c r="L146" i="16"/>
  <c r="F146" i="16"/>
  <c r="G146" i="16" s="1"/>
  <c r="L145" i="16"/>
  <c r="F145" i="16"/>
  <c r="G145" i="16" s="1"/>
  <c r="L144" i="16"/>
  <c r="F144" i="16"/>
  <c r="G144" i="16" s="1"/>
  <c r="L143" i="16"/>
  <c r="F143" i="16"/>
  <c r="G143" i="16" s="1"/>
  <c r="L142" i="16"/>
  <c r="F142" i="16"/>
  <c r="G142" i="16" s="1"/>
  <c r="L141" i="16"/>
  <c r="F141" i="16"/>
  <c r="G141" i="16" s="1"/>
  <c r="L140" i="16"/>
  <c r="F140" i="16"/>
  <c r="G140" i="16" s="1"/>
  <c r="L139" i="16"/>
  <c r="F139" i="16"/>
  <c r="G139" i="16" s="1"/>
  <c r="H137" i="16"/>
  <c r="F137" i="16"/>
  <c r="G137" i="16" s="1"/>
  <c r="H136" i="16"/>
  <c r="F136" i="16"/>
  <c r="G136" i="16" s="1"/>
  <c r="I135" i="16"/>
  <c r="F135" i="16"/>
  <c r="G135" i="16" s="1"/>
  <c r="K134" i="16"/>
  <c r="F134" i="16"/>
  <c r="G134" i="16" s="1"/>
  <c r="K133" i="16"/>
  <c r="F133" i="16"/>
  <c r="G133" i="16" s="1"/>
  <c r="L132" i="16"/>
  <c r="F132" i="16"/>
  <c r="G132" i="16" s="1"/>
  <c r="H130" i="16"/>
  <c r="F130" i="16"/>
  <c r="G130" i="16" s="1"/>
  <c r="H129" i="16"/>
  <c r="F129" i="16"/>
  <c r="G129" i="16" s="1"/>
  <c r="H128" i="16"/>
  <c r="F128" i="16"/>
  <c r="G128" i="16" s="1"/>
  <c r="H126" i="16"/>
  <c r="F126" i="16"/>
  <c r="G126" i="16" s="1"/>
  <c r="J125" i="16"/>
  <c r="F125" i="16"/>
  <c r="G125" i="16" s="1"/>
  <c r="H123" i="16"/>
  <c r="F123" i="16"/>
  <c r="G123" i="16" s="1"/>
  <c r="H122" i="16"/>
  <c r="F122" i="16"/>
  <c r="G122" i="16" s="1"/>
  <c r="I121" i="16"/>
  <c r="F121" i="16"/>
  <c r="G121" i="16" s="1"/>
  <c r="I119" i="16"/>
  <c r="F119" i="16"/>
  <c r="G119" i="16" s="1"/>
  <c r="H117" i="16"/>
  <c r="F117" i="16"/>
  <c r="G117" i="16" s="1"/>
  <c r="H115" i="16"/>
  <c r="F115" i="16"/>
  <c r="G115" i="16" s="1"/>
  <c r="L113" i="16"/>
  <c r="F113" i="16"/>
  <c r="G113" i="16" s="1"/>
  <c r="L111" i="16"/>
  <c r="F111" i="16"/>
  <c r="G111" i="16" s="1"/>
  <c r="L109" i="16"/>
  <c r="F109" i="16"/>
  <c r="G109" i="16" s="1"/>
  <c r="L107" i="16"/>
  <c r="F107" i="16"/>
  <c r="G107" i="16" s="1"/>
  <c r="L106" i="16"/>
  <c r="F106" i="16"/>
  <c r="G106" i="16" s="1"/>
  <c r="L105" i="16"/>
  <c r="F105" i="16"/>
  <c r="G105" i="16" s="1"/>
  <c r="J104" i="16"/>
  <c r="F104" i="16"/>
  <c r="G104" i="16" s="1"/>
  <c r="L103" i="16"/>
  <c r="F103" i="16"/>
  <c r="G103" i="16" s="1"/>
  <c r="J102" i="16"/>
  <c r="F102" i="16"/>
  <c r="G102" i="16" s="1"/>
  <c r="L101" i="16"/>
  <c r="F101" i="16"/>
  <c r="G101" i="16" s="1"/>
  <c r="K100" i="16"/>
  <c r="F100" i="16"/>
  <c r="G100" i="16" s="1"/>
  <c r="L99" i="16"/>
  <c r="F99" i="16"/>
  <c r="G99" i="16" s="1"/>
  <c r="K98" i="16"/>
  <c r="F98" i="16"/>
  <c r="G98" i="16" s="1"/>
  <c r="J97" i="16"/>
  <c r="F97" i="16"/>
  <c r="G97" i="16" s="1"/>
  <c r="L96" i="16"/>
  <c r="F96" i="16"/>
  <c r="G96" i="16" s="1"/>
  <c r="L95" i="16"/>
  <c r="F95" i="16"/>
  <c r="G95" i="16" s="1"/>
  <c r="L94" i="16"/>
  <c r="F94" i="16"/>
  <c r="G94" i="16" s="1"/>
  <c r="I93" i="16"/>
  <c r="F93" i="16"/>
  <c r="G93" i="16" s="1"/>
  <c r="I92" i="16"/>
  <c r="F92" i="16"/>
  <c r="G92" i="16" s="1"/>
  <c r="L91" i="16"/>
  <c r="F91" i="16"/>
  <c r="G91" i="16" s="1"/>
  <c r="L90" i="16"/>
  <c r="F90" i="16"/>
  <c r="G90" i="16" s="1"/>
  <c r="J89" i="16"/>
  <c r="F89" i="16"/>
  <c r="G89" i="16" s="1"/>
  <c r="J88" i="16"/>
  <c r="F88" i="16"/>
  <c r="G88" i="16" s="1"/>
  <c r="J87" i="16"/>
  <c r="F87" i="16"/>
  <c r="G87" i="16" s="1"/>
  <c r="J86" i="16"/>
  <c r="F86" i="16"/>
  <c r="G86" i="16" s="1"/>
  <c r="J85" i="16"/>
  <c r="F85" i="16"/>
  <c r="G85" i="16" s="1"/>
  <c r="I84" i="16"/>
  <c r="F84" i="16"/>
  <c r="G84" i="16" s="1"/>
  <c r="I83" i="16"/>
  <c r="F83" i="16"/>
  <c r="G83" i="16" s="1"/>
  <c r="I82" i="16"/>
  <c r="F82" i="16"/>
  <c r="G82" i="16" s="1"/>
  <c r="I81" i="16"/>
  <c r="F81" i="16"/>
  <c r="G81" i="16" s="1"/>
  <c r="I80" i="16"/>
  <c r="F80" i="16"/>
  <c r="G80" i="16" s="1"/>
  <c r="L79" i="16"/>
  <c r="F79" i="16"/>
  <c r="G79" i="16" s="1"/>
  <c r="L78" i="16"/>
  <c r="F78" i="16"/>
  <c r="G78" i="16" s="1"/>
  <c r="L77" i="16"/>
  <c r="F77" i="16"/>
  <c r="G77" i="16" s="1"/>
  <c r="L76" i="16"/>
  <c r="F76" i="16"/>
  <c r="G76" i="16" s="1"/>
  <c r="L75" i="16"/>
  <c r="F75" i="16"/>
  <c r="G75" i="16" s="1"/>
  <c r="L74" i="16"/>
  <c r="F74" i="16"/>
  <c r="G74" i="16" s="1"/>
  <c r="L73" i="16"/>
  <c r="F73" i="16"/>
  <c r="G73" i="16" s="1"/>
  <c r="J72" i="16"/>
  <c r="F72" i="16"/>
  <c r="G72" i="16" s="1"/>
  <c r="J71" i="16"/>
  <c r="F71" i="16"/>
  <c r="G71" i="16" s="1"/>
  <c r="J70" i="16"/>
  <c r="F70" i="16"/>
  <c r="G70" i="16" s="1"/>
  <c r="J69" i="16"/>
  <c r="F69" i="16"/>
  <c r="G69" i="16" s="1"/>
  <c r="J68" i="16"/>
  <c r="F68" i="16"/>
  <c r="G68" i="16" s="1"/>
  <c r="I66" i="16"/>
  <c r="F66" i="16"/>
  <c r="G66" i="16" s="1"/>
  <c r="H64" i="16"/>
  <c r="F64" i="16"/>
  <c r="G64" i="16" s="1"/>
  <c r="H63" i="16"/>
  <c r="F63" i="16"/>
  <c r="G63" i="16" s="1"/>
  <c r="H62" i="16"/>
  <c r="F62" i="16"/>
  <c r="G62" i="16" s="1"/>
  <c r="H61" i="16"/>
  <c r="F61" i="16"/>
  <c r="G61" i="16" s="1"/>
  <c r="H60" i="16"/>
  <c r="F60" i="16"/>
  <c r="G60" i="16" s="1"/>
  <c r="H59" i="16"/>
  <c r="F59" i="16"/>
  <c r="G59" i="16" s="1"/>
  <c r="H58" i="16"/>
  <c r="F58" i="16"/>
  <c r="G58" i="16" s="1"/>
  <c r="H57" i="16"/>
  <c r="F57" i="16"/>
  <c r="G57" i="16" s="1"/>
  <c r="H56" i="16"/>
  <c r="F56" i="16"/>
  <c r="G56" i="16" s="1"/>
  <c r="H55" i="16"/>
  <c r="F55" i="16"/>
  <c r="G55" i="16" s="1"/>
  <c r="H54" i="16"/>
  <c r="F54" i="16"/>
  <c r="G54" i="16" s="1"/>
  <c r="H53" i="16"/>
  <c r="F53" i="16"/>
  <c r="G53" i="16" s="1"/>
  <c r="H52" i="16"/>
  <c r="F52" i="16"/>
  <c r="G52" i="16" s="1"/>
  <c r="H51" i="16"/>
  <c r="F51" i="16"/>
  <c r="G51" i="16" s="1"/>
  <c r="H50" i="16"/>
  <c r="F50" i="16"/>
  <c r="G50" i="16" s="1"/>
  <c r="I49" i="16"/>
  <c r="F49" i="16"/>
  <c r="G49" i="16" s="1"/>
  <c r="I48" i="16"/>
  <c r="F48" i="16"/>
  <c r="G48" i="16" s="1"/>
  <c r="I47" i="16"/>
  <c r="F47" i="16"/>
  <c r="G47" i="16" s="1"/>
  <c r="I46" i="16"/>
  <c r="F46" i="16"/>
  <c r="G46" i="16" s="1"/>
  <c r="I45" i="16"/>
  <c r="F45" i="16"/>
  <c r="G45" i="16" s="1"/>
  <c r="I44" i="16"/>
  <c r="F44" i="16"/>
  <c r="G44" i="16" s="1"/>
  <c r="I43" i="16"/>
  <c r="F43" i="16"/>
  <c r="G43" i="16" s="1"/>
  <c r="I42" i="16"/>
  <c r="F42" i="16"/>
  <c r="G42" i="16" s="1"/>
  <c r="I41" i="16"/>
  <c r="F41" i="16"/>
  <c r="G41" i="16" s="1"/>
  <c r="H39" i="16"/>
  <c r="F39" i="16"/>
  <c r="G39" i="16" s="1"/>
  <c r="H37" i="16"/>
  <c r="F37" i="16"/>
  <c r="G37" i="16" s="1"/>
  <c r="H36" i="16"/>
  <c r="F36" i="16"/>
  <c r="G36" i="16" s="1"/>
  <c r="H35" i="16"/>
  <c r="F35" i="16"/>
  <c r="G35" i="16" s="1"/>
  <c r="H33" i="16"/>
  <c r="F33" i="16"/>
  <c r="G33" i="16" s="1"/>
  <c r="I31" i="16"/>
  <c r="F31" i="16"/>
  <c r="G31" i="16" s="1"/>
  <c r="H29" i="16"/>
  <c r="F29" i="16"/>
  <c r="G29" i="16" s="1"/>
  <c r="H28" i="16"/>
  <c r="F28" i="16"/>
  <c r="G28" i="16" s="1"/>
  <c r="K27" i="16"/>
  <c r="F27" i="16"/>
  <c r="G27" i="16" s="1"/>
  <c r="K26" i="16"/>
  <c r="F26" i="16"/>
  <c r="G26" i="16" s="1"/>
  <c r="K25" i="16"/>
  <c r="F25" i="16"/>
  <c r="G25" i="16" s="1"/>
  <c r="K24" i="16"/>
  <c r="F24" i="16"/>
  <c r="G24" i="16" s="1"/>
  <c r="L22" i="16"/>
  <c r="F22" i="16"/>
  <c r="G22" i="16" s="1"/>
  <c r="H20" i="16"/>
  <c r="F20" i="16"/>
  <c r="G20" i="16" s="1"/>
  <c r="H19" i="16"/>
  <c r="F19" i="16"/>
  <c r="G19" i="16" s="1"/>
  <c r="H18" i="16"/>
  <c r="F18" i="16"/>
  <c r="G18" i="16" s="1"/>
  <c r="H17" i="16"/>
  <c r="F17" i="16"/>
  <c r="G17" i="16" s="1"/>
  <c r="H16" i="16"/>
  <c r="F16" i="16"/>
  <c r="G16" i="16" s="1"/>
  <c r="H15" i="16"/>
  <c r="F15" i="16"/>
  <c r="G15" i="16" s="1"/>
  <c r="H14" i="16"/>
  <c r="F14" i="16"/>
  <c r="G14" i="16" s="1"/>
  <c r="H12" i="16"/>
  <c r="F12" i="16"/>
  <c r="G12" i="16" s="1"/>
  <c r="H10" i="16"/>
  <c r="F10" i="16"/>
  <c r="G10" i="16" s="1"/>
  <c r="I8" i="16"/>
  <c r="F8" i="16"/>
  <c r="G8" i="16" s="1"/>
  <c r="H7" i="16"/>
  <c r="F7" i="16"/>
  <c r="G7" i="16" s="1"/>
  <c r="I6" i="16"/>
  <c r="F6" i="16"/>
  <c r="G6" i="16" s="1"/>
  <c r="B225" i="15"/>
  <c r="L224" i="15"/>
  <c r="F224" i="15"/>
  <c r="G224" i="15" s="1"/>
  <c r="L223" i="15"/>
  <c r="F223" i="15"/>
  <c r="G223" i="15" s="1"/>
  <c r="H222" i="15"/>
  <c r="F222" i="15"/>
  <c r="G222" i="15" s="1"/>
  <c r="H221" i="15"/>
  <c r="F221" i="15"/>
  <c r="G221" i="15" s="1"/>
  <c r="H220" i="15"/>
  <c r="F220" i="15"/>
  <c r="G220" i="15" s="1"/>
  <c r="I219" i="15"/>
  <c r="F219" i="15"/>
  <c r="G219" i="15" s="1"/>
  <c r="I218" i="15"/>
  <c r="F218" i="15"/>
  <c r="G218" i="15" s="1"/>
  <c r="I217" i="15"/>
  <c r="F217" i="15"/>
  <c r="G217" i="15" s="1"/>
  <c r="I216" i="15"/>
  <c r="F216" i="15"/>
  <c r="G216" i="15" s="1"/>
  <c r="I215" i="15"/>
  <c r="F215" i="15"/>
  <c r="G215" i="15" s="1"/>
  <c r="J214" i="15"/>
  <c r="F214" i="15"/>
  <c r="G214" i="15" s="1"/>
  <c r="J213" i="15"/>
  <c r="F213" i="15"/>
  <c r="G213" i="15" s="1"/>
  <c r="J212" i="15"/>
  <c r="F212" i="15"/>
  <c r="G212" i="15" s="1"/>
  <c r="J211" i="15"/>
  <c r="F211" i="15"/>
  <c r="G211" i="15" s="1"/>
  <c r="J210" i="15"/>
  <c r="F210" i="15"/>
  <c r="G210" i="15" s="1"/>
  <c r="J209" i="15"/>
  <c r="F209" i="15"/>
  <c r="G209" i="15" s="1"/>
  <c r="J208" i="15"/>
  <c r="F208" i="15"/>
  <c r="G208" i="15" s="1"/>
  <c r="J207" i="15"/>
  <c r="F207" i="15"/>
  <c r="G207" i="15" s="1"/>
  <c r="J206" i="15"/>
  <c r="F206" i="15"/>
  <c r="G206" i="15" s="1"/>
  <c r="J205" i="15"/>
  <c r="F205" i="15"/>
  <c r="G205" i="15" s="1"/>
  <c r="J204" i="15"/>
  <c r="F204" i="15"/>
  <c r="G204" i="15" s="1"/>
  <c r="J203" i="15"/>
  <c r="F203" i="15"/>
  <c r="G203" i="15" s="1"/>
  <c r="J202" i="15"/>
  <c r="F202" i="15"/>
  <c r="G202" i="15" s="1"/>
  <c r="J201" i="15"/>
  <c r="F201" i="15"/>
  <c r="G201" i="15" s="1"/>
  <c r="J200" i="15"/>
  <c r="F200" i="15"/>
  <c r="G200" i="15" s="1"/>
  <c r="J199" i="15"/>
  <c r="F199" i="15"/>
  <c r="G199" i="15" s="1"/>
  <c r="J198" i="15"/>
  <c r="F198" i="15"/>
  <c r="G198" i="15" s="1"/>
  <c r="J197" i="15"/>
  <c r="F197" i="15"/>
  <c r="G197" i="15" s="1"/>
  <c r="J196" i="15"/>
  <c r="F196" i="15"/>
  <c r="G196" i="15" s="1"/>
  <c r="J195" i="15"/>
  <c r="F195" i="15"/>
  <c r="G195" i="15" s="1"/>
  <c r="J194" i="15"/>
  <c r="F194" i="15"/>
  <c r="G194" i="15" s="1"/>
  <c r="J193" i="15"/>
  <c r="F193" i="15"/>
  <c r="G193" i="15" s="1"/>
  <c r="J192" i="15"/>
  <c r="F192" i="15"/>
  <c r="G192" i="15" s="1"/>
  <c r="J191" i="15"/>
  <c r="F191" i="15"/>
  <c r="G191" i="15" s="1"/>
  <c r="J190" i="15"/>
  <c r="F190" i="15"/>
  <c r="G190" i="15" s="1"/>
  <c r="J189" i="15"/>
  <c r="F189" i="15"/>
  <c r="G189" i="15" s="1"/>
  <c r="K188" i="15"/>
  <c r="F188" i="15"/>
  <c r="G188" i="15" s="1"/>
  <c r="K187" i="15"/>
  <c r="F187" i="15"/>
  <c r="G187" i="15" s="1"/>
  <c r="K186" i="15"/>
  <c r="F186" i="15"/>
  <c r="G186" i="15" s="1"/>
  <c r="K185" i="15"/>
  <c r="F185" i="15"/>
  <c r="G185" i="15" s="1"/>
  <c r="K184" i="15"/>
  <c r="F184" i="15"/>
  <c r="G184" i="15" s="1"/>
  <c r="K183" i="15"/>
  <c r="F183" i="15"/>
  <c r="G183" i="15" s="1"/>
  <c r="K182" i="15"/>
  <c r="F182" i="15"/>
  <c r="G182" i="15" s="1"/>
  <c r="K181" i="15"/>
  <c r="F181" i="15"/>
  <c r="G181" i="15" s="1"/>
  <c r="K180" i="15"/>
  <c r="F180" i="15"/>
  <c r="G180" i="15" s="1"/>
  <c r="K179" i="15"/>
  <c r="F179" i="15"/>
  <c r="G179" i="15" s="1"/>
  <c r="K178" i="15"/>
  <c r="F178" i="15"/>
  <c r="G178" i="15" s="1"/>
  <c r="K177" i="15"/>
  <c r="F177" i="15"/>
  <c r="G177" i="15" s="1"/>
  <c r="K176" i="15"/>
  <c r="F176" i="15"/>
  <c r="G176" i="15" s="1"/>
  <c r="K175" i="15"/>
  <c r="F175" i="15"/>
  <c r="G175" i="15" s="1"/>
  <c r="K174" i="15"/>
  <c r="F174" i="15"/>
  <c r="G174" i="15" s="1"/>
  <c r="K173" i="15"/>
  <c r="F173" i="15"/>
  <c r="G173" i="15" s="1"/>
  <c r="K172" i="15"/>
  <c r="F172" i="15"/>
  <c r="G172" i="15" s="1"/>
  <c r="K171" i="15"/>
  <c r="F171" i="15"/>
  <c r="G171" i="15" s="1"/>
  <c r="L170" i="15"/>
  <c r="F170" i="15"/>
  <c r="G170" i="15" s="1"/>
  <c r="L169" i="15"/>
  <c r="F169" i="15"/>
  <c r="G169" i="15" s="1"/>
  <c r="L168" i="15"/>
  <c r="F168" i="15"/>
  <c r="G168" i="15" s="1"/>
  <c r="L167" i="15"/>
  <c r="F167" i="15"/>
  <c r="G167" i="15" s="1"/>
  <c r="L166" i="15"/>
  <c r="F166" i="15"/>
  <c r="G166" i="15" s="1"/>
  <c r="L165" i="15"/>
  <c r="F165" i="15"/>
  <c r="G165" i="15" s="1"/>
  <c r="L164" i="15"/>
  <c r="F164" i="15"/>
  <c r="G164" i="15" s="1"/>
  <c r="L163" i="15"/>
  <c r="F163" i="15"/>
  <c r="G163" i="15" s="1"/>
  <c r="L162" i="15"/>
  <c r="F162" i="15"/>
  <c r="G162" i="15" s="1"/>
  <c r="L161" i="15"/>
  <c r="F161" i="15"/>
  <c r="G161" i="15" s="1"/>
  <c r="L160" i="15"/>
  <c r="F160" i="15"/>
  <c r="G160" i="15" s="1"/>
  <c r="L159" i="15"/>
  <c r="F159" i="15"/>
  <c r="G159" i="15" s="1"/>
  <c r="L158" i="15"/>
  <c r="F158" i="15"/>
  <c r="G158" i="15" s="1"/>
  <c r="L157" i="15"/>
  <c r="F157" i="15"/>
  <c r="G157" i="15" s="1"/>
  <c r="L156" i="15"/>
  <c r="F156" i="15"/>
  <c r="G156" i="15" s="1"/>
  <c r="L155" i="15"/>
  <c r="F155" i="15"/>
  <c r="G155" i="15" s="1"/>
  <c r="L154" i="15"/>
  <c r="F154" i="15"/>
  <c r="G154" i="15" s="1"/>
  <c r="L153" i="15"/>
  <c r="F153" i="15"/>
  <c r="G153" i="15" s="1"/>
  <c r="L152" i="15"/>
  <c r="F152" i="15"/>
  <c r="G152" i="15" s="1"/>
  <c r="L151" i="15"/>
  <c r="F151" i="15"/>
  <c r="G151" i="15" s="1"/>
  <c r="L150" i="15"/>
  <c r="F150" i="15"/>
  <c r="G150" i="15" s="1"/>
  <c r="L149" i="15"/>
  <c r="F149" i="15"/>
  <c r="G149" i="15" s="1"/>
  <c r="L148" i="15"/>
  <c r="F148" i="15"/>
  <c r="G148" i="15" s="1"/>
  <c r="L147" i="15"/>
  <c r="F147" i="15"/>
  <c r="G147" i="15" s="1"/>
  <c r="L146" i="15"/>
  <c r="F146" i="15"/>
  <c r="G146" i="15" s="1"/>
  <c r="L145" i="15"/>
  <c r="F145" i="15"/>
  <c r="G145" i="15" s="1"/>
  <c r="L144" i="15"/>
  <c r="F144" i="15"/>
  <c r="G144" i="15" s="1"/>
  <c r="L143" i="15"/>
  <c r="F143" i="15"/>
  <c r="G143" i="15" s="1"/>
  <c r="L142" i="15"/>
  <c r="F142" i="15"/>
  <c r="G142" i="15" s="1"/>
  <c r="L141" i="15"/>
  <c r="F141" i="15"/>
  <c r="G141" i="15" s="1"/>
  <c r="L140" i="15"/>
  <c r="F140" i="15"/>
  <c r="G140" i="15" s="1"/>
  <c r="L139" i="15"/>
  <c r="F139" i="15"/>
  <c r="G139" i="15" s="1"/>
  <c r="L138" i="15"/>
  <c r="F138" i="15"/>
  <c r="G138" i="15" s="1"/>
  <c r="L137" i="15"/>
  <c r="F137" i="15"/>
  <c r="G137" i="15" s="1"/>
  <c r="L136" i="15"/>
  <c r="F136" i="15"/>
  <c r="G136" i="15" s="1"/>
  <c r="L135" i="15"/>
  <c r="F135" i="15"/>
  <c r="G135" i="15" s="1"/>
  <c r="L134" i="15"/>
  <c r="F134" i="15"/>
  <c r="G134" i="15" s="1"/>
  <c r="L133" i="15"/>
  <c r="F133" i="15"/>
  <c r="G133" i="15" s="1"/>
  <c r="L132" i="15"/>
  <c r="F132" i="15"/>
  <c r="G132" i="15" s="1"/>
  <c r="L131" i="15"/>
  <c r="F131" i="15"/>
  <c r="G131" i="15" s="1"/>
  <c r="L130" i="15"/>
  <c r="F130" i="15"/>
  <c r="G130" i="15" s="1"/>
  <c r="L129" i="15"/>
  <c r="F129" i="15"/>
  <c r="G129" i="15" s="1"/>
  <c r="L128" i="15"/>
  <c r="F128" i="15"/>
  <c r="G128" i="15" s="1"/>
  <c r="L127" i="15"/>
  <c r="F127" i="15"/>
  <c r="G127" i="15" s="1"/>
  <c r="L126" i="15"/>
  <c r="F126" i="15"/>
  <c r="G126" i="15" s="1"/>
  <c r="L125" i="15"/>
  <c r="F125" i="15"/>
  <c r="G125" i="15" s="1"/>
  <c r="L124" i="15"/>
  <c r="F124" i="15"/>
  <c r="G124" i="15" s="1"/>
  <c r="L123" i="15"/>
  <c r="F123" i="15"/>
  <c r="G123" i="15" s="1"/>
  <c r="L122" i="15"/>
  <c r="F122" i="15"/>
  <c r="G122" i="15" s="1"/>
  <c r="L121" i="15"/>
  <c r="F121" i="15"/>
  <c r="G121" i="15" s="1"/>
  <c r="L120" i="15"/>
  <c r="F120" i="15"/>
  <c r="G120" i="15" s="1"/>
  <c r="L119" i="15"/>
  <c r="F119" i="15"/>
  <c r="G119" i="15" s="1"/>
  <c r="L118" i="15"/>
  <c r="F118" i="15"/>
  <c r="G118" i="15" s="1"/>
  <c r="L117" i="15"/>
  <c r="F117" i="15"/>
  <c r="G117" i="15" s="1"/>
  <c r="L116" i="15"/>
  <c r="F116" i="15"/>
  <c r="G116" i="15" s="1"/>
  <c r="L115" i="15"/>
  <c r="F115" i="15"/>
  <c r="G115" i="15" s="1"/>
  <c r="L114" i="15"/>
  <c r="F114" i="15"/>
  <c r="G114" i="15" s="1"/>
  <c r="L113" i="15"/>
  <c r="F113" i="15"/>
  <c r="G113" i="15" s="1"/>
  <c r="L112" i="15"/>
  <c r="F112" i="15"/>
  <c r="G112" i="15" s="1"/>
  <c r="L111" i="15"/>
  <c r="F111" i="15"/>
  <c r="G111" i="15" s="1"/>
  <c r="L110" i="15"/>
  <c r="F110" i="15"/>
  <c r="G110" i="15" s="1"/>
  <c r="L109" i="15"/>
  <c r="F109" i="15"/>
  <c r="G109" i="15" s="1"/>
  <c r="L108" i="15"/>
  <c r="F108" i="15"/>
  <c r="G108" i="15" s="1"/>
  <c r="L107" i="15"/>
  <c r="F107" i="15"/>
  <c r="G107" i="15" s="1"/>
  <c r="L106" i="15"/>
  <c r="F106" i="15"/>
  <c r="G106" i="15" s="1"/>
  <c r="L105" i="15"/>
  <c r="F105" i="15"/>
  <c r="G105" i="15" s="1"/>
  <c r="L104" i="15"/>
  <c r="F104" i="15"/>
  <c r="G104" i="15" s="1"/>
  <c r="L103" i="15"/>
  <c r="F103" i="15"/>
  <c r="G103" i="15" s="1"/>
  <c r="L102" i="15"/>
  <c r="F102" i="15"/>
  <c r="G102" i="15" s="1"/>
  <c r="L101" i="15"/>
  <c r="F101" i="15"/>
  <c r="G101" i="15" s="1"/>
  <c r="L100" i="15"/>
  <c r="F100" i="15"/>
  <c r="G100" i="15" s="1"/>
  <c r="L99" i="15"/>
  <c r="F99" i="15"/>
  <c r="G99" i="15" s="1"/>
  <c r="L98" i="15"/>
  <c r="F98" i="15"/>
  <c r="G98" i="15" s="1"/>
  <c r="L97" i="15"/>
  <c r="F97" i="15"/>
  <c r="G97" i="15" s="1"/>
  <c r="L96" i="15"/>
  <c r="F96" i="15"/>
  <c r="G96" i="15" s="1"/>
  <c r="L95" i="15"/>
  <c r="F95" i="15"/>
  <c r="G95" i="15" s="1"/>
  <c r="L94" i="15"/>
  <c r="F94" i="15"/>
  <c r="G94" i="15" s="1"/>
  <c r="L93" i="15"/>
  <c r="F93" i="15"/>
  <c r="G93" i="15" s="1"/>
  <c r="L92" i="15"/>
  <c r="F92" i="15"/>
  <c r="G92" i="15" s="1"/>
  <c r="L91" i="15"/>
  <c r="F91" i="15"/>
  <c r="G91" i="15" s="1"/>
  <c r="L90" i="15"/>
  <c r="F90" i="15"/>
  <c r="G90" i="15" s="1"/>
  <c r="L89" i="15"/>
  <c r="F89" i="15"/>
  <c r="G89" i="15" s="1"/>
  <c r="L88" i="15"/>
  <c r="F88" i="15"/>
  <c r="G88" i="15" s="1"/>
  <c r="L87" i="15"/>
  <c r="F87" i="15"/>
  <c r="G87" i="15" s="1"/>
  <c r="L86" i="15"/>
  <c r="F86" i="15"/>
  <c r="G86" i="15" s="1"/>
  <c r="L85" i="15"/>
  <c r="F85" i="15"/>
  <c r="G85" i="15" s="1"/>
  <c r="L84" i="15"/>
  <c r="F84" i="15"/>
  <c r="G84" i="15" s="1"/>
  <c r="L83" i="15"/>
  <c r="F83" i="15"/>
  <c r="G83" i="15" s="1"/>
  <c r="L82" i="15"/>
  <c r="F82" i="15"/>
  <c r="G82" i="15" s="1"/>
  <c r="L81" i="15"/>
  <c r="F81" i="15"/>
  <c r="G81" i="15" s="1"/>
  <c r="L80" i="15"/>
  <c r="F80" i="15"/>
  <c r="G80" i="15" s="1"/>
  <c r="L79" i="15"/>
  <c r="F79" i="15"/>
  <c r="G79" i="15" s="1"/>
  <c r="L78" i="15"/>
  <c r="F78" i="15"/>
  <c r="G78" i="15" s="1"/>
  <c r="L77" i="15"/>
  <c r="F77" i="15"/>
  <c r="G77" i="15" s="1"/>
  <c r="L76" i="15"/>
  <c r="F76" i="15"/>
  <c r="G76" i="15" s="1"/>
  <c r="L75" i="15"/>
  <c r="F75" i="15"/>
  <c r="G75" i="15" s="1"/>
  <c r="L74" i="15"/>
  <c r="F74" i="15"/>
  <c r="G74" i="15" s="1"/>
  <c r="L73" i="15"/>
  <c r="F73" i="15"/>
  <c r="G73" i="15" s="1"/>
  <c r="L72" i="15"/>
  <c r="F72" i="15"/>
  <c r="G72" i="15" s="1"/>
  <c r="L71" i="15"/>
  <c r="F71" i="15"/>
  <c r="G71" i="15" s="1"/>
  <c r="L70" i="15"/>
  <c r="F70" i="15"/>
  <c r="G70" i="15" s="1"/>
  <c r="L69" i="15"/>
  <c r="F69" i="15"/>
  <c r="G69" i="15" s="1"/>
  <c r="L68" i="15"/>
  <c r="F68" i="15"/>
  <c r="G68" i="15" s="1"/>
  <c r="L67" i="15"/>
  <c r="F67" i="15"/>
  <c r="G67" i="15" s="1"/>
  <c r="L66" i="15"/>
  <c r="F66" i="15"/>
  <c r="G66" i="15" s="1"/>
  <c r="L65" i="15"/>
  <c r="F65" i="15"/>
  <c r="G65" i="15" s="1"/>
  <c r="L64" i="15"/>
  <c r="F64" i="15"/>
  <c r="G64" i="15" s="1"/>
  <c r="L63" i="15"/>
  <c r="F63" i="15"/>
  <c r="G63" i="15" s="1"/>
  <c r="L62" i="15"/>
  <c r="F62" i="15"/>
  <c r="G62" i="15" s="1"/>
  <c r="L61" i="15"/>
  <c r="F61" i="15"/>
  <c r="G61" i="15" s="1"/>
  <c r="L60" i="15"/>
  <c r="F60" i="15"/>
  <c r="G60" i="15" s="1"/>
  <c r="L59" i="15"/>
  <c r="F59" i="15"/>
  <c r="G59" i="15" s="1"/>
  <c r="L58" i="15"/>
  <c r="F58" i="15"/>
  <c r="G58" i="15" s="1"/>
  <c r="L57" i="15"/>
  <c r="F57" i="15"/>
  <c r="G57" i="15" s="1"/>
  <c r="L56" i="15"/>
  <c r="F56" i="15"/>
  <c r="G56" i="15" s="1"/>
  <c r="L55" i="15"/>
  <c r="F55" i="15"/>
  <c r="G55" i="15" s="1"/>
  <c r="L54" i="15"/>
  <c r="F54" i="15"/>
  <c r="G54" i="15" s="1"/>
  <c r="L53" i="15"/>
  <c r="F53" i="15"/>
  <c r="G53" i="15" s="1"/>
  <c r="L52" i="15"/>
  <c r="F52" i="15"/>
  <c r="G52" i="15" s="1"/>
  <c r="L51" i="15"/>
  <c r="F51" i="15"/>
  <c r="G51" i="15" s="1"/>
  <c r="L50" i="15"/>
  <c r="F50" i="15"/>
  <c r="G50" i="15" s="1"/>
  <c r="L49" i="15"/>
  <c r="F49" i="15"/>
  <c r="G49" i="15" s="1"/>
  <c r="L48" i="15"/>
  <c r="F48" i="15"/>
  <c r="G48" i="15" s="1"/>
  <c r="L47" i="15"/>
  <c r="F47" i="15"/>
  <c r="G47" i="15" s="1"/>
  <c r="L46" i="15"/>
  <c r="F46" i="15"/>
  <c r="G46" i="15" s="1"/>
  <c r="L45" i="15"/>
  <c r="F45" i="15"/>
  <c r="G45" i="15" s="1"/>
  <c r="L44" i="15"/>
  <c r="F44" i="15"/>
  <c r="G44" i="15" s="1"/>
  <c r="L43" i="15"/>
  <c r="F43" i="15"/>
  <c r="G43" i="15" s="1"/>
  <c r="L42" i="15"/>
  <c r="F42" i="15"/>
  <c r="G42" i="15" s="1"/>
  <c r="L41" i="15"/>
  <c r="F41" i="15"/>
  <c r="G41" i="15" s="1"/>
  <c r="L40" i="15"/>
  <c r="F40" i="15"/>
  <c r="G40" i="15" s="1"/>
  <c r="L39" i="15"/>
  <c r="F39" i="15"/>
  <c r="G39" i="15" s="1"/>
  <c r="L38" i="15"/>
  <c r="F38" i="15"/>
  <c r="G38" i="15" s="1"/>
  <c r="L37" i="15"/>
  <c r="F37" i="15"/>
  <c r="G37" i="15" s="1"/>
  <c r="L36" i="15"/>
  <c r="F36" i="15"/>
  <c r="G36" i="15" s="1"/>
  <c r="L35" i="15"/>
  <c r="F35" i="15"/>
  <c r="G35" i="15" s="1"/>
  <c r="L34" i="15"/>
  <c r="F34" i="15"/>
  <c r="G34" i="15" s="1"/>
  <c r="L33" i="15"/>
  <c r="F33" i="15"/>
  <c r="G33" i="15" s="1"/>
  <c r="L32" i="15"/>
  <c r="F32" i="15"/>
  <c r="G32" i="15" s="1"/>
  <c r="L31" i="15"/>
  <c r="F31" i="15"/>
  <c r="G31" i="15" s="1"/>
  <c r="L30" i="15"/>
  <c r="F30" i="15"/>
  <c r="G30" i="15" s="1"/>
  <c r="L29" i="15"/>
  <c r="F29" i="15"/>
  <c r="G29" i="15" s="1"/>
  <c r="L28" i="15"/>
  <c r="F28" i="15"/>
  <c r="G28" i="15" s="1"/>
  <c r="L27" i="15"/>
  <c r="F27" i="15"/>
  <c r="G27" i="15" s="1"/>
  <c r="L26" i="15"/>
  <c r="F26" i="15"/>
  <c r="G26" i="15" s="1"/>
  <c r="L22" i="15"/>
  <c r="L225" i="15" s="1"/>
  <c r="K22" i="15"/>
  <c r="K225" i="15" s="1"/>
  <c r="J22" i="15"/>
  <c r="F21" i="15"/>
  <c r="G21" i="15" s="1"/>
  <c r="B21" i="15"/>
  <c r="F20" i="15"/>
  <c r="G20" i="15" s="1"/>
  <c r="B20" i="15"/>
  <c r="I18" i="15"/>
  <c r="M18" i="15" s="1"/>
  <c r="H17" i="15"/>
  <c r="M17" i="15" s="1"/>
  <c r="F17" i="15"/>
  <c r="G17" i="15" s="1"/>
  <c r="H16" i="15"/>
  <c r="M16" i="15" s="1"/>
  <c r="F16" i="15"/>
  <c r="G16" i="15" s="1"/>
  <c r="I15" i="15"/>
  <c r="M15" i="15" s="1"/>
  <c r="F15" i="15"/>
  <c r="G15" i="15" s="1"/>
  <c r="H14" i="15"/>
  <c r="M14" i="15" s="1"/>
  <c r="F14" i="15"/>
  <c r="G14" i="15" s="1"/>
  <c r="I13" i="15"/>
  <c r="O19" i="15" s="1"/>
  <c r="F13" i="15"/>
  <c r="G13" i="15" s="1"/>
  <c r="H11" i="15"/>
  <c r="M11" i="15" s="1"/>
  <c r="F11" i="15"/>
  <c r="G11" i="15" s="1"/>
  <c r="H10" i="15"/>
  <c r="M10" i="15" s="1"/>
  <c r="F10" i="15"/>
  <c r="G10" i="15" s="1"/>
  <c r="H9" i="15"/>
  <c r="M9" i="15" s="1"/>
  <c r="F9" i="15"/>
  <c r="G9" i="15" s="1"/>
  <c r="H8" i="15"/>
  <c r="M8" i="15" s="1"/>
  <c r="F8" i="15"/>
  <c r="G8" i="15" s="1"/>
  <c r="H7" i="15"/>
  <c r="F7" i="15"/>
  <c r="G7" i="15" s="1"/>
  <c r="K21" i="4"/>
  <c r="K80" i="14"/>
  <c r="B80" i="14"/>
  <c r="B82" i="14" s="1"/>
  <c r="H79" i="14"/>
  <c r="F79" i="14"/>
  <c r="G79" i="14" s="1"/>
  <c r="H78" i="14"/>
  <c r="F78" i="14"/>
  <c r="G78" i="14" s="1"/>
  <c r="H77" i="14"/>
  <c r="F77" i="14"/>
  <c r="G77" i="14" s="1"/>
  <c r="H76" i="14"/>
  <c r="F76" i="14"/>
  <c r="G76" i="14" s="1"/>
  <c r="H75" i="14"/>
  <c r="F75" i="14"/>
  <c r="G75" i="14" s="1"/>
  <c r="H74" i="14"/>
  <c r="F74" i="14"/>
  <c r="G74" i="14" s="1"/>
  <c r="H73" i="14"/>
  <c r="F73" i="14"/>
  <c r="G73" i="14" s="1"/>
  <c r="H72" i="14"/>
  <c r="F72" i="14"/>
  <c r="G72" i="14" s="1"/>
  <c r="H71" i="14"/>
  <c r="F71" i="14"/>
  <c r="G71" i="14" s="1"/>
  <c r="H70" i="14"/>
  <c r="F70" i="14"/>
  <c r="G70" i="14" s="1"/>
  <c r="H69" i="14"/>
  <c r="F69" i="14"/>
  <c r="G69" i="14" s="1"/>
  <c r="H68" i="14"/>
  <c r="F68" i="14"/>
  <c r="G68" i="14" s="1"/>
  <c r="H67" i="14"/>
  <c r="F67" i="14"/>
  <c r="G67" i="14" s="1"/>
  <c r="H66" i="14"/>
  <c r="F66" i="14"/>
  <c r="G66" i="14" s="1"/>
  <c r="H65" i="14"/>
  <c r="F65" i="14"/>
  <c r="G65" i="14" s="1"/>
  <c r="H64" i="14"/>
  <c r="F64" i="14"/>
  <c r="G64" i="14" s="1"/>
  <c r="H63" i="14"/>
  <c r="F63" i="14"/>
  <c r="G63" i="14" s="1"/>
  <c r="H62" i="14"/>
  <c r="F62" i="14"/>
  <c r="G62" i="14" s="1"/>
  <c r="H61" i="14"/>
  <c r="H80" i="14" s="1"/>
  <c r="K18" i="4" s="1"/>
  <c r="F61" i="14"/>
  <c r="G61" i="14" s="1"/>
  <c r="I60" i="14"/>
  <c r="F60" i="14"/>
  <c r="G60" i="14" s="1"/>
  <c r="I59" i="14"/>
  <c r="F59" i="14"/>
  <c r="G59" i="14" s="1"/>
  <c r="I58" i="14"/>
  <c r="F58" i="14"/>
  <c r="G58" i="14" s="1"/>
  <c r="I57" i="14"/>
  <c r="I80" i="14" s="1"/>
  <c r="K19" i="4" s="1"/>
  <c r="F57" i="14"/>
  <c r="G57" i="14" s="1"/>
  <c r="I56" i="14"/>
  <c r="F56" i="14"/>
  <c r="G56" i="14" s="1"/>
  <c r="J55" i="14"/>
  <c r="F55" i="14"/>
  <c r="G55" i="14" s="1"/>
  <c r="J54" i="14"/>
  <c r="F54" i="14"/>
  <c r="G54" i="14" s="1"/>
  <c r="J53" i="14"/>
  <c r="F53" i="14"/>
  <c r="G53" i="14" s="1"/>
  <c r="J52" i="14"/>
  <c r="F52" i="14"/>
  <c r="G52" i="14" s="1"/>
  <c r="J51" i="14"/>
  <c r="F51" i="14"/>
  <c r="G51" i="14" s="1"/>
  <c r="J50" i="14"/>
  <c r="F50" i="14"/>
  <c r="G50" i="14" s="1"/>
  <c r="J49" i="14"/>
  <c r="F49" i="14"/>
  <c r="G49" i="14" s="1"/>
  <c r="J48" i="14"/>
  <c r="F48" i="14"/>
  <c r="G48" i="14" s="1"/>
  <c r="J47" i="14"/>
  <c r="F47" i="14"/>
  <c r="G47" i="14" s="1"/>
  <c r="J46" i="14"/>
  <c r="F46" i="14"/>
  <c r="G46" i="14" s="1"/>
  <c r="J45" i="14"/>
  <c r="F45" i="14"/>
  <c r="G45" i="14" s="1"/>
  <c r="J44" i="14"/>
  <c r="F44" i="14"/>
  <c r="G44" i="14" s="1"/>
  <c r="J43" i="14"/>
  <c r="F43" i="14"/>
  <c r="G43" i="14" s="1"/>
  <c r="L42" i="14"/>
  <c r="F42" i="14"/>
  <c r="G42" i="14" s="1"/>
  <c r="L41" i="14"/>
  <c r="F41" i="14"/>
  <c r="G41" i="14" s="1"/>
  <c r="L40" i="14"/>
  <c r="F40" i="14"/>
  <c r="G40" i="14" s="1"/>
  <c r="L39" i="14"/>
  <c r="F39" i="14"/>
  <c r="G39" i="14" s="1"/>
  <c r="L38" i="14"/>
  <c r="F38" i="14"/>
  <c r="G38" i="14" s="1"/>
  <c r="L37" i="14"/>
  <c r="F37" i="14"/>
  <c r="G37" i="14" s="1"/>
  <c r="L36" i="14"/>
  <c r="F36" i="14"/>
  <c r="G36" i="14" s="1"/>
  <c r="L35" i="14"/>
  <c r="F35" i="14"/>
  <c r="G35" i="14" s="1"/>
  <c r="L34" i="14"/>
  <c r="F34" i="14"/>
  <c r="G34" i="14" s="1"/>
  <c r="L33" i="14"/>
  <c r="F33" i="14"/>
  <c r="G33" i="14" s="1"/>
  <c r="L32" i="14"/>
  <c r="F32" i="14"/>
  <c r="G32" i="14" s="1"/>
  <c r="L31" i="14"/>
  <c r="F31" i="14"/>
  <c r="G31" i="14" s="1"/>
  <c r="L30" i="14"/>
  <c r="F30" i="14"/>
  <c r="G30" i="14" s="1"/>
  <c r="L29" i="14"/>
  <c r="F29" i="14"/>
  <c r="G29" i="14" s="1"/>
  <c r="L28" i="14"/>
  <c r="F26" i="14"/>
  <c r="G26" i="14" s="1"/>
  <c r="L25" i="14"/>
  <c r="F25" i="14"/>
  <c r="G25" i="14" s="1"/>
  <c r="I24" i="14"/>
  <c r="O27" i="14" s="1"/>
  <c r="F24" i="14"/>
  <c r="G24" i="14" s="1"/>
  <c r="F22" i="14"/>
  <c r="G22" i="14" s="1"/>
  <c r="F21" i="14"/>
  <c r="G21" i="14" s="1"/>
  <c r="F19" i="14"/>
  <c r="G19" i="14" s="1"/>
  <c r="F18" i="14"/>
  <c r="G18" i="14" s="1"/>
  <c r="F16" i="14"/>
  <c r="G16" i="14" s="1"/>
  <c r="J80" i="14"/>
  <c r="K20" i="4" s="1"/>
  <c r="F12" i="14"/>
  <c r="G12" i="14" s="1"/>
  <c r="F11" i="14"/>
  <c r="G11" i="14" s="1"/>
  <c r="F10" i="14"/>
  <c r="G10" i="14" s="1"/>
  <c r="F9" i="14"/>
  <c r="G9" i="14" s="1"/>
  <c r="F8" i="14"/>
  <c r="G8" i="14" s="1"/>
  <c r="B310" i="7"/>
  <c r="B76" i="7"/>
  <c r="B184" i="1"/>
  <c r="B368" i="6"/>
  <c r="B92" i="6"/>
  <c r="H279" i="16" l="1"/>
  <c r="J5" i="3" s="1"/>
  <c r="M225" i="16"/>
  <c r="I279" i="16"/>
  <c r="J6" i="3" s="1"/>
  <c r="N225" i="16"/>
  <c r="L279" i="16"/>
  <c r="J9" i="3" s="1"/>
  <c r="Q225" i="16"/>
  <c r="J279" i="16"/>
  <c r="J7" i="3" s="1"/>
  <c r="O225" i="16"/>
  <c r="K279" i="16"/>
  <c r="J8" i="3" s="1"/>
  <c r="P225" i="16"/>
  <c r="J21" i="3"/>
  <c r="L80" i="14"/>
  <c r="K22" i="4" s="1"/>
  <c r="R27" i="14"/>
  <c r="J22" i="5" s="1"/>
  <c r="J22" i="3"/>
  <c r="J19" i="5"/>
  <c r="N19" i="15"/>
  <c r="J18" i="5" s="1"/>
  <c r="J225" i="15"/>
  <c r="J20" i="3"/>
  <c r="M7" i="15"/>
  <c r="I22" i="15"/>
  <c r="M13" i="15"/>
  <c r="B226" i="15"/>
  <c r="B227" i="15" s="1"/>
  <c r="B22" i="15"/>
  <c r="B24" i="15" s="1"/>
  <c r="H20" i="15"/>
  <c r="R225" i="16" l="1"/>
  <c r="I225" i="15"/>
  <c r="J19" i="3"/>
  <c r="H21" i="15"/>
  <c r="M21" i="15" s="1"/>
  <c r="M20" i="15"/>
  <c r="Q164" i="13"/>
  <c r="J9" i="5" s="1"/>
  <c r="P164" i="13"/>
  <c r="J8" i="5" s="1"/>
  <c r="O164" i="13"/>
  <c r="J7" i="5" s="1"/>
  <c r="N164" i="13"/>
  <c r="J6" i="5" s="1"/>
  <c r="M164" i="13"/>
  <c r="K10" i="4"/>
  <c r="K9" i="4"/>
  <c r="K8" i="4"/>
  <c r="K7" i="4"/>
  <c r="K6" i="4"/>
  <c r="K12" i="4" s="1"/>
  <c r="K24" i="4"/>
  <c r="J24" i="5"/>
  <c r="J26" i="5" s="1"/>
  <c r="J5" i="5" l="1"/>
  <c r="J11" i="5" s="1"/>
  <c r="J13" i="5" s="1"/>
  <c r="R164" i="13"/>
  <c r="R166" i="13" s="1"/>
  <c r="H22" i="15"/>
  <c r="H225" i="15" l="1"/>
  <c r="J18" i="3"/>
  <c r="J24" i="3" s="1"/>
  <c r="J26" i="3" s="1"/>
  <c r="J11" i="3"/>
  <c r="J12" i="3" s="1"/>
  <c r="J314" i="7"/>
  <c r="K59" i="9" l="1"/>
  <c r="L21" i="3" s="1"/>
  <c r="J59" i="9"/>
  <c r="L20" i="3" s="1"/>
  <c r="L20" i="5" s="1"/>
  <c r="L58" i="9"/>
  <c r="F58" i="9"/>
  <c r="G58" i="9" s="1"/>
  <c r="L57" i="9"/>
  <c r="F57" i="9"/>
  <c r="G57" i="9" s="1"/>
  <c r="L56" i="9"/>
  <c r="F56" i="9"/>
  <c r="G56" i="9" s="1"/>
  <c r="L55" i="9"/>
  <c r="F55" i="9"/>
  <c r="G55" i="9" s="1"/>
  <c r="L54" i="9"/>
  <c r="F54" i="9"/>
  <c r="G54" i="9" s="1"/>
  <c r="L53" i="9"/>
  <c r="F53" i="9"/>
  <c r="G53" i="9" s="1"/>
  <c r="L52" i="9"/>
  <c r="F52" i="9"/>
  <c r="G52" i="9" s="1"/>
  <c r="L51" i="9"/>
  <c r="F51" i="9"/>
  <c r="G51" i="9" s="1"/>
  <c r="L50" i="9"/>
  <c r="F50" i="9"/>
  <c r="G50" i="9" s="1"/>
  <c r="L49" i="9"/>
  <c r="F49" i="9"/>
  <c r="G49" i="9" s="1"/>
  <c r="L48" i="9"/>
  <c r="F48" i="9"/>
  <c r="G48" i="9" s="1"/>
  <c r="L47" i="9"/>
  <c r="F47" i="9"/>
  <c r="G47" i="9" s="1"/>
  <c r="L46" i="9"/>
  <c r="F46" i="9"/>
  <c r="G46" i="9" s="1"/>
  <c r="L45" i="9"/>
  <c r="F45" i="9"/>
  <c r="G45" i="9" s="1"/>
  <c r="L44" i="9"/>
  <c r="F44" i="9"/>
  <c r="G44" i="9" s="1"/>
  <c r="L43" i="9"/>
  <c r="F43" i="9"/>
  <c r="G43" i="9" s="1"/>
  <c r="L42" i="9"/>
  <c r="F42" i="9"/>
  <c r="G42" i="9" s="1"/>
  <c r="L41" i="9"/>
  <c r="F41" i="9"/>
  <c r="G41" i="9" s="1"/>
  <c r="L40" i="9"/>
  <c r="F40" i="9"/>
  <c r="G40" i="9" s="1"/>
  <c r="L39" i="9"/>
  <c r="F39" i="9"/>
  <c r="G39" i="9" s="1"/>
  <c r="L38" i="9"/>
  <c r="F38" i="9"/>
  <c r="G38" i="9" s="1"/>
  <c r="L37" i="9"/>
  <c r="F37" i="9"/>
  <c r="G37" i="9" s="1"/>
  <c r="L36" i="9"/>
  <c r="F36" i="9"/>
  <c r="G36" i="9" s="1"/>
  <c r="L35" i="9"/>
  <c r="F35" i="9"/>
  <c r="G35" i="9" s="1"/>
  <c r="H34" i="9"/>
  <c r="F34" i="9"/>
  <c r="G34" i="9" s="1"/>
  <c r="H33" i="9"/>
  <c r="F33" i="9"/>
  <c r="G33" i="9" s="1"/>
  <c r="H32" i="9"/>
  <c r="F32" i="9"/>
  <c r="G32" i="9" s="1"/>
  <c r="L31" i="9"/>
  <c r="L30" i="9"/>
  <c r="L29" i="9"/>
  <c r="L59" i="9" s="1"/>
  <c r="L22" i="3" s="1"/>
  <c r="I27" i="9"/>
  <c r="H26" i="9"/>
  <c r="F26" i="9"/>
  <c r="G26" i="9" s="1"/>
  <c r="H25" i="9"/>
  <c r="F25" i="9"/>
  <c r="G25" i="9" s="1"/>
  <c r="H24" i="9"/>
  <c r="F24" i="9"/>
  <c r="G24" i="9" s="1"/>
  <c r="H23" i="9"/>
  <c r="F23" i="9"/>
  <c r="G23" i="9" s="1"/>
  <c r="H22" i="9"/>
  <c r="F22" i="9"/>
  <c r="G22" i="9" s="1"/>
  <c r="I21" i="9"/>
  <c r="F21" i="9"/>
  <c r="G21" i="9" s="1"/>
  <c r="I20" i="9"/>
  <c r="F20" i="9"/>
  <c r="G20" i="9" s="1"/>
  <c r="H19" i="9"/>
  <c r="F19" i="9"/>
  <c r="G19" i="9" s="1"/>
  <c r="I18" i="9"/>
  <c r="F18" i="9"/>
  <c r="G18" i="9" s="1"/>
  <c r="H16" i="9"/>
  <c r="F16" i="9"/>
  <c r="G16" i="9" s="1"/>
  <c r="H15" i="9"/>
  <c r="F15" i="9"/>
  <c r="G15" i="9" s="1"/>
  <c r="H14" i="9"/>
  <c r="F14" i="9"/>
  <c r="G14" i="9" s="1"/>
  <c r="H13" i="9"/>
  <c r="F13" i="9"/>
  <c r="G13" i="9" s="1"/>
  <c r="H12" i="9"/>
  <c r="F12" i="9"/>
  <c r="G12" i="9" s="1"/>
  <c r="F11" i="9"/>
  <c r="G11" i="9" s="1"/>
  <c r="B11" i="9"/>
  <c r="H10" i="9"/>
  <c r="F10" i="9"/>
  <c r="G10" i="9" s="1"/>
  <c r="H9" i="9"/>
  <c r="F9" i="9"/>
  <c r="G9" i="9" s="1"/>
  <c r="H8" i="9"/>
  <c r="F8" i="9"/>
  <c r="G8" i="9" s="1"/>
  <c r="I7" i="9"/>
  <c r="F7" i="9"/>
  <c r="G7" i="9" s="1"/>
  <c r="K58" i="8"/>
  <c r="N21" i="3" s="1"/>
  <c r="F57" i="8"/>
  <c r="G57" i="8" s="1"/>
  <c r="B57" i="8"/>
  <c r="J57" i="8" s="1"/>
  <c r="J56" i="8"/>
  <c r="F56" i="8"/>
  <c r="G56" i="8" s="1"/>
  <c r="J55" i="8"/>
  <c r="F55" i="8"/>
  <c r="G55" i="8" s="1"/>
  <c r="H54" i="8"/>
  <c r="F54" i="8"/>
  <c r="G54" i="8" s="1"/>
  <c r="I53" i="8"/>
  <c r="F53" i="8"/>
  <c r="G53" i="8" s="1"/>
  <c r="H52" i="8"/>
  <c r="F52" i="8"/>
  <c r="G52" i="8" s="1"/>
  <c r="H51" i="8"/>
  <c r="F51" i="8"/>
  <c r="G51" i="8" s="1"/>
  <c r="I50" i="8"/>
  <c r="F50" i="8"/>
  <c r="G50" i="8" s="1"/>
  <c r="I49" i="8"/>
  <c r="F49" i="8"/>
  <c r="G49" i="8" s="1"/>
  <c r="I48" i="8"/>
  <c r="I58" i="8" s="1"/>
  <c r="N19" i="3" s="1"/>
  <c r="F48" i="8"/>
  <c r="G48" i="8" s="1"/>
  <c r="J47" i="8"/>
  <c r="F47" i="8"/>
  <c r="G47" i="8" s="1"/>
  <c r="J46" i="8"/>
  <c r="F46" i="8"/>
  <c r="G46" i="8" s="1"/>
  <c r="J45" i="8"/>
  <c r="F45" i="8"/>
  <c r="G45" i="8" s="1"/>
  <c r="H44" i="8"/>
  <c r="F44" i="8"/>
  <c r="G44" i="8" s="1"/>
  <c r="H43" i="8"/>
  <c r="F43" i="8"/>
  <c r="G43" i="8" s="1"/>
  <c r="H42" i="8"/>
  <c r="F42" i="8"/>
  <c r="G42" i="8" s="1"/>
  <c r="H41" i="8"/>
  <c r="F41" i="8"/>
  <c r="G41" i="8" s="1"/>
  <c r="H40" i="8"/>
  <c r="F40" i="8"/>
  <c r="G40" i="8" s="1"/>
  <c r="H39" i="8"/>
  <c r="F39" i="8"/>
  <c r="G39" i="8" s="1"/>
  <c r="H38" i="8"/>
  <c r="F38" i="8"/>
  <c r="G38" i="8" s="1"/>
  <c r="H37" i="8"/>
  <c r="F37" i="8"/>
  <c r="G37" i="8" s="1"/>
  <c r="H36" i="8"/>
  <c r="F36" i="8"/>
  <c r="G36" i="8" s="1"/>
  <c r="H35" i="8"/>
  <c r="F35" i="8"/>
  <c r="G35" i="8" s="1"/>
  <c r="L34" i="8"/>
  <c r="L33" i="8"/>
  <c r="L32" i="8"/>
  <c r="H30" i="8"/>
  <c r="F30" i="8"/>
  <c r="G30" i="8" s="1"/>
  <c r="H29" i="8"/>
  <c r="F29" i="8"/>
  <c r="G29" i="8" s="1"/>
  <c r="H28" i="8"/>
  <c r="F28" i="8"/>
  <c r="G28" i="8" s="1"/>
  <c r="H27" i="8"/>
  <c r="F27" i="8"/>
  <c r="G27" i="8" s="1"/>
  <c r="H26" i="8"/>
  <c r="F26" i="8"/>
  <c r="G26" i="8" s="1"/>
  <c r="H25" i="8"/>
  <c r="F25" i="8"/>
  <c r="G25" i="8" s="1"/>
  <c r="H24" i="8"/>
  <c r="F24" i="8"/>
  <c r="G24" i="8" s="1"/>
  <c r="F23" i="8"/>
  <c r="G23" i="8" s="1"/>
  <c r="B23" i="8"/>
  <c r="H21" i="8"/>
  <c r="F21" i="8"/>
  <c r="G21" i="8" s="1"/>
  <c r="H20" i="8"/>
  <c r="F20" i="8"/>
  <c r="G20" i="8" s="1"/>
  <c r="H19" i="8"/>
  <c r="F19" i="8"/>
  <c r="G19" i="8" s="1"/>
  <c r="H18" i="8"/>
  <c r="F18" i="8"/>
  <c r="G18" i="8" s="1"/>
  <c r="H17" i="8"/>
  <c r="F17" i="8"/>
  <c r="G17" i="8" s="1"/>
  <c r="H16" i="8"/>
  <c r="F16" i="8"/>
  <c r="G16" i="8" s="1"/>
  <c r="H15" i="8"/>
  <c r="F15" i="8"/>
  <c r="G15" i="8" s="1"/>
  <c r="H13" i="8"/>
  <c r="F13" i="8"/>
  <c r="G13" i="8" s="1"/>
  <c r="H12" i="8"/>
  <c r="F12" i="8"/>
  <c r="G12" i="8" s="1"/>
  <c r="H11" i="8"/>
  <c r="F11" i="8"/>
  <c r="G11" i="8" s="1"/>
  <c r="H10" i="8"/>
  <c r="F10" i="8"/>
  <c r="G10" i="8" s="1"/>
  <c r="H9" i="8"/>
  <c r="F9" i="8"/>
  <c r="G9" i="8" s="1"/>
  <c r="H8" i="8"/>
  <c r="F8" i="8"/>
  <c r="G8" i="8" s="1"/>
  <c r="H7" i="8"/>
  <c r="F7" i="8"/>
  <c r="G7" i="8" s="1"/>
  <c r="L9" i="3"/>
  <c r="H308" i="7"/>
  <c r="F308" i="7"/>
  <c r="G308" i="7" s="1"/>
  <c r="H307" i="7"/>
  <c r="F307" i="7"/>
  <c r="G307" i="7" s="1"/>
  <c r="H306" i="7"/>
  <c r="F306" i="7"/>
  <c r="G306" i="7" s="1"/>
  <c r="H305" i="7"/>
  <c r="F305" i="7"/>
  <c r="G305" i="7" s="1"/>
  <c r="H304" i="7"/>
  <c r="F304" i="7"/>
  <c r="G304" i="7" s="1"/>
  <c r="H303" i="7"/>
  <c r="F303" i="7"/>
  <c r="G303" i="7" s="1"/>
  <c r="H302" i="7"/>
  <c r="F302" i="7"/>
  <c r="G302" i="7" s="1"/>
  <c r="H301" i="7"/>
  <c r="F301" i="7"/>
  <c r="G301" i="7" s="1"/>
  <c r="H300" i="7"/>
  <c r="F300" i="7"/>
  <c r="G300" i="7" s="1"/>
  <c r="H299" i="7"/>
  <c r="F299" i="7"/>
  <c r="G299" i="7" s="1"/>
  <c r="H298" i="7"/>
  <c r="F298" i="7"/>
  <c r="G298" i="7" s="1"/>
  <c r="H297" i="7"/>
  <c r="F297" i="7"/>
  <c r="G297" i="7" s="1"/>
  <c r="H296" i="7"/>
  <c r="F296" i="7"/>
  <c r="G296" i="7" s="1"/>
  <c r="H295" i="7"/>
  <c r="F295" i="7"/>
  <c r="G295" i="7" s="1"/>
  <c r="H294" i="7"/>
  <c r="F294" i="7"/>
  <c r="G294" i="7" s="1"/>
  <c r="H293" i="7"/>
  <c r="F293" i="7"/>
  <c r="G293" i="7" s="1"/>
  <c r="H292" i="7"/>
  <c r="F292" i="7"/>
  <c r="G292" i="7" s="1"/>
  <c r="H291" i="7"/>
  <c r="F291" i="7"/>
  <c r="G291" i="7" s="1"/>
  <c r="H290" i="7"/>
  <c r="F290" i="7"/>
  <c r="G290" i="7" s="1"/>
  <c r="H289" i="7"/>
  <c r="F289" i="7"/>
  <c r="G289" i="7" s="1"/>
  <c r="K288" i="7"/>
  <c r="F288" i="7"/>
  <c r="G288" i="7" s="1"/>
  <c r="H287" i="7"/>
  <c r="F287" i="7"/>
  <c r="G287" i="7" s="1"/>
  <c r="L286" i="7"/>
  <c r="F286" i="7"/>
  <c r="G286" i="7" s="1"/>
  <c r="L285" i="7"/>
  <c r="F285" i="7"/>
  <c r="G285" i="7" s="1"/>
  <c r="H284" i="7"/>
  <c r="F284" i="7"/>
  <c r="G284" i="7" s="1"/>
  <c r="H283" i="7"/>
  <c r="F283" i="7"/>
  <c r="G283" i="7" s="1"/>
  <c r="H282" i="7"/>
  <c r="F282" i="7"/>
  <c r="G282" i="7" s="1"/>
  <c r="L281" i="7"/>
  <c r="F281" i="7"/>
  <c r="G281" i="7" s="1"/>
  <c r="L280" i="7"/>
  <c r="F280" i="7"/>
  <c r="G280" i="7" s="1"/>
  <c r="L279" i="7"/>
  <c r="F279" i="7"/>
  <c r="G279" i="7" s="1"/>
  <c r="K278" i="7"/>
  <c r="F278" i="7"/>
  <c r="G278" i="7" s="1"/>
  <c r="H277" i="7"/>
  <c r="F277" i="7"/>
  <c r="G277" i="7" s="1"/>
  <c r="H276" i="7"/>
  <c r="F276" i="7"/>
  <c r="G276" i="7" s="1"/>
  <c r="H275" i="7"/>
  <c r="F275" i="7"/>
  <c r="G275" i="7" s="1"/>
  <c r="H274" i="7"/>
  <c r="F274" i="7"/>
  <c r="G274" i="7" s="1"/>
  <c r="H273" i="7"/>
  <c r="F273" i="7"/>
  <c r="G273" i="7" s="1"/>
  <c r="H272" i="7"/>
  <c r="F272" i="7"/>
  <c r="G272" i="7" s="1"/>
  <c r="H271" i="7"/>
  <c r="F271" i="7"/>
  <c r="G271" i="7" s="1"/>
  <c r="H270" i="7"/>
  <c r="F270" i="7"/>
  <c r="G270" i="7" s="1"/>
  <c r="H269" i="7"/>
  <c r="F269" i="7"/>
  <c r="G269" i="7" s="1"/>
  <c r="I268" i="7"/>
  <c r="I314" i="7" s="1"/>
  <c r="F268" i="7"/>
  <c r="G268" i="7" s="1"/>
  <c r="L267" i="7"/>
  <c r="F267" i="7"/>
  <c r="G267" i="7" s="1"/>
  <c r="K266" i="7"/>
  <c r="K314" i="7" s="1"/>
  <c r="F266" i="7"/>
  <c r="G266" i="7" s="1"/>
  <c r="L265" i="7"/>
  <c r="F265" i="7"/>
  <c r="G265" i="7" s="1"/>
  <c r="L264" i="7"/>
  <c r="L314" i="7" s="1"/>
  <c r="F264" i="7"/>
  <c r="G264" i="7" s="1"/>
  <c r="H263" i="7"/>
  <c r="F263" i="7"/>
  <c r="G263" i="7" s="1"/>
  <c r="H262" i="7"/>
  <c r="F262" i="7"/>
  <c r="G262" i="7" s="1"/>
  <c r="H261" i="7"/>
  <c r="F261" i="7"/>
  <c r="G261" i="7" s="1"/>
  <c r="H260" i="7"/>
  <c r="F260" i="7"/>
  <c r="G260" i="7" s="1"/>
  <c r="H259" i="7"/>
  <c r="F259" i="7"/>
  <c r="G259" i="7" s="1"/>
  <c r="H258" i="7"/>
  <c r="F258" i="7"/>
  <c r="G258" i="7" s="1"/>
  <c r="H257" i="7"/>
  <c r="F257" i="7"/>
  <c r="G257" i="7" s="1"/>
  <c r="H256" i="7"/>
  <c r="F256" i="7"/>
  <c r="G256" i="7" s="1"/>
  <c r="H255" i="7"/>
  <c r="F255" i="7"/>
  <c r="G255" i="7" s="1"/>
  <c r="H254" i="7"/>
  <c r="F254" i="7"/>
  <c r="G254" i="7" s="1"/>
  <c r="H253" i="7"/>
  <c r="F253" i="7"/>
  <c r="G253" i="7" s="1"/>
  <c r="H252" i="7"/>
  <c r="F252" i="7"/>
  <c r="G252" i="7" s="1"/>
  <c r="H251" i="7"/>
  <c r="F251" i="7"/>
  <c r="G251" i="7" s="1"/>
  <c r="H250" i="7"/>
  <c r="F250" i="7"/>
  <c r="G250" i="7" s="1"/>
  <c r="H249" i="7"/>
  <c r="F249" i="7"/>
  <c r="G249" i="7" s="1"/>
  <c r="H248" i="7"/>
  <c r="F248" i="7"/>
  <c r="G248" i="7" s="1"/>
  <c r="H247" i="7"/>
  <c r="F247" i="7"/>
  <c r="G247" i="7" s="1"/>
  <c r="H246" i="7"/>
  <c r="H314" i="7" s="1"/>
  <c r="F246" i="7"/>
  <c r="G246" i="7" s="1"/>
  <c r="I244" i="7"/>
  <c r="H243" i="7"/>
  <c r="F243" i="7"/>
  <c r="G243" i="7" s="1"/>
  <c r="H242" i="7"/>
  <c r="F242" i="7"/>
  <c r="G242" i="7" s="1"/>
  <c r="H241" i="7"/>
  <c r="F241" i="7"/>
  <c r="G241" i="7" s="1"/>
  <c r="H240" i="7"/>
  <c r="F240" i="7"/>
  <c r="G240" i="7" s="1"/>
  <c r="F239" i="7"/>
  <c r="G239" i="7" s="1"/>
  <c r="B239" i="7"/>
  <c r="H238" i="7"/>
  <c r="F238" i="7"/>
  <c r="G238" i="7" s="1"/>
  <c r="H237" i="7"/>
  <c r="F237" i="7"/>
  <c r="G237" i="7" s="1"/>
  <c r="H236" i="7"/>
  <c r="F236" i="7"/>
  <c r="G236" i="7" s="1"/>
  <c r="H235" i="7"/>
  <c r="F235" i="7"/>
  <c r="G235" i="7" s="1"/>
  <c r="H234" i="7"/>
  <c r="F234" i="7"/>
  <c r="G234" i="7" s="1"/>
  <c r="H233" i="7"/>
  <c r="F233" i="7"/>
  <c r="G233" i="7" s="1"/>
  <c r="H232" i="7"/>
  <c r="F232" i="7"/>
  <c r="G232" i="7" s="1"/>
  <c r="H231" i="7"/>
  <c r="F231" i="7"/>
  <c r="G231" i="7" s="1"/>
  <c r="H230" i="7"/>
  <c r="F230" i="7"/>
  <c r="G230" i="7" s="1"/>
  <c r="H229" i="7"/>
  <c r="F229" i="7"/>
  <c r="G229" i="7" s="1"/>
  <c r="H228" i="7"/>
  <c r="F228" i="7"/>
  <c r="G228" i="7" s="1"/>
  <c r="H227" i="7"/>
  <c r="F227" i="7"/>
  <c r="G227" i="7" s="1"/>
  <c r="I226" i="7"/>
  <c r="F226" i="7"/>
  <c r="G226" i="7" s="1"/>
  <c r="I225" i="7"/>
  <c r="F225" i="7"/>
  <c r="G225" i="7" s="1"/>
  <c r="H223" i="7"/>
  <c r="F223" i="7"/>
  <c r="G223" i="7" s="1"/>
  <c r="I222" i="7"/>
  <c r="F222" i="7"/>
  <c r="G222" i="7" s="1"/>
  <c r="I221" i="7"/>
  <c r="F221" i="7"/>
  <c r="G221" i="7" s="1"/>
  <c r="I220" i="7"/>
  <c r="F220" i="7"/>
  <c r="G220" i="7" s="1"/>
  <c r="I219" i="7"/>
  <c r="F219" i="7"/>
  <c r="G219" i="7" s="1"/>
  <c r="J218" i="7"/>
  <c r="F218" i="7"/>
  <c r="G218" i="7" s="1"/>
  <c r="I217" i="7"/>
  <c r="F217" i="7"/>
  <c r="G217" i="7" s="1"/>
  <c r="I216" i="7"/>
  <c r="F216" i="7"/>
  <c r="G216" i="7" s="1"/>
  <c r="I215" i="7"/>
  <c r="F215" i="7"/>
  <c r="G215" i="7" s="1"/>
  <c r="J214" i="7"/>
  <c r="F214" i="7"/>
  <c r="G214" i="7" s="1"/>
  <c r="K213" i="7"/>
  <c r="F213" i="7"/>
  <c r="G213" i="7" s="1"/>
  <c r="J212" i="7"/>
  <c r="F212" i="7"/>
  <c r="G212" i="7" s="1"/>
  <c r="K211" i="7"/>
  <c r="F211" i="7"/>
  <c r="G211" i="7" s="1"/>
  <c r="K210" i="7"/>
  <c r="F210" i="7"/>
  <c r="G210" i="7" s="1"/>
  <c r="J209" i="7"/>
  <c r="F209" i="7"/>
  <c r="G209" i="7" s="1"/>
  <c r="J208" i="7"/>
  <c r="F208" i="7"/>
  <c r="G208" i="7" s="1"/>
  <c r="H207" i="7"/>
  <c r="F207" i="7"/>
  <c r="G207" i="7" s="1"/>
  <c r="H206" i="7"/>
  <c r="F206" i="7"/>
  <c r="G206" i="7" s="1"/>
  <c r="L205" i="7"/>
  <c r="F205" i="7"/>
  <c r="G205" i="7" s="1"/>
  <c r="K204" i="7"/>
  <c r="F204" i="7"/>
  <c r="G204" i="7" s="1"/>
  <c r="H203" i="7"/>
  <c r="F203" i="7"/>
  <c r="G203" i="7" s="1"/>
  <c r="L202" i="7"/>
  <c r="F202" i="7"/>
  <c r="G202" i="7" s="1"/>
  <c r="L201" i="7"/>
  <c r="F201" i="7"/>
  <c r="G201" i="7" s="1"/>
  <c r="L200" i="7"/>
  <c r="F200" i="7"/>
  <c r="G200" i="7" s="1"/>
  <c r="H199" i="7"/>
  <c r="F199" i="7"/>
  <c r="G199" i="7" s="1"/>
  <c r="H198" i="7"/>
  <c r="F198" i="7"/>
  <c r="G198" i="7" s="1"/>
  <c r="H197" i="7"/>
  <c r="F197" i="7"/>
  <c r="G197" i="7" s="1"/>
  <c r="H196" i="7"/>
  <c r="F196" i="7"/>
  <c r="G196" i="7" s="1"/>
  <c r="H195" i="7"/>
  <c r="F195" i="7"/>
  <c r="G195" i="7" s="1"/>
  <c r="H194" i="7"/>
  <c r="F194" i="7"/>
  <c r="G194" i="7" s="1"/>
  <c r="H193" i="7"/>
  <c r="F193" i="7"/>
  <c r="G193" i="7" s="1"/>
  <c r="H192" i="7"/>
  <c r="F192" i="7"/>
  <c r="G192" i="7" s="1"/>
  <c r="L191" i="7"/>
  <c r="F191" i="7"/>
  <c r="G191" i="7" s="1"/>
  <c r="L190" i="7"/>
  <c r="F190" i="7"/>
  <c r="G190" i="7" s="1"/>
  <c r="I189" i="7"/>
  <c r="F189" i="7"/>
  <c r="G189" i="7" s="1"/>
  <c r="H188" i="7"/>
  <c r="F188" i="7"/>
  <c r="G188" i="7" s="1"/>
  <c r="I187" i="7"/>
  <c r="F187" i="7"/>
  <c r="G187" i="7" s="1"/>
  <c r="I186" i="7"/>
  <c r="F186" i="7"/>
  <c r="G186" i="7" s="1"/>
  <c r="J185" i="7"/>
  <c r="F185" i="7"/>
  <c r="G185" i="7" s="1"/>
  <c r="K184" i="7"/>
  <c r="F184" i="7"/>
  <c r="G184" i="7" s="1"/>
  <c r="H183" i="7"/>
  <c r="F183" i="7"/>
  <c r="G183" i="7" s="1"/>
  <c r="L182" i="7"/>
  <c r="F182" i="7"/>
  <c r="G182" i="7" s="1"/>
  <c r="H181" i="7"/>
  <c r="F181" i="7"/>
  <c r="G181" i="7" s="1"/>
  <c r="H180" i="7"/>
  <c r="F180" i="7"/>
  <c r="G180" i="7" s="1"/>
  <c r="H179" i="7"/>
  <c r="F179" i="7"/>
  <c r="G179" i="7" s="1"/>
  <c r="H178" i="7"/>
  <c r="F178" i="7"/>
  <c r="G178" i="7" s="1"/>
  <c r="H177" i="7"/>
  <c r="F177" i="7"/>
  <c r="G177" i="7" s="1"/>
  <c r="H176" i="7"/>
  <c r="F176" i="7"/>
  <c r="G176" i="7" s="1"/>
  <c r="H175" i="7"/>
  <c r="F175" i="7"/>
  <c r="G175" i="7" s="1"/>
  <c r="H174" i="7"/>
  <c r="F174" i="7"/>
  <c r="G174" i="7" s="1"/>
  <c r="H173" i="7"/>
  <c r="F173" i="7"/>
  <c r="G173" i="7" s="1"/>
  <c r="H172" i="7"/>
  <c r="F172" i="7"/>
  <c r="G172" i="7" s="1"/>
  <c r="H171" i="7"/>
  <c r="F171" i="7"/>
  <c r="G171" i="7" s="1"/>
  <c r="I170" i="7"/>
  <c r="F170" i="7"/>
  <c r="G170" i="7" s="1"/>
  <c r="I169" i="7"/>
  <c r="F169" i="7"/>
  <c r="G169" i="7" s="1"/>
  <c r="I168" i="7"/>
  <c r="F168" i="7"/>
  <c r="G168" i="7" s="1"/>
  <c r="I167" i="7"/>
  <c r="F167" i="7"/>
  <c r="G167" i="7" s="1"/>
  <c r="I166" i="7"/>
  <c r="F166" i="7"/>
  <c r="G166" i="7" s="1"/>
  <c r="J165" i="7"/>
  <c r="F165" i="7"/>
  <c r="G165" i="7" s="1"/>
  <c r="I164" i="7"/>
  <c r="F164" i="7"/>
  <c r="G164" i="7" s="1"/>
  <c r="H163" i="7"/>
  <c r="F163" i="7"/>
  <c r="G163" i="7" s="1"/>
  <c r="I162" i="7"/>
  <c r="F162" i="7"/>
  <c r="G162" i="7" s="1"/>
  <c r="H161" i="7"/>
  <c r="F161" i="7"/>
  <c r="G161" i="7" s="1"/>
  <c r="J160" i="7"/>
  <c r="F160" i="7"/>
  <c r="G160" i="7" s="1"/>
  <c r="H159" i="7"/>
  <c r="F159" i="7"/>
  <c r="G159" i="7" s="1"/>
  <c r="J158" i="7"/>
  <c r="F158" i="7"/>
  <c r="G158" i="7" s="1"/>
  <c r="J157" i="7"/>
  <c r="F157" i="7"/>
  <c r="G157" i="7" s="1"/>
  <c r="K156" i="7"/>
  <c r="F156" i="7"/>
  <c r="G156" i="7" s="1"/>
  <c r="I155" i="7"/>
  <c r="F155" i="7"/>
  <c r="G155" i="7" s="1"/>
  <c r="K154" i="7"/>
  <c r="F154" i="7"/>
  <c r="G154" i="7" s="1"/>
  <c r="K153" i="7"/>
  <c r="F153" i="7"/>
  <c r="G153" i="7" s="1"/>
  <c r="J152" i="7"/>
  <c r="F152" i="7"/>
  <c r="G152" i="7" s="1"/>
  <c r="K151" i="7"/>
  <c r="F151" i="7"/>
  <c r="G151" i="7" s="1"/>
  <c r="I150" i="7"/>
  <c r="F150" i="7"/>
  <c r="G150" i="7" s="1"/>
  <c r="K149" i="7"/>
  <c r="F149" i="7"/>
  <c r="G149" i="7" s="1"/>
  <c r="K148" i="7"/>
  <c r="F148" i="7"/>
  <c r="G148" i="7" s="1"/>
  <c r="K147" i="7"/>
  <c r="F147" i="7"/>
  <c r="G147" i="7" s="1"/>
  <c r="J146" i="7"/>
  <c r="F146" i="7"/>
  <c r="G146" i="7" s="1"/>
  <c r="J145" i="7"/>
  <c r="F145" i="7"/>
  <c r="G145" i="7" s="1"/>
  <c r="J144" i="7"/>
  <c r="F144" i="7"/>
  <c r="G144" i="7" s="1"/>
  <c r="K143" i="7"/>
  <c r="F143" i="7"/>
  <c r="G143" i="7" s="1"/>
  <c r="K142" i="7"/>
  <c r="F142" i="7"/>
  <c r="G142" i="7" s="1"/>
  <c r="K141" i="7"/>
  <c r="F141" i="7"/>
  <c r="G141" i="7" s="1"/>
  <c r="K140" i="7"/>
  <c r="F140" i="7"/>
  <c r="G140" i="7" s="1"/>
  <c r="J139" i="7"/>
  <c r="F139" i="7"/>
  <c r="G139" i="7" s="1"/>
  <c r="K138" i="7"/>
  <c r="F138" i="7"/>
  <c r="G138" i="7" s="1"/>
  <c r="K137" i="7"/>
  <c r="F137" i="7"/>
  <c r="G137" i="7" s="1"/>
  <c r="K136" i="7"/>
  <c r="F136" i="7"/>
  <c r="G136" i="7" s="1"/>
  <c r="L135" i="7"/>
  <c r="F135" i="7"/>
  <c r="G135" i="7" s="1"/>
  <c r="L134" i="7"/>
  <c r="F134" i="7"/>
  <c r="G134" i="7" s="1"/>
  <c r="K133" i="7"/>
  <c r="F133" i="7"/>
  <c r="G133" i="7" s="1"/>
  <c r="L132" i="7"/>
  <c r="F132" i="7"/>
  <c r="G132" i="7" s="1"/>
  <c r="L131" i="7"/>
  <c r="F131" i="7"/>
  <c r="G131" i="7" s="1"/>
  <c r="K130" i="7"/>
  <c r="F130" i="7"/>
  <c r="G130" i="7" s="1"/>
  <c r="K129" i="7"/>
  <c r="F129" i="7"/>
  <c r="G129" i="7" s="1"/>
  <c r="L128" i="7"/>
  <c r="F128" i="7"/>
  <c r="G128" i="7" s="1"/>
  <c r="J127" i="7"/>
  <c r="F127" i="7"/>
  <c r="G127" i="7" s="1"/>
  <c r="J126" i="7"/>
  <c r="F126" i="7"/>
  <c r="G126" i="7" s="1"/>
  <c r="J125" i="7"/>
  <c r="F125" i="7"/>
  <c r="G125" i="7" s="1"/>
  <c r="J124" i="7"/>
  <c r="F124" i="7"/>
  <c r="G124" i="7" s="1"/>
  <c r="J123" i="7"/>
  <c r="F123" i="7"/>
  <c r="G123" i="7" s="1"/>
  <c r="K122" i="7"/>
  <c r="F122" i="7"/>
  <c r="G122" i="7" s="1"/>
  <c r="K121" i="7"/>
  <c r="F121" i="7"/>
  <c r="G121" i="7" s="1"/>
  <c r="L120" i="7"/>
  <c r="F120" i="7"/>
  <c r="G120" i="7" s="1"/>
  <c r="K119" i="7"/>
  <c r="F119" i="7"/>
  <c r="G119" i="7" s="1"/>
  <c r="K118" i="7"/>
  <c r="F118" i="7"/>
  <c r="G118" i="7" s="1"/>
  <c r="K117" i="7"/>
  <c r="F117" i="7"/>
  <c r="G117" i="7" s="1"/>
  <c r="K116" i="7"/>
  <c r="F116" i="7"/>
  <c r="G116" i="7" s="1"/>
  <c r="K115" i="7"/>
  <c r="F115" i="7"/>
  <c r="G115" i="7" s="1"/>
  <c r="K114" i="7"/>
  <c r="F114" i="7"/>
  <c r="G114" i="7" s="1"/>
  <c r="L113" i="7"/>
  <c r="F113" i="7"/>
  <c r="G113" i="7" s="1"/>
  <c r="L112" i="7"/>
  <c r="F112" i="7"/>
  <c r="G112" i="7" s="1"/>
  <c r="L111" i="7"/>
  <c r="F111" i="7"/>
  <c r="G111" i="7" s="1"/>
  <c r="L110" i="7"/>
  <c r="F110" i="7"/>
  <c r="G110" i="7" s="1"/>
  <c r="L109" i="7"/>
  <c r="F109" i="7"/>
  <c r="G109" i="7" s="1"/>
  <c r="J108" i="7"/>
  <c r="F108" i="7"/>
  <c r="G108" i="7" s="1"/>
  <c r="H107" i="7"/>
  <c r="F107" i="7"/>
  <c r="G107" i="7" s="1"/>
  <c r="J106" i="7"/>
  <c r="F106" i="7"/>
  <c r="G106" i="7" s="1"/>
  <c r="H105" i="7"/>
  <c r="F105" i="7"/>
  <c r="G105" i="7" s="1"/>
  <c r="K104" i="7"/>
  <c r="F104" i="7"/>
  <c r="G104" i="7" s="1"/>
  <c r="H103" i="7"/>
  <c r="F103" i="7"/>
  <c r="G103" i="7" s="1"/>
  <c r="K102" i="7"/>
  <c r="F102" i="7"/>
  <c r="G102" i="7" s="1"/>
  <c r="L101" i="7"/>
  <c r="F101" i="7"/>
  <c r="G101" i="7" s="1"/>
  <c r="H100" i="7"/>
  <c r="F100" i="7"/>
  <c r="G100" i="7" s="1"/>
  <c r="K99" i="7"/>
  <c r="F99" i="7"/>
  <c r="G99" i="7" s="1"/>
  <c r="K98" i="7"/>
  <c r="F98" i="7"/>
  <c r="G98" i="7" s="1"/>
  <c r="L97" i="7"/>
  <c r="F97" i="7"/>
  <c r="G97" i="7" s="1"/>
  <c r="K96" i="7"/>
  <c r="F96" i="7"/>
  <c r="G96" i="7" s="1"/>
  <c r="K95" i="7"/>
  <c r="F95" i="7"/>
  <c r="G95" i="7" s="1"/>
  <c r="K94" i="7"/>
  <c r="F94" i="7"/>
  <c r="G94" i="7" s="1"/>
  <c r="K93" i="7"/>
  <c r="F93" i="7"/>
  <c r="G93" i="7" s="1"/>
  <c r="K92" i="7"/>
  <c r="F92" i="7"/>
  <c r="G92" i="7" s="1"/>
  <c r="K91" i="7"/>
  <c r="F91" i="7"/>
  <c r="G91" i="7" s="1"/>
  <c r="K90" i="7"/>
  <c r="F90" i="7"/>
  <c r="G90" i="7" s="1"/>
  <c r="L89" i="7"/>
  <c r="F89" i="7"/>
  <c r="G89" i="7" s="1"/>
  <c r="J88" i="7"/>
  <c r="F88" i="7"/>
  <c r="G88" i="7" s="1"/>
  <c r="K87" i="7"/>
  <c r="F87" i="7"/>
  <c r="G87" i="7" s="1"/>
  <c r="K86" i="7"/>
  <c r="F86" i="7"/>
  <c r="G86" i="7" s="1"/>
  <c r="K85" i="7"/>
  <c r="F85" i="7"/>
  <c r="G85" i="7" s="1"/>
  <c r="H84" i="7"/>
  <c r="F84" i="7"/>
  <c r="G84" i="7" s="1"/>
  <c r="I83" i="7"/>
  <c r="F83" i="7"/>
  <c r="G83" i="7" s="1"/>
  <c r="K82" i="7"/>
  <c r="F82" i="7"/>
  <c r="G82" i="7" s="1"/>
  <c r="H81" i="7"/>
  <c r="F81" i="7"/>
  <c r="G81" i="7" s="1"/>
  <c r="I80" i="7"/>
  <c r="F80" i="7"/>
  <c r="G80" i="7" s="1"/>
  <c r="J79" i="7"/>
  <c r="F79" i="7"/>
  <c r="G79" i="7" s="1"/>
  <c r="J78" i="7"/>
  <c r="F78" i="7"/>
  <c r="G78" i="7" s="1"/>
  <c r="I77" i="7"/>
  <c r="F77" i="7"/>
  <c r="G77" i="7" s="1"/>
  <c r="H76" i="7"/>
  <c r="F76" i="7"/>
  <c r="G76" i="7" s="1"/>
  <c r="H75" i="7"/>
  <c r="F75" i="7"/>
  <c r="G75" i="7" s="1"/>
  <c r="H74" i="7"/>
  <c r="F74" i="7"/>
  <c r="G74" i="7" s="1"/>
  <c r="L73" i="7"/>
  <c r="L309" i="7" s="1"/>
  <c r="F73" i="7"/>
  <c r="G73" i="7" s="1"/>
  <c r="H72" i="7"/>
  <c r="F72" i="7"/>
  <c r="G72" i="7" s="1"/>
  <c r="H71" i="7"/>
  <c r="F71" i="7"/>
  <c r="G71" i="7" s="1"/>
  <c r="H70" i="7"/>
  <c r="F70" i="7"/>
  <c r="G70" i="7" s="1"/>
  <c r="H69" i="7"/>
  <c r="F69" i="7"/>
  <c r="G69" i="7" s="1"/>
  <c r="H68" i="7"/>
  <c r="F68" i="7"/>
  <c r="G68" i="7" s="1"/>
  <c r="H67" i="7"/>
  <c r="F67" i="7"/>
  <c r="G67" i="7" s="1"/>
  <c r="H66" i="7"/>
  <c r="F66" i="7"/>
  <c r="G66" i="7" s="1"/>
  <c r="H65" i="7"/>
  <c r="F65" i="7"/>
  <c r="G65" i="7" s="1"/>
  <c r="H64" i="7"/>
  <c r="F64" i="7"/>
  <c r="G64" i="7" s="1"/>
  <c r="H63" i="7"/>
  <c r="F63" i="7"/>
  <c r="G63" i="7" s="1"/>
  <c r="H62" i="7"/>
  <c r="F62" i="7"/>
  <c r="G62" i="7" s="1"/>
  <c r="H61" i="7"/>
  <c r="F61" i="7"/>
  <c r="G61" i="7" s="1"/>
  <c r="H60" i="7"/>
  <c r="F60" i="7"/>
  <c r="G60" i="7" s="1"/>
  <c r="H59" i="7"/>
  <c r="F59" i="7"/>
  <c r="G59" i="7" s="1"/>
  <c r="H58" i="7"/>
  <c r="F58" i="7"/>
  <c r="G58" i="7" s="1"/>
  <c r="H57" i="7"/>
  <c r="F57" i="7"/>
  <c r="G57" i="7" s="1"/>
  <c r="H56" i="7"/>
  <c r="F56" i="7"/>
  <c r="G56" i="7" s="1"/>
  <c r="H55" i="7"/>
  <c r="F55" i="7"/>
  <c r="G55" i="7" s="1"/>
  <c r="H54" i="7"/>
  <c r="F54" i="7"/>
  <c r="G54" i="7" s="1"/>
  <c r="H53" i="7"/>
  <c r="F53" i="7"/>
  <c r="G53" i="7" s="1"/>
  <c r="I52" i="7"/>
  <c r="F52" i="7"/>
  <c r="G52" i="7" s="1"/>
  <c r="I51" i="7"/>
  <c r="F51" i="7"/>
  <c r="G51" i="7" s="1"/>
  <c r="I50" i="7"/>
  <c r="F50" i="7"/>
  <c r="G50" i="7" s="1"/>
  <c r="J49" i="7"/>
  <c r="F49" i="7"/>
  <c r="G49" i="7" s="1"/>
  <c r="H48" i="7"/>
  <c r="F48" i="7"/>
  <c r="G48" i="7" s="1"/>
  <c r="H47" i="7"/>
  <c r="F47" i="7"/>
  <c r="G47" i="7" s="1"/>
  <c r="H46" i="7"/>
  <c r="F46" i="7"/>
  <c r="G46" i="7" s="1"/>
  <c r="H45" i="7"/>
  <c r="F45" i="7"/>
  <c r="G45" i="7" s="1"/>
  <c r="H44" i="7"/>
  <c r="F44" i="7"/>
  <c r="G44" i="7" s="1"/>
  <c r="H43" i="7"/>
  <c r="F43" i="7"/>
  <c r="G43" i="7" s="1"/>
  <c r="H42" i="7"/>
  <c r="F42" i="7"/>
  <c r="G42" i="7" s="1"/>
  <c r="H41" i="7"/>
  <c r="F41" i="7"/>
  <c r="G41" i="7" s="1"/>
  <c r="I40" i="7"/>
  <c r="F40" i="7"/>
  <c r="G40" i="7" s="1"/>
  <c r="I39" i="7"/>
  <c r="F39" i="7"/>
  <c r="G39" i="7" s="1"/>
  <c r="H38" i="7"/>
  <c r="F38" i="7"/>
  <c r="G38" i="7" s="1"/>
  <c r="I37" i="7"/>
  <c r="F37" i="7"/>
  <c r="G37" i="7" s="1"/>
  <c r="H36" i="7"/>
  <c r="F36" i="7"/>
  <c r="G36" i="7" s="1"/>
  <c r="H35" i="7"/>
  <c r="F35" i="7"/>
  <c r="G35" i="7" s="1"/>
  <c r="H34" i="7"/>
  <c r="F34" i="7"/>
  <c r="G34" i="7" s="1"/>
  <c r="H33" i="7"/>
  <c r="F33" i="7"/>
  <c r="G33" i="7" s="1"/>
  <c r="H32" i="7"/>
  <c r="F32" i="7"/>
  <c r="G32" i="7" s="1"/>
  <c r="I31" i="7"/>
  <c r="F31" i="7"/>
  <c r="G31" i="7" s="1"/>
  <c r="I30" i="7"/>
  <c r="F30" i="7"/>
  <c r="G30" i="7" s="1"/>
  <c r="H29" i="7"/>
  <c r="F29" i="7"/>
  <c r="G29" i="7" s="1"/>
  <c r="H28" i="7"/>
  <c r="F28" i="7"/>
  <c r="G28" i="7" s="1"/>
  <c r="I27" i="7"/>
  <c r="F27" i="7"/>
  <c r="G27" i="7" s="1"/>
  <c r="I26" i="7"/>
  <c r="F26" i="7"/>
  <c r="G26" i="7" s="1"/>
  <c r="K25" i="7"/>
  <c r="F25" i="7"/>
  <c r="G25" i="7" s="1"/>
  <c r="J24" i="7"/>
  <c r="F24" i="7"/>
  <c r="G24" i="7" s="1"/>
  <c r="K23" i="7"/>
  <c r="K309" i="7" s="1"/>
  <c r="L8" i="3" s="1"/>
  <c r="F23" i="7"/>
  <c r="G23" i="7" s="1"/>
  <c r="H22" i="7"/>
  <c r="F22" i="7"/>
  <c r="G22" i="7" s="1"/>
  <c r="H21" i="7"/>
  <c r="F21" i="7"/>
  <c r="G21" i="7" s="1"/>
  <c r="H20" i="7"/>
  <c r="F20" i="7"/>
  <c r="G20" i="7" s="1"/>
  <c r="H19" i="7"/>
  <c r="F19" i="7"/>
  <c r="G19" i="7" s="1"/>
  <c r="H18" i="7"/>
  <c r="F18" i="7"/>
  <c r="G18" i="7" s="1"/>
  <c r="H17" i="7"/>
  <c r="F17" i="7"/>
  <c r="G17" i="7" s="1"/>
  <c r="H16" i="7"/>
  <c r="F16" i="7"/>
  <c r="G16" i="7" s="1"/>
  <c r="H15" i="7"/>
  <c r="F15" i="7"/>
  <c r="G15" i="7" s="1"/>
  <c r="H14" i="7"/>
  <c r="F14" i="7"/>
  <c r="G14" i="7" s="1"/>
  <c r="H13" i="7"/>
  <c r="F13" i="7"/>
  <c r="G13" i="7" s="1"/>
  <c r="H12" i="7"/>
  <c r="F12" i="7"/>
  <c r="G12" i="7" s="1"/>
  <c r="H11" i="7"/>
  <c r="F11" i="7"/>
  <c r="G11" i="7" s="1"/>
  <c r="H10" i="7"/>
  <c r="F10" i="7"/>
  <c r="G10" i="7" s="1"/>
  <c r="H9" i="7"/>
  <c r="F9" i="7"/>
  <c r="G9" i="7" s="1"/>
  <c r="H8" i="7"/>
  <c r="F8" i="7"/>
  <c r="G8" i="7" s="1"/>
  <c r="H7" i="7"/>
  <c r="F7" i="7"/>
  <c r="G7" i="7" s="1"/>
  <c r="H6" i="7"/>
  <c r="F6" i="7"/>
  <c r="G6" i="7" s="1"/>
  <c r="J309" i="7" l="1"/>
  <c r="L7" i="3" s="1"/>
  <c r="I309" i="7"/>
  <c r="L6" i="3" s="1"/>
  <c r="L58" i="8"/>
  <c r="N22" i="3" s="1"/>
  <c r="J58" i="8"/>
  <c r="N20" i="3" s="1"/>
  <c r="I59" i="9"/>
  <c r="L19" i="3" s="1"/>
  <c r="O28" i="9"/>
  <c r="N28" i="9"/>
  <c r="M314" i="7"/>
  <c r="K315" i="7" s="1"/>
  <c r="L315" i="7"/>
  <c r="I315" i="7"/>
  <c r="B59" i="9"/>
  <c r="B61" i="9" s="1"/>
  <c r="H11" i="9"/>
  <c r="H59" i="9" s="1"/>
  <c r="L18" i="3" s="1"/>
  <c r="L24" i="3" s="1"/>
  <c r="L26" i="3" s="1"/>
  <c r="B58" i="8"/>
  <c r="B60" i="8" s="1"/>
  <c r="H23" i="8"/>
  <c r="H58" i="8" s="1"/>
  <c r="N18" i="3" s="1"/>
  <c r="N24" i="3" s="1"/>
  <c r="N26" i="3" s="1"/>
  <c r="B309" i="7"/>
  <c r="B311" i="7" s="1"/>
  <c r="H239" i="7"/>
  <c r="H309" i="7" s="1"/>
  <c r="L5" i="3" s="1"/>
  <c r="L11" i="3" s="1"/>
  <c r="L12" i="3" s="1"/>
  <c r="H315" i="7" l="1"/>
  <c r="H365" i="6"/>
  <c r="H364" i="6"/>
  <c r="G356" i="6"/>
  <c r="G362" i="6"/>
  <c r="G358" i="6"/>
  <c r="F365" i="6"/>
  <c r="G365" i="6" s="1"/>
  <c r="F364" i="6"/>
  <c r="G364" i="6" s="1"/>
  <c r="F363" i="6"/>
  <c r="G363" i="6" s="1"/>
  <c r="F362" i="6"/>
  <c r="F361" i="6"/>
  <c r="G361" i="6" s="1"/>
  <c r="F360" i="6"/>
  <c r="G360" i="6" s="1"/>
  <c r="F359" i="6"/>
  <c r="G359" i="6" s="1"/>
  <c r="F358" i="6"/>
  <c r="F357" i="6"/>
  <c r="G357" i="6" s="1"/>
  <c r="F356" i="6"/>
  <c r="F284" i="6"/>
  <c r="G284" i="6" s="1"/>
  <c r="F283" i="6"/>
  <c r="G283" i="6" s="1"/>
  <c r="F282" i="6"/>
  <c r="G282" i="6" s="1"/>
  <c r="F281" i="6"/>
  <c r="G281" i="6" s="1"/>
  <c r="F280" i="6"/>
  <c r="G280" i="6" s="1"/>
  <c r="F279" i="6"/>
  <c r="G279" i="6" s="1"/>
  <c r="F278" i="6"/>
  <c r="G278" i="6" s="1"/>
  <c r="F277" i="6"/>
  <c r="G277" i="6" s="1"/>
  <c r="F276" i="6"/>
  <c r="G276" i="6" s="1"/>
  <c r="F275" i="6"/>
  <c r="G275" i="6" s="1"/>
  <c r="F274" i="6"/>
  <c r="G274" i="6" s="1"/>
  <c r="F273" i="6"/>
  <c r="G273" i="6" s="1"/>
  <c r="F272" i="6"/>
  <c r="G272" i="6" s="1"/>
  <c r="F271" i="6"/>
  <c r="G271" i="6" s="1"/>
  <c r="F270" i="6"/>
  <c r="G270" i="6" s="1"/>
  <c r="F269" i="6"/>
  <c r="G269" i="6" s="1"/>
  <c r="F268" i="6"/>
  <c r="G268" i="6" s="1"/>
  <c r="F267" i="6"/>
  <c r="G267" i="6" s="1"/>
  <c r="F266" i="6"/>
  <c r="G266" i="6" s="1"/>
  <c r="F265" i="6"/>
  <c r="G265" i="6" s="1"/>
  <c r="F264" i="6"/>
  <c r="G264" i="6" s="1"/>
  <c r="F263" i="6"/>
  <c r="G263" i="6" s="1"/>
  <c r="F262" i="6"/>
  <c r="G262" i="6" s="1"/>
  <c r="F261" i="6"/>
  <c r="G261" i="6" s="1"/>
  <c r="F260" i="6"/>
  <c r="G260" i="6" s="1"/>
  <c r="F259" i="6"/>
  <c r="G259" i="6" s="1"/>
  <c r="F258" i="6"/>
  <c r="G258" i="6" s="1"/>
  <c r="F257" i="6"/>
  <c r="G257" i="6" s="1"/>
  <c r="F256" i="6"/>
  <c r="G256" i="6" s="1"/>
  <c r="F255" i="6"/>
  <c r="G255" i="6" s="1"/>
  <c r="F254" i="6"/>
  <c r="G254" i="6" s="1"/>
  <c r="F253" i="6"/>
  <c r="G253" i="6" s="1"/>
  <c r="F252" i="6"/>
  <c r="G252" i="6" s="1"/>
  <c r="F251" i="6"/>
  <c r="G251" i="6" s="1"/>
  <c r="F250" i="6"/>
  <c r="G250" i="6" s="1"/>
  <c r="F249" i="6"/>
  <c r="G249" i="6" s="1"/>
  <c r="F248" i="6"/>
  <c r="G248" i="6" s="1"/>
  <c r="F247" i="6"/>
  <c r="G247" i="6" s="1"/>
  <c r="F246" i="6"/>
  <c r="G246" i="6" s="1"/>
  <c r="F245" i="6"/>
  <c r="G245" i="6" s="1"/>
  <c r="F244" i="6"/>
  <c r="G244" i="6" s="1"/>
  <c r="F243" i="6"/>
  <c r="G243" i="6" s="1"/>
  <c r="F242" i="6"/>
  <c r="G242" i="6" s="1"/>
  <c r="F241" i="6"/>
  <c r="G241" i="6" s="1"/>
  <c r="F240" i="6"/>
  <c r="G240" i="6" s="1"/>
  <c r="F239" i="6"/>
  <c r="G239" i="6" s="1"/>
  <c r="F238" i="6"/>
  <c r="G238" i="6" s="1"/>
  <c r="F237" i="6"/>
  <c r="G237" i="6" s="1"/>
  <c r="F236" i="6"/>
  <c r="G236" i="6" s="1"/>
  <c r="F235" i="6"/>
  <c r="G235" i="6" s="1"/>
  <c r="F234" i="6"/>
  <c r="G234" i="6" s="1"/>
  <c r="F233" i="6"/>
  <c r="G233" i="6" s="1"/>
  <c r="F232" i="6"/>
  <c r="G232" i="6" s="1"/>
  <c r="F231" i="6"/>
  <c r="G231" i="6" s="1"/>
  <c r="F93" i="6"/>
  <c r="G93" i="6" s="1"/>
  <c r="F92" i="6"/>
  <c r="G92" i="6" s="1"/>
  <c r="F8" i="6"/>
  <c r="G8" i="6" s="1"/>
  <c r="F7" i="6"/>
  <c r="G7" i="6" s="1"/>
  <c r="F230" i="6"/>
  <c r="G230" i="6" s="1"/>
  <c r="B278" i="6"/>
  <c r="I259" i="6"/>
  <c r="B160" i="6"/>
  <c r="B16" i="6"/>
  <c r="B363" i="6"/>
  <c r="H363" i="6" s="1"/>
  <c r="B362" i="6"/>
  <c r="H362" i="6" s="1"/>
  <c r="B361" i="6"/>
  <c r="H361" i="6" s="1"/>
  <c r="B360" i="6"/>
  <c r="H360" i="6" s="1"/>
  <c r="B359" i="6"/>
  <c r="H359" i="6" s="1"/>
  <c r="B358" i="6"/>
  <c r="H358" i="6" s="1"/>
  <c r="B357" i="6"/>
  <c r="H357" i="6" s="1"/>
  <c r="B356" i="6"/>
  <c r="H356" i="6" s="1"/>
  <c r="B99" i="2"/>
  <c r="B25" i="2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03" i="6"/>
  <c r="H302" i="6"/>
  <c r="H301" i="6"/>
  <c r="H300" i="6"/>
  <c r="H299" i="6"/>
  <c r="H298" i="6"/>
  <c r="H297" i="6"/>
  <c r="I296" i="6"/>
  <c r="I295" i="6"/>
  <c r="H294" i="6"/>
  <c r="I293" i="6"/>
  <c r="I292" i="6"/>
  <c r="I291" i="6"/>
  <c r="I290" i="6"/>
  <c r="H289" i="6"/>
  <c r="H288" i="6"/>
  <c r="H287" i="6"/>
  <c r="H286" i="6"/>
  <c r="F355" i="6"/>
  <c r="G355" i="6" s="1"/>
  <c r="F354" i="6"/>
  <c r="G354" i="6" s="1"/>
  <c r="F353" i="6"/>
  <c r="G353" i="6" s="1"/>
  <c r="F352" i="6"/>
  <c r="G352" i="6" s="1"/>
  <c r="F351" i="6"/>
  <c r="G351" i="6" s="1"/>
  <c r="F350" i="6"/>
  <c r="G350" i="6" s="1"/>
  <c r="F349" i="6"/>
  <c r="G349" i="6" s="1"/>
  <c r="F348" i="6"/>
  <c r="G348" i="6" s="1"/>
  <c r="F347" i="6"/>
  <c r="G347" i="6" s="1"/>
  <c r="F346" i="6"/>
  <c r="G346" i="6" s="1"/>
  <c r="F345" i="6"/>
  <c r="G345" i="6" s="1"/>
  <c r="F344" i="6"/>
  <c r="G344" i="6" s="1"/>
  <c r="F343" i="6"/>
  <c r="G343" i="6" s="1"/>
  <c r="F342" i="6"/>
  <c r="G342" i="6" s="1"/>
  <c r="F341" i="6"/>
  <c r="G341" i="6" s="1"/>
  <c r="F340" i="6"/>
  <c r="G340" i="6" s="1"/>
  <c r="F339" i="6"/>
  <c r="G339" i="6" s="1"/>
  <c r="F338" i="6"/>
  <c r="G338" i="6" s="1"/>
  <c r="F337" i="6"/>
  <c r="G337" i="6" s="1"/>
  <c r="F336" i="6"/>
  <c r="G336" i="6" s="1"/>
  <c r="F335" i="6"/>
  <c r="G335" i="6" s="1"/>
  <c r="F334" i="6"/>
  <c r="G334" i="6" s="1"/>
  <c r="F333" i="6"/>
  <c r="G333" i="6" s="1"/>
  <c r="F332" i="6"/>
  <c r="G332" i="6" s="1"/>
  <c r="F331" i="6"/>
  <c r="G331" i="6" s="1"/>
  <c r="F330" i="6"/>
  <c r="G330" i="6" s="1"/>
  <c r="F329" i="6"/>
  <c r="G329" i="6" s="1"/>
  <c r="F328" i="6"/>
  <c r="G328" i="6" s="1"/>
  <c r="F327" i="6"/>
  <c r="G327" i="6" s="1"/>
  <c r="F326" i="6"/>
  <c r="G326" i="6" s="1"/>
  <c r="F325" i="6"/>
  <c r="G325" i="6" s="1"/>
  <c r="F324" i="6"/>
  <c r="G324" i="6" s="1"/>
  <c r="F323" i="6"/>
  <c r="G323" i="6" s="1"/>
  <c r="F322" i="6"/>
  <c r="G322" i="6" s="1"/>
  <c r="F321" i="6"/>
  <c r="G321" i="6" s="1"/>
  <c r="F320" i="6"/>
  <c r="G320" i="6" s="1"/>
  <c r="F319" i="6"/>
  <c r="G319" i="6" s="1"/>
  <c r="F318" i="6"/>
  <c r="G318" i="6" s="1"/>
  <c r="F317" i="6"/>
  <c r="G317" i="6" s="1"/>
  <c r="F316" i="6"/>
  <c r="G316" i="6" s="1"/>
  <c r="F315" i="6"/>
  <c r="G315" i="6" s="1"/>
  <c r="F314" i="6"/>
  <c r="G314" i="6" s="1"/>
  <c r="F313" i="6"/>
  <c r="G313" i="6" s="1"/>
  <c r="F312" i="6"/>
  <c r="G312" i="6" s="1"/>
  <c r="F311" i="6"/>
  <c r="G311" i="6" s="1"/>
  <c r="F310" i="6"/>
  <c r="G310" i="6" s="1"/>
  <c r="F309" i="6"/>
  <c r="G309" i="6" s="1"/>
  <c r="F308" i="6"/>
  <c r="G308" i="6" s="1"/>
  <c r="F307" i="6"/>
  <c r="G307" i="6" s="1"/>
  <c r="F306" i="6"/>
  <c r="G306" i="6" s="1"/>
  <c r="F305" i="6"/>
  <c r="G305" i="6" s="1"/>
  <c r="F304" i="6"/>
  <c r="G304" i="6" s="1"/>
  <c r="F303" i="6"/>
  <c r="G303" i="6" s="1"/>
  <c r="F302" i="6"/>
  <c r="G302" i="6" s="1"/>
  <c r="F301" i="6"/>
  <c r="G301" i="6" s="1"/>
  <c r="F300" i="6"/>
  <c r="G300" i="6" s="1"/>
  <c r="F299" i="6"/>
  <c r="G299" i="6" s="1"/>
  <c r="F298" i="6"/>
  <c r="G298" i="6" s="1"/>
  <c r="F297" i="6"/>
  <c r="G297" i="6" s="1"/>
  <c r="F296" i="6"/>
  <c r="G296" i="6" s="1"/>
  <c r="F295" i="6"/>
  <c r="G295" i="6" s="1"/>
  <c r="F294" i="6"/>
  <c r="G294" i="6" s="1"/>
  <c r="F293" i="6"/>
  <c r="G293" i="6" s="1"/>
  <c r="F292" i="6"/>
  <c r="G292" i="6" s="1"/>
  <c r="F291" i="6"/>
  <c r="G291" i="6" s="1"/>
  <c r="F290" i="6"/>
  <c r="G290" i="6" s="1"/>
  <c r="F289" i="6"/>
  <c r="G289" i="6" s="1"/>
  <c r="F288" i="6"/>
  <c r="G288" i="6" s="1"/>
  <c r="F287" i="6"/>
  <c r="G287" i="6" s="1"/>
  <c r="F286" i="6"/>
  <c r="G286" i="6" s="1"/>
  <c r="B366" i="6" l="1"/>
  <c r="B369" i="6" s="1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H228" i="6"/>
  <c r="F228" i="6"/>
  <c r="G228" i="6" s="1"/>
  <c r="H227" i="6"/>
  <c r="F227" i="6"/>
  <c r="G227" i="6" s="1"/>
  <c r="H226" i="6"/>
  <c r="F226" i="6"/>
  <c r="G226" i="6" s="1"/>
  <c r="H225" i="6"/>
  <c r="F225" i="6"/>
  <c r="G225" i="6" s="1"/>
  <c r="H224" i="6"/>
  <c r="F224" i="6"/>
  <c r="G224" i="6" s="1"/>
  <c r="H223" i="6"/>
  <c r="F223" i="6"/>
  <c r="G223" i="6" s="1"/>
  <c r="H222" i="6"/>
  <c r="F222" i="6"/>
  <c r="G222" i="6" s="1"/>
  <c r="H221" i="6"/>
  <c r="F221" i="6"/>
  <c r="G221" i="6" s="1"/>
  <c r="H220" i="6"/>
  <c r="F220" i="6"/>
  <c r="G220" i="6" s="1"/>
  <c r="H219" i="6"/>
  <c r="F219" i="6"/>
  <c r="G219" i="6" s="1"/>
  <c r="H218" i="6"/>
  <c r="F218" i="6"/>
  <c r="G218" i="6" s="1"/>
  <c r="H217" i="6"/>
  <c r="F217" i="6"/>
  <c r="G217" i="6" s="1"/>
  <c r="I216" i="6"/>
  <c r="F216" i="6"/>
  <c r="G216" i="6" s="1"/>
  <c r="I215" i="6"/>
  <c r="F215" i="6"/>
  <c r="G215" i="6" s="1"/>
  <c r="I214" i="6"/>
  <c r="F214" i="6"/>
  <c r="G214" i="6" s="1"/>
  <c r="I213" i="6"/>
  <c r="F213" i="6"/>
  <c r="G213" i="6" s="1"/>
  <c r="I212" i="6"/>
  <c r="F212" i="6"/>
  <c r="G212" i="6" s="1"/>
  <c r="I211" i="6"/>
  <c r="F211" i="6"/>
  <c r="G211" i="6" s="1"/>
  <c r="I210" i="6"/>
  <c r="F210" i="6"/>
  <c r="G210" i="6" s="1"/>
  <c r="I209" i="6"/>
  <c r="F209" i="6"/>
  <c r="G209" i="6" s="1"/>
  <c r="I208" i="6"/>
  <c r="F208" i="6"/>
  <c r="G208" i="6" s="1"/>
  <c r="H207" i="6"/>
  <c r="F207" i="6"/>
  <c r="G207" i="6" s="1"/>
  <c r="H206" i="6"/>
  <c r="F206" i="6"/>
  <c r="G206" i="6" s="1"/>
  <c r="H205" i="6"/>
  <c r="F205" i="6"/>
  <c r="G205" i="6" s="1"/>
  <c r="I204" i="6"/>
  <c r="F204" i="6"/>
  <c r="G204" i="6" s="1"/>
  <c r="I203" i="6"/>
  <c r="F203" i="6"/>
  <c r="G203" i="6" s="1"/>
  <c r="I202" i="6"/>
  <c r="F202" i="6"/>
  <c r="G202" i="6" s="1"/>
  <c r="I201" i="6"/>
  <c r="F201" i="6"/>
  <c r="G201" i="6" s="1"/>
  <c r="I200" i="6"/>
  <c r="F200" i="6"/>
  <c r="G200" i="6" s="1"/>
  <c r="I199" i="6"/>
  <c r="F199" i="6"/>
  <c r="G199" i="6" s="1"/>
  <c r="I198" i="6"/>
  <c r="F198" i="6"/>
  <c r="G198" i="6" s="1"/>
  <c r="I197" i="6"/>
  <c r="F197" i="6"/>
  <c r="G197" i="6" s="1"/>
  <c r="I196" i="6"/>
  <c r="F196" i="6"/>
  <c r="G196" i="6" s="1"/>
  <c r="I195" i="6"/>
  <c r="F195" i="6"/>
  <c r="G195" i="6" s="1"/>
  <c r="H194" i="6"/>
  <c r="F194" i="6"/>
  <c r="G194" i="6" s="1"/>
  <c r="H193" i="6"/>
  <c r="F193" i="6"/>
  <c r="G193" i="6" s="1"/>
  <c r="H192" i="6"/>
  <c r="F192" i="6"/>
  <c r="G192" i="6" s="1"/>
  <c r="H191" i="6"/>
  <c r="F191" i="6"/>
  <c r="G191" i="6" s="1"/>
  <c r="H190" i="6"/>
  <c r="F190" i="6"/>
  <c r="G190" i="6" s="1"/>
  <c r="H189" i="6"/>
  <c r="F189" i="6"/>
  <c r="G189" i="6" s="1"/>
  <c r="I188" i="6"/>
  <c r="F188" i="6"/>
  <c r="G188" i="6" s="1"/>
  <c r="I187" i="6"/>
  <c r="F187" i="6"/>
  <c r="G187" i="6" s="1"/>
  <c r="H186" i="6"/>
  <c r="F186" i="6"/>
  <c r="G186" i="6" s="1"/>
  <c r="H185" i="6"/>
  <c r="F185" i="6"/>
  <c r="G185" i="6" s="1"/>
  <c r="I184" i="6"/>
  <c r="F184" i="6"/>
  <c r="G184" i="6" s="1"/>
  <c r="H183" i="6"/>
  <c r="F183" i="6"/>
  <c r="G183" i="6" s="1"/>
  <c r="H182" i="6"/>
  <c r="F182" i="6"/>
  <c r="G182" i="6" s="1"/>
  <c r="I181" i="6"/>
  <c r="F181" i="6"/>
  <c r="G181" i="6" s="1"/>
  <c r="H180" i="6"/>
  <c r="F180" i="6"/>
  <c r="G180" i="6" s="1"/>
  <c r="H179" i="6"/>
  <c r="F179" i="6"/>
  <c r="G179" i="6" s="1"/>
  <c r="I178" i="6"/>
  <c r="F178" i="6"/>
  <c r="G178" i="6" s="1"/>
  <c r="H177" i="6"/>
  <c r="F177" i="6"/>
  <c r="G177" i="6" s="1"/>
  <c r="I176" i="6"/>
  <c r="F176" i="6"/>
  <c r="G176" i="6" s="1"/>
  <c r="L175" i="6"/>
  <c r="F175" i="6"/>
  <c r="G175" i="6" s="1"/>
  <c r="H174" i="6"/>
  <c r="F174" i="6"/>
  <c r="G174" i="6" s="1"/>
  <c r="I173" i="6"/>
  <c r="F173" i="6"/>
  <c r="G173" i="6" s="1"/>
  <c r="I172" i="6"/>
  <c r="F172" i="6"/>
  <c r="G172" i="6" s="1"/>
  <c r="J171" i="6"/>
  <c r="F171" i="6"/>
  <c r="G171" i="6" s="1"/>
  <c r="L170" i="6"/>
  <c r="F170" i="6"/>
  <c r="G170" i="6" s="1"/>
  <c r="J169" i="6"/>
  <c r="F169" i="6"/>
  <c r="G169" i="6" s="1"/>
  <c r="K168" i="6"/>
  <c r="F168" i="6"/>
  <c r="G168" i="6" s="1"/>
  <c r="L167" i="6"/>
  <c r="F167" i="6"/>
  <c r="G167" i="6" s="1"/>
  <c r="L166" i="6"/>
  <c r="F166" i="6"/>
  <c r="G166" i="6" s="1"/>
  <c r="L165" i="6"/>
  <c r="F165" i="6"/>
  <c r="G165" i="6" s="1"/>
  <c r="H164" i="6"/>
  <c r="F164" i="6"/>
  <c r="G164" i="6" s="1"/>
  <c r="H163" i="6"/>
  <c r="F163" i="6"/>
  <c r="G163" i="6" s="1"/>
  <c r="H162" i="6"/>
  <c r="F162" i="6"/>
  <c r="G162" i="6" s="1"/>
  <c r="I161" i="6"/>
  <c r="F161" i="6"/>
  <c r="G161" i="6" s="1"/>
  <c r="F160" i="6"/>
  <c r="G160" i="6" s="1"/>
  <c r="L159" i="6"/>
  <c r="F159" i="6"/>
  <c r="G159" i="6" s="1"/>
  <c r="L158" i="6"/>
  <c r="F158" i="6"/>
  <c r="G158" i="6" s="1"/>
  <c r="L157" i="6"/>
  <c r="F157" i="6"/>
  <c r="G157" i="6" s="1"/>
  <c r="L156" i="6"/>
  <c r="F156" i="6"/>
  <c r="G156" i="6" s="1"/>
  <c r="L155" i="6"/>
  <c r="F155" i="6"/>
  <c r="G155" i="6" s="1"/>
  <c r="L154" i="6"/>
  <c r="F154" i="6"/>
  <c r="G154" i="6" s="1"/>
  <c r="L153" i="6"/>
  <c r="F153" i="6"/>
  <c r="G153" i="6" s="1"/>
  <c r="L152" i="6"/>
  <c r="F152" i="6"/>
  <c r="G152" i="6" s="1"/>
  <c r="L151" i="6"/>
  <c r="F151" i="6"/>
  <c r="G151" i="6" s="1"/>
  <c r="L150" i="6"/>
  <c r="F150" i="6"/>
  <c r="G150" i="6" s="1"/>
  <c r="L149" i="6"/>
  <c r="F149" i="6"/>
  <c r="G149" i="6" s="1"/>
  <c r="L148" i="6"/>
  <c r="F148" i="6"/>
  <c r="G148" i="6" s="1"/>
  <c r="L147" i="6"/>
  <c r="F147" i="6"/>
  <c r="G147" i="6" s="1"/>
  <c r="I146" i="6"/>
  <c r="F146" i="6"/>
  <c r="G146" i="6" s="1"/>
  <c r="I145" i="6"/>
  <c r="F145" i="6"/>
  <c r="G145" i="6" s="1"/>
  <c r="K144" i="6"/>
  <c r="F144" i="6"/>
  <c r="G144" i="6" s="1"/>
  <c r="K143" i="6"/>
  <c r="F143" i="6"/>
  <c r="G143" i="6" s="1"/>
  <c r="K142" i="6"/>
  <c r="F142" i="6"/>
  <c r="G142" i="6" s="1"/>
  <c r="K141" i="6"/>
  <c r="F141" i="6"/>
  <c r="G141" i="6" s="1"/>
  <c r="K140" i="6"/>
  <c r="F140" i="6"/>
  <c r="G140" i="6" s="1"/>
  <c r="H139" i="6"/>
  <c r="F139" i="6"/>
  <c r="G139" i="6" s="1"/>
  <c r="H138" i="6"/>
  <c r="F138" i="6"/>
  <c r="G138" i="6" s="1"/>
  <c r="H137" i="6"/>
  <c r="F137" i="6"/>
  <c r="G137" i="6" s="1"/>
  <c r="H136" i="6"/>
  <c r="F136" i="6"/>
  <c r="G136" i="6" s="1"/>
  <c r="H135" i="6"/>
  <c r="F135" i="6"/>
  <c r="G135" i="6" s="1"/>
  <c r="I134" i="6"/>
  <c r="F134" i="6"/>
  <c r="G134" i="6" s="1"/>
  <c r="I133" i="6"/>
  <c r="F133" i="6"/>
  <c r="G133" i="6" s="1"/>
  <c r="I132" i="6"/>
  <c r="F132" i="6"/>
  <c r="G132" i="6" s="1"/>
  <c r="I131" i="6"/>
  <c r="F131" i="6"/>
  <c r="G131" i="6" s="1"/>
  <c r="I130" i="6"/>
  <c r="F130" i="6"/>
  <c r="G130" i="6" s="1"/>
  <c r="K129" i="6"/>
  <c r="F129" i="6"/>
  <c r="G129" i="6" s="1"/>
  <c r="K128" i="6"/>
  <c r="F128" i="6"/>
  <c r="G128" i="6" s="1"/>
  <c r="K127" i="6"/>
  <c r="F127" i="6"/>
  <c r="G127" i="6" s="1"/>
  <c r="K126" i="6"/>
  <c r="F126" i="6"/>
  <c r="G126" i="6" s="1"/>
  <c r="K125" i="6"/>
  <c r="F125" i="6"/>
  <c r="G125" i="6" s="1"/>
  <c r="K124" i="6"/>
  <c r="F124" i="6"/>
  <c r="G124" i="6" s="1"/>
  <c r="K123" i="6"/>
  <c r="F123" i="6"/>
  <c r="G123" i="6" s="1"/>
  <c r="L122" i="6"/>
  <c r="F122" i="6"/>
  <c r="G122" i="6" s="1"/>
  <c r="L121" i="6"/>
  <c r="F121" i="6"/>
  <c r="G121" i="6" s="1"/>
  <c r="L120" i="6"/>
  <c r="F120" i="6"/>
  <c r="G120" i="6" s="1"/>
  <c r="L119" i="6"/>
  <c r="F119" i="6"/>
  <c r="G119" i="6" s="1"/>
  <c r="L118" i="6"/>
  <c r="F118" i="6"/>
  <c r="G118" i="6" s="1"/>
  <c r="L117" i="6"/>
  <c r="F117" i="6"/>
  <c r="G117" i="6" s="1"/>
  <c r="L116" i="6"/>
  <c r="F116" i="6"/>
  <c r="G116" i="6" s="1"/>
  <c r="L115" i="6"/>
  <c r="F115" i="6"/>
  <c r="G115" i="6" s="1"/>
  <c r="L114" i="6"/>
  <c r="F114" i="6"/>
  <c r="G114" i="6" s="1"/>
  <c r="L113" i="6"/>
  <c r="F113" i="6"/>
  <c r="G113" i="6" s="1"/>
  <c r="L112" i="6"/>
  <c r="F112" i="6"/>
  <c r="G112" i="6" s="1"/>
  <c r="L111" i="6"/>
  <c r="F111" i="6"/>
  <c r="G111" i="6" s="1"/>
  <c r="L110" i="6"/>
  <c r="F110" i="6"/>
  <c r="G110" i="6" s="1"/>
  <c r="L109" i="6"/>
  <c r="F109" i="6"/>
  <c r="G109" i="6" s="1"/>
  <c r="L108" i="6"/>
  <c r="F108" i="6"/>
  <c r="G108" i="6" s="1"/>
  <c r="L107" i="6"/>
  <c r="F107" i="6"/>
  <c r="G107" i="6" s="1"/>
  <c r="L106" i="6"/>
  <c r="F106" i="6"/>
  <c r="G106" i="6" s="1"/>
  <c r="L105" i="6"/>
  <c r="F105" i="6"/>
  <c r="G105" i="6" s="1"/>
  <c r="L104" i="6"/>
  <c r="F104" i="6"/>
  <c r="G104" i="6" s="1"/>
  <c r="L103" i="6"/>
  <c r="F103" i="6"/>
  <c r="G103" i="6" s="1"/>
  <c r="L102" i="6"/>
  <c r="F102" i="6"/>
  <c r="G102" i="6" s="1"/>
  <c r="L101" i="6"/>
  <c r="F101" i="6"/>
  <c r="G101" i="6" s="1"/>
  <c r="L100" i="6"/>
  <c r="F100" i="6"/>
  <c r="G100" i="6" s="1"/>
  <c r="L99" i="6"/>
  <c r="F99" i="6"/>
  <c r="G99" i="6" s="1"/>
  <c r="L98" i="6"/>
  <c r="F98" i="6"/>
  <c r="G98" i="6" s="1"/>
  <c r="L97" i="6"/>
  <c r="F97" i="6"/>
  <c r="G97" i="6" s="1"/>
  <c r="L96" i="6"/>
  <c r="F96" i="6"/>
  <c r="G96" i="6" s="1"/>
  <c r="I95" i="6"/>
  <c r="F95" i="6"/>
  <c r="G95" i="6" s="1"/>
  <c r="J94" i="6"/>
  <c r="F94" i="6"/>
  <c r="G94" i="6" s="1"/>
  <c r="I93" i="6"/>
  <c r="I92" i="6"/>
  <c r="J91" i="6"/>
  <c r="F91" i="6"/>
  <c r="G91" i="6" s="1"/>
  <c r="H90" i="6"/>
  <c r="F90" i="6"/>
  <c r="G90" i="6" s="1"/>
  <c r="L89" i="6"/>
  <c r="F89" i="6"/>
  <c r="G89" i="6" s="1"/>
  <c r="L88" i="6"/>
  <c r="F88" i="6"/>
  <c r="G88" i="6" s="1"/>
  <c r="I87" i="6"/>
  <c r="F87" i="6"/>
  <c r="G87" i="6" s="1"/>
  <c r="L86" i="6"/>
  <c r="F86" i="6"/>
  <c r="G86" i="6" s="1"/>
  <c r="L85" i="6"/>
  <c r="F85" i="6"/>
  <c r="G85" i="6" s="1"/>
  <c r="K84" i="6"/>
  <c r="F84" i="6"/>
  <c r="G84" i="6" s="1"/>
  <c r="K83" i="6"/>
  <c r="F83" i="6"/>
  <c r="G83" i="6" s="1"/>
  <c r="L82" i="6"/>
  <c r="F82" i="6"/>
  <c r="G82" i="6" s="1"/>
  <c r="L81" i="6"/>
  <c r="F81" i="6"/>
  <c r="G81" i="6" s="1"/>
  <c r="L80" i="6"/>
  <c r="F80" i="6"/>
  <c r="G80" i="6" s="1"/>
  <c r="H79" i="6"/>
  <c r="F79" i="6"/>
  <c r="G79" i="6" s="1"/>
  <c r="H78" i="6"/>
  <c r="F78" i="6"/>
  <c r="G78" i="6" s="1"/>
  <c r="H77" i="6"/>
  <c r="F77" i="6"/>
  <c r="G77" i="6" s="1"/>
  <c r="H76" i="6"/>
  <c r="F76" i="6"/>
  <c r="G76" i="6" s="1"/>
  <c r="H75" i="6"/>
  <c r="F75" i="6"/>
  <c r="G75" i="6" s="1"/>
  <c r="H74" i="6"/>
  <c r="F74" i="6"/>
  <c r="G74" i="6" s="1"/>
  <c r="H73" i="6"/>
  <c r="F73" i="6"/>
  <c r="G73" i="6" s="1"/>
  <c r="H72" i="6"/>
  <c r="F72" i="6"/>
  <c r="G72" i="6" s="1"/>
  <c r="H71" i="6"/>
  <c r="F71" i="6"/>
  <c r="G71" i="6" s="1"/>
  <c r="H70" i="6"/>
  <c r="F70" i="6"/>
  <c r="G70" i="6" s="1"/>
  <c r="H69" i="6"/>
  <c r="F69" i="6"/>
  <c r="G69" i="6" s="1"/>
  <c r="H68" i="6"/>
  <c r="F68" i="6"/>
  <c r="G68" i="6" s="1"/>
  <c r="H67" i="6"/>
  <c r="F67" i="6"/>
  <c r="G67" i="6" s="1"/>
  <c r="H66" i="6"/>
  <c r="F66" i="6"/>
  <c r="G66" i="6" s="1"/>
  <c r="I65" i="6"/>
  <c r="K64" i="6"/>
  <c r="F64" i="6"/>
  <c r="G64" i="6" s="1"/>
  <c r="K63" i="6"/>
  <c r="F63" i="6"/>
  <c r="G63" i="6" s="1"/>
  <c r="K62" i="6"/>
  <c r="F62" i="6"/>
  <c r="G62" i="6" s="1"/>
  <c r="K61" i="6"/>
  <c r="F61" i="6"/>
  <c r="G61" i="6" s="1"/>
  <c r="H60" i="6"/>
  <c r="F60" i="6"/>
  <c r="G60" i="6" s="1"/>
  <c r="H59" i="6"/>
  <c r="F59" i="6"/>
  <c r="G59" i="6" s="1"/>
  <c r="K58" i="6"/>
  <c r="F58" i="6"/>
  <c r="G58" i="6" s="1"/>
  <c r="K57" i="6"/>
  <c r="F57" i="6"/>
  <c r="G57" i="6" s="1"/>
  <c r="K56" i="6"/>
  <c r="F56" i="6"/>
  <c r="G56" i="6" s="1"/>
  <c r="I55" i="6"/>
  <c r="I54" i="6"/>
  <c r="F54" i="6"/>
  <c r="G54" i="6" s="1"/>
  <c r="J53" i="6"/>
  <c r="F53" i="6"/>
  <c r="G53" i="6" s="1"/>
  <c r="K52" i="6"/>
  <c r="F52" i="6"/>
  <c r="G52" i="6" s="1"/>
  <c r="H51" i="6"/>
  <c r="F51" i="6"/>
  <c r="G51" i="6" s="1"/>
  <c r="K50" i="6"/>
  <c r="F50" i="6"/>
  <c r="G50" i="6" s="1"/>
  <c r="K49" i="6"/>
  <c r="F49" i="6"/>
  <c r="G49" i="6" s="1"/>
  <c r="J48" i="6"/>
  <c r="F48" i="6"/>
  <c r="G48" i="6" s="1"/>
  <c r="J47" i="6"/>
  <c r="F47" i="6"/>
  <c r="G47" i="6" s="1"/>
  <c r="J46" i="6"/>
  <c r="F46" i="6"/>
  <c r="G46" i="6" s="1"/>
  <c r="L45" i="6"/>
  <c r="F45" i="6"/>
  <c r="G45" i="6" s="1"/>
  <c r="I44" i="6"/>
  <c r="F44" i="6"/>
  <c r="G44" i="6" s="1"/>
  <c r="I43" i="6"/>
  <c r="F43" i="6"/>
  <c r="G43" i="6" s="1"/>
  <c r="I42" i="6"/>
  <c r="F42" i="6"/>
  <c r="G42" i="6" s="1"/>
  <c r="I41" i="6"/>
  <c r="F41" i="6"/>
  <c r="G41" i="6" s="1"/>
  <c r="I40" i="6"/>
  <c r="F40" i="6"/>
  <c r="G40" i="6" s="1"/>
  <c r="I39" i="6"/>
  <c r="F39" i="6"/>
  <c r="G39" i="6" s="1"/>
  <c r="I38" i="6"/>
  <c r="F38" i="6"/>
  <c r="G38" i="6" s="1"/>
  <c r="I37" i="6"/>
  <c r="F37" i="6"/>
  <c r="G37" i="6" s="1"/>
  <c r="J36" i="6"/>
  <c r="F36" i="6"/>
  <c r="G36" i="6" s="1"/>
  <c r="I35" i="6"/>
  <c r="F35" i="6"/>
  <c r="G35" i="6" s="1"/>
  <c r="J34" i="6"/>
  <c r="F34" i="6"/>
  <c r="G34" i="6" s="1"/>
  <c r="K33" i="6"/>
  <c r="F33" i="6"/>
  <c r="G33" i="6" s="1"/>
  <c r="J32" i="6"/>
  <c r="F32" i="6"/>
  <c r="G32" i="6" s="1"/>
  <c r="K31" i="6"/>
  <c r="F31" i="6"/>
  <c r="G31" i="6" s="1"/>
  <c r="K30" i="6"/>
  <c r="F30" i="6"/>
  <c r="G30" i="6" s="1"/>
  <c r="L29" i="6"/>
  <c r="F29" i="6"/>
  <c r="G29" i="6" s="1"/>
  <c r="L28" i="6"/>
  <c r="F28" i="6"/>
  <c r="G28" i="6" s="1"/>
  <c r="J27" i="6"/>
  <c r="F27" i="6"/>
  <c r="G27" i="6" s="1"/>
  <c r="J26" i="6"/>
  <c r="F26" i="6"/>
  <c r="G26" i="6" s="1"/>
  <c r="J25" i="6"/>
  <c r="F25" i="6"/>
  <c r="G25" i="6" s="1"/>
  <c r="J24" i="6"/>
  <c r="F24" i="6"/>
  <c r="G24" i="6" s="1"/>
  <c r="J23" i="6"/>
  <c r="F23" i="6"/>
  <c r="G23" i="6" s="1"/>
  <c r="K22" i="6"/>
  <c r="F22" i="6"/>
  <c r="G22" i="6" s="1"/>
  <c r="K21" i="6"/>
  <c r="F21" i="6"/>
  <c r="G21" i="6" s="1"/>
  <c r="I20" i="6"/>
  <c r="F20" i="6"/>
  <c r="G20" i="6" s="1"/>
  <c r="H19" i="6"/>
  <c r="F19" i="6"/>
  <c r="G19" i="6" s="1"/>
  <c r="H18" i="6"/>
  <c r="F18" i="6"/>
  <c r="G18" i="6" s="1"/>
  <c r="I17" i="6"/>
  <c r="F17" i="6"/>
  <c r="G17" i="6" s="1"/>
  <c r="I16" i="6"/>
  <c r="F16" i="6"/>
  <c r="G16" i="6" s="1"/>
  <c r="K15" i="6"/>
  <c r="F15" i="6"/>
  <c r="G15" i="6" s="1"/>
  <c r="K14" i="6"/>
  <c r="K366" i="6" s="1"/>
  <c r="F14" i="6"/>
  <c r="G14" i="6" s="1"/>
  <c r="L13" i="6"/>
  <c r="F13" i="6"/>
  <c r="G13" i="6" s="1"/>
  <c r="H12" i="6"/>
  <c r="F12" i="6"/>
  <c r="G12" i="6" s="1"/>
  <c r="H11" i="6"/>
  <c r="F11" i="6"/>
  <c r="G11" i="6" s="1"/>
  <c r="H10" i="6"/>
  <c r="H366" i="6" s="1"/>
  <c r="F10" i="6"/>
  <c r="G10" i="6" s="1"/>
  <c r="I9" i="6"/>
  <c r="F9" i="6"/>
  <c r="G9" i="6" s="1"/>
  <c r="I8" i="6"/>
  <c r="I7" i="6"/>
  <c r="L99" i="2"/>
  <c r="I366" i="6" l="1"/>
  <c r="J366" i="6"/>
  <c r="L160" i="6"/>
  <c r="L366" i="6" s="1"/>
  <c r="F535" i="1"/>
  <c r="L19" i="5"/>
  <c r="L24" i="5" s="1"/>
  <c r="N19" i="5"/>
  <c r="N20" i="5"/>
  <c r="L21" i="5"/>
  <c r="N21" i="5"/>
  <c r="L22" i="5"/>
  <c r="N22" i="5"/>
  <c r="L18" i="5"/>
  <c r="N18" i="5"/>
  <c r="L6" i="5"/>
  <c r="L7" i="5"/>
  <c r="L8" i="5"/>
  <c r="L9" i="5"/>
  <c r="L5" i="5"/>
  <c r="L11" i="5" s="1"/>
  <c r="N24" i="5"/>
  <c r="M12" i="4"/>
  <c r="O12" i="4"/>
  <c r="M24" i="4"/>
  <c r="O24" i="4"/>
  <c r="Q18" i="4"/>
  <c r="Q24" i="4" s="1"/>
  <c r="Q12" i="4"/>
  <c r="F302" i="1" l="1"/>
  <c r="J302" i="1" s="1"/>
  <c r="F301" i="1"/>
  <c r="J301" i="1" s="1"/>
  <c r="F300" i="1"/>
  <c r="J300" i="1" s="1"/>
  <c r="F299" i="1"/>
  <c r="J299" i="1" s="1"/>
  <c r="F298" i="1"/>
  <c r="J298" i="1" s="1"/>
  <c r="F297" i="1"/>
  <c r="J297" i="1" s="1"/>
  <c r="F296" i="1"/>
  <c r="J296" i="1" s="1"/>
  <c r="F295" i="1"/>
  <c r="J295" i="1" s="1"/>
  <c r="F294" i="1"/>
  <c r="J294" i="1" s="1"/>
  <c r="F293" i="1"/>
  <c r="J293" i="1" s="1"/>
  <c r="F292" i="1"/>
  <c r="J292" i="1" s="1"/>
  <c r="F291" i="1"/>
  <c r="J291" i="1" s="1"/>
  <c r="F290" i="1"/>
  <c r="J290" i="1" s="1"/>
  <c r="F289" i="1"/>
  <c r="J289" i="1" s="1"/>
  <c r="F288" i="1"/>
  <c r="J288" i="1" s="1"/>
  <c r="F287" i="1"/>
  <c r="J287" i="1" s="1"/>
  <c r="F286" i="1"/>
  <c r="J286" i="1" s="1"/>
  <c r="F285" i="1"/>
  <c r="J285" i="1" s="1"/>
  <c r="F284" i="1"/>
  <c r="J284" i="1" s="1"/>
  <c r="F283" i="1"/>
  <c r="J283" i="1" s="1"/>
  <c r="F282" i="1"/>
  <c r="J282" i="1" s="1"/>
  <c r="F281" i="1"/>
  <c r="J281" i="1" s="1"/>
  <c r="F280" i="1"/>
  <c r="J280" i="1" s="1"/>
  <c r="F279" i="1"/>
  <c r="J279" i="1" s="1"/>
  <c r="F278" i="1"/>
  <c r="J278" i="1" s="1"/>
  <c r="F277" i="1"/>
  <c r="J277" i="1" s="1"/>
  <c r="F276" i="1"/>
  <c r="J276" i="1" s="1"/>
  <c r="F201" i="1"/>
  <c r="J201" i="1" s="1"/>
  <c r="F200" i="1"/>
  <c r="J200" i="1" s="1"/>
  <c r="F115" i="1"/>
  <c r="J115" i="1" s="1"/>
  <c r="F78" i="1"/>
  <c r="J78" i="1" s="1"/>
  <c r="F77" i="1"/>
  <c r="J77" i="1" s="1"/>
  <c r="F76" i="1"/>
  <c r="J76" i="1" s="1"/>
  <c r="F75" i="1"/>
  <c r="J75" i="1" s="1"/>
  <c r="F74" i="1"/>
  <c r="J74" i="1" s="1"/>
  <c r="F73" i="1"/>
  <c r="J73" i="1" s="1"/>
  <c r="F72" i="1"/>
  <c r="J72" i="1" s="1"/>
  <c r="F71" i="1"/>
  <c r="J71" i="1" s="1"/>
  <c r="F70" i="1"/>
  <c r="J70" i="1" s="1"/>
  <c r="F69" i="1"/>
  <c r="J69" i="1" s="1"/>
  <c r="F68" i="1"/>
  <c r="J68" i="1" s="1"/>
  <c r="F67" i="1"/>
  <c r="J67" i="1" s="1"/>
  <c r="F66" i="1"/>
  <c r="J66" i="1" s="1"/>
  <c r="F65" i="1"/>
  <c r="J65" i="1" s="1"/>
  <c r="F64" i="1"/>
  <c r="J64" i="1" s="1"/>
  <c r="F63" i="1"/>
  <c r="J63" i="1" s="1"/>
  <c r="F62" i="1"/>
  <c r="J62" i="1" s="1"/>
  <c r="F61" i="1"/>
  <c r="J61" i="1" s="1"/>
  <c r="F60" i="1"/>
  <c r="J60" i="1" s="1"/>
  <c r="F59" i="1"/>
  <c r="J59" i="1" s="1"/>
  <c r="F58" i="1"/>
  <c r="J58" i="1" s="1"/>
  <c r="F57" i="1"/>
  <c r="J57" i="1" s="1"/>
  <c r="F56" i="1"/>
  <c r="J56" i="1" s="1"/>
  <c r="F55" i="1"/>
  <c r="J55" i="1" s="1"/>
  <c r="F54" i="1"/>
  <c r="J54" i="1" s="1"/>
  <c r="F53" i="1"/>
  <c r="J53" i="1" s="1"/>
  <c r="F52" i="1"/>
  <c r="J52" i="1" s="1"/>
  <c r="F51" i="1"/>
  <c r="J51" i="1" s="1"/>
  <c r="F50" i="1"/>
  <c r="J50" i="1" s="1"/>
  <c r="F49" i="1"/>
  <c r="J49" i="1" s="1"/>
  <c r="F48" i="1"/>
  <c r="J48" i="1" s="1"/>
  <c r="F47" i="1"/>
  <c r="J47" i="1" s="1"/>
  <c r="F46" i="1"/>
  <c r="J46" i="1" s="1"/>
  <c r="F45" i="1"/>
  <c r="J45" i="1" s="1"/>
  <c r="F44" i="1"/>
  <c r="J44" i="1" s="1"/>
  <c r="F43" i="1"/>
  <c r="J43" i="1" s="1"/>
  <c r="F42" i="1"/>
  <c r="J42" i="1" s="1"/>
  <c r="F41" i="1"/>
  <c r="J41" i="1" s="1"/>
  <c r="F40" i="1"/>
  <c r="J40" i="1" s="1"/>
  <c r="F39" i="1"/>
  <c r="J39" i="1" s="1"/>
  <c r="F38" i="1"/>
  <c r="J38" i="1" s="1"/>
  <c r="F37" i="1"/>
  <c r="J37" i="1" s="1"/>
  <c r="F36" i="1"/>
  <c r="J36" i="1" s="1"/>
  <c r="F35" i="1"/>
  <c r="J35" i="1" s="1"/>
  <c r="F34" i="1"/>
  <c r="J34" i="1" s="1"/>
  <c r="F33" i="1"/>
  <c r="J33" i="1" s="1"/>
  <c r="F32" i="1"/>
  <c r="J32" i="1" s="1"/>
  <c r="F31" i="1"/>
  <c r="J31" i="1" s="1"/>
  <c r="F30" i="1"/>
  <c r="J30" i="1" s="1"/>
  <c r="F29" i="1"/>
  <c r="J29" i="1" s="1"/>
  <c r="F28" i="1"/>
  <c r="J28" i="1" s="1"/>
  <c r="F27" i="1"/>
  <c r="J27" i="1" s="1"/>
  <c r="F26" i="1"/>
  <c r="J26" i="1" s="1"/>
  <c r="F25" i="1"/>
  <c r="J25" i="1" s="1"/>
  <c r="F24" i="1"/>
  <c r="J24" i="1" s="1"/>
  <c r="F23" i="1"/>
  <c r="J23" i="1" s="1"/>
  <c r="F22" i="1"/>
  <c r="J22" i="1" s="1"/>
  <c r="F21" i="1"/>
  <c r="J21" i="1" s="1"/>
  <c r="F20" i="1"/>
  <c r="J20" i="1" s="1"/>
  <c r="F19" i="1"/>
  <c r="J19" i="1" s="1"/>
  <c r="F18" i="1"/>
  <c r="J18" i="1" s="1"/>
  <c r="F17" i="1"/>
  <c r="J17" i="1" s="1"/>
  <c r="F16" i="1"/>
  <c r="J16" i="1" s="1"/>
  <c r="F15" i="1"/>
  <c r="J15" i="1" s="1"/>
  <c r="F14" i="1"/>
  <c r="J14" i="1" s="1"/>
  <c r="B96" i="2"/>
  <c r="B95" i="2"/>
  <c r="N85" i="2" s="1"/>
  <c r="N125" i="2"/>
  <c r="O14" i="1" l="1"/>
  <c r="N14" i="1"/>
  <c r="M14" i="1"/>
  <c r="L14" i="1"/>
  <c r="K14" i="1"/>
  <c r="O15" i="1"/>
  <c r="N15" i="1"/>
  <c r="M15" i="1"/>
  <c r="L15" i="1"/>
  <c r="K15" i="1"/>
  <c r="O16" i="1"/>
  <c r="N16" i="1"/>
  <c r="M16" i="1"/>
  <c r="L16" i="1"/>
  <c r="K16" i="1"/>
  <c r="O17" i="1"/>
  <c r="N17" i="1"/>
  <c r="M17" i="1"/>
  <c r="L17" i="1"/>
  <c r="K17" i="1"/>
  <c r="O18" i="1"/>
  <c r="N18" i="1"/>
  <c r="M18" i="1"/>
  <c r="L18" i="1"/>
  <c r="K18" i="1"/>
  <c r="O19" i="1"/>
  <c r="N19" i="1"/>
  <c r="M19" i="1"/>
  <c r="L19" i="1"/>
  <c r="K19" i="1"/>
  <c r="O20" i="1"/>
  <c r="N20" i="1"/>
  <c r="M20" i="1"/>
  <c r="L20" i="1"/>
  <c r="K20" i="1"/>
  <c r="O21" i="1"/>
  <c r="N21" i="1"/>
  <c r="M21" i="1"/>
  <c r="L21" i="1"/>
  <c r="K21" i="1"/>
  <c r="O22" i="1"/>
  <c r="N22" i="1"/>
  <c r="M22" i="1"/>
  <c r="L22" i="1"/>
  <c r="K22" i="1"/>
  <c r="O23" i="1"/>
  <c r="N23" i="1"/>
  <c r="M23" i="1"/>
  <c r="L23" i="1"/>
  <c r="K23" i="1"/>
  <c r="O24" i="1"/>
  <c r="N24" i="1"/>
  <c r="M24" i="1"/>
  <c r="L24" i="1"/>
  <c r="K24" i="1"/>
  <c r="O25" i="1"/>
  <c r="N25" i="1"/>
  <c r="M25" i="1"/>
  <c r="L25" i="1"/>
  <c r="K25" i="1"/>
  <c r="O26" i="1"/>
  <c r="N26" i="1"/>
  <c r="M26" i="1"/>
  <c r="L26" i="1"/>
  <c r="K26" i="1"/>
  <c r="O27" i="1"/>
  <c r="N27" i="1"/>
  <c r="M27" i="1"/>
  <c r="L27" i="1"/>
  <c r="K27" i="1"/>
  <c r="O28" i="1"/>
  <c r="N28" i="1"/>
  <c r="M28" i="1"/>
  <c r="L28" i="1"/>
  <c r="K28" i="1"/>
  <c r="O29" i="1"/>
  <c r="N29" i="1"/>
  <c r="M29" i="1"/>
  <c r="L29" i="1"/>
  <c r="K29" i="1"/>
  <c r="O30" i="1"/>
  <c r="N30" i="1"/>
  <c r="M30" i="1"/>
  <c r="L30" i="1"/>
  <c r="K30" i="1"/>
  <c r="O31" i="1"/>
  <c r="N31" i="1"/>
  <c r="M31" i="1"/>
  <c r="L31" i="1"/>
  <c r="K31" i="1"/>
  <c r="O32" i="1"/>
  <c r="N32" i="1"/>
  <c r="M32" i="1"/>
  <c r="L32" i="1"/>
  <c r="K32" i="1"/>
  <c r="O33" i="1"/>
  <c r="N33" i="1"/>
  <c r="M33" i="1"/>
  <c r="L33" i="1"/>
  <c r="K33" i="1"/>
  <c r="O34" i="1"/>
  <c r="N34" i="1"/>
  <c r="M34" i="1"/>
  <c r="L34" i="1"/>
  <c r="K34" i="1"/>
  <c r="O35" i="1"/>
  <c r="N35" i="1"/>
  <c r="M35" i="1"/>
  <c r="L35" i="1"/>
  <c r="K35" i="1"/>
  <c r="O36" i="1"/>
  <c r="N36" i="1"/>
  <c r="M36" i="1"/>
  <c r="L36" i="1"/>
  <c r="K36" i="1"/>
  <c r="O37" i="1"/>
  <c r="N37" i="1"/>
  <c r="M37" i="1"/>
  <c r="L37" i="1"/>
  <c r="K37" i="1"/>
  <c r="O38" i="1"/>
  <c r="N38" i="1"/>
  <c r="M38" i="1"/>
  <c r="L38" i="1"/>
  <c r="K38" i="1"/>
  <c r="O39" i="1"/>
  <c r="N39" i="1"/>
  <c r="M39" i="1"/>
  <c r="L39" i="1"/>
  <c r="K39" i="1"/>
  <c r="O40" i="1"/>
  <c r="N40" i="1"/>
  <c r="M40" i="1"/>
  <c r="L40" i="1"/>
  <c r="K40" i="1"/>
  <c r="O41" i="1"/>
  <c r="N41" i="1"/>
  <c r="M41" i="1"/>
  <c r="L41" i="1"/>
  <c r="K41" i="1"/>
  <c r="O42" i="1"/>
  <c r="N42" i="1"/>
  <c r="M42" i="1"/>
  <c r="L42" i="1"/>
  <c r="K42" i="1"/>
  <c r="O43" i="1"/>
  <c r="N43" i="1"/>
  <c r="M43" i="1"/>
  <c r="L43" i="1"/>
  <c r="K43" i="1"/>
  <c r="O44" i="1"/>
  <c r="N44" i="1"/>
  <c r="M44" i="1"/>
  <c r="L44" i="1"/>
  <c r="K44" i="1"/>
  <c r="O45" i="1"/>
  <c r="N45" i="1"/>
  <c r="M45" i="1"/>
  <c r="L45" i="1"/>
  <c r="K45" i="1"/>
  <c r="O46" i="1"/>
  <c r="N46" i="1"/>
  <c r="M46" i="1"/>
  <c r="L46" i="1"/>
  <c r="K46" i="1"/>
  <c r="O47" i="1"/>
  <c r="N47" i="1"/>
  <c r="M47" i="1"/>
  <c r="L47" i="1"/>
  <c r="K47" i="1"/>
  <c r="O48" i="1"/>
  <c r="N48" i="1"/>
  <c r="M48" i="1"/>
  <c r="L48" i="1"/>
  <c r="K48" i="1"/>
  <c r="O49" i="1"/>
  <c r="N49" i="1"/>
  <c r="M49" i="1"/>
  <c r="L49" i="1"/>
  <c r="K49" i="1"/>
  <c r="O50" i="1"/>
  <c r="N50" i="1"/>
  <c r="M50" i="1"/>
  <c r="L50" i="1"/>
  <c r="K50" i="1"/>
  <c r="O51" i="1"/>
  <c r="N51" i="1"/>
  <c r="M51" i="1"/>
  <c r="L51" i="1"/>
  <c r="K51" i="1"/>
  <c r="O52" i="1"/>
  <c r="N52" i="1"/>
  <c r="M52" i="1"/>
  <c r="L52" i="1"/>
  <c r="K52" i="1"/>
  <c r="O53" i="1"/>
  <c r="N53" i="1"/>
  <c r="M53" i="1"/>
  <c r="L53" i="1"/>
  <c r="K53" i="1"/>
  <c r="O54" i="1"/>
  <c r="N54" i="1"/>
  <c r="M54" i="1"/>
  <c r="L54" i="1"/>
  <c r="K54" i="1"/>
  <c r="O55" i="1"/>
  <c r="N55" i="1"/>
  <c r="M55" i="1"/>
  <c r="L55" i="1"/>
  <c r="K55" i="1"/>
  <c r="O56" i="1"/>
  <c r="N56" i="1"/>
  <c r="M56" i="1"/>
  <c r="L56" i="1"/>
  <c r="K56" i="1"/>
  <c r="O57" i="1"/>
  <c r="N57" i="1"/>
  <c r="M57" i="1"/>
  <c r="L57" i="1"/>
  <c r="K57" i="1"/>
  <c r="O58" i="1"/>
  <c r="N58" i="1"/>
  <c r="M58" i="1"/>
  <c r="L58" i="1"/>
  <c r="K58" i="1"/>
  <c r="O59" i="1"/>
  <c r="N59" i="1"/>
  <c r="M59" i="1"/>
  <c r="L59" i="1"/>
  <c r="K59" i="1"/>
  <c r="O60" i="1"/>
  <c r="N60" i="1"/>
  <c r="M60" i="1"/>
  <c r="L60" i="1"/>
  <c r="K60" i="1"/>
  <c r="O61" i="1"/>
  <c r="N61" i="1"/>
  <c r="M61" i="1"/>
  <c r="L61" i="1"/>
  <c r="K61" i="1"/>
  <c r="O62" i="1"/>
  <c r="N62" i="1"/>
  <c r="M62" i="1"/>
  <c r="L62" i="1"/>
  <c r="K62" i="1"/>
  <c r="O63" i="1"/>
  <c r="N63" i="1"/>
  <c r="M63" i="1"/>
  <c r="L63" i="1"/>
  <c r="K63" i="1"/>
  <c r="O64" i="1"/>
  <c r="N64" i="1"/>
  <c r="M64" i="1"/>
  <c r="L64" i="1"/>
  <c r="K64" i="1"/>
  <c r="O65" i="1"/>
  <c r="N65" i="1"/>
  <c r="M65" i="1"/>
  <c r="L65" i="1"/>
  <c r="K65" i="1"/>
  <c r="O66" i="1"/>
  <c r="N66" i="1"/>
  <c r="M66" i="1"/>
  <c r="L66" i="1"/>
  <c r="K66" i="1"/>
  <c r="O67" i="1"/>
  <c r="N67" i="1"/>
  <c r="M67" i="1"/>
  <c r="L67" i="1"/>
  <c r="K67" i="1"/>
  <c r="O68" i="1"/>
  <c r="N68" i="1"/>
  <c r="M68" i="1"/>
  <c r="L68" i="1"/>
  <c r="K68" i="1"/>
  <c r="O69" i="1"/>
  <c r="N69" i="1"/>
  <c r="M69" i="1"/>
  <c r="L69" i="1"/>
  <c r="K69" i="1"/>
  <c r="O70" i="1"/>
  <c r="N70" i="1"/>
  <c r="M70" i="1"/>
  <c r="L70" i="1"/>
  <c r="K70" i="1"/>
  <c r="O71" i="1"/>
  <c r="N71" i="1"/>
  <c r="M71" i="1"/>
  <c r="L71" i="1"/>
  <c r="K71" i="1"/>
  <c r="O72" i="1"/>
  <c r="N72" i="1"/>
  <c r="M72" i="1"/>
  <c r="L72" i="1"/>
  <c r="K72" i="1"/>
  <c r="O73" i="1"/>
  <c r="N73" i="1"/>
  <c r="M73" i="1"/>
  <c r="L73" i="1"/>
  <c r="K73" i="1"/>
  <c r="O74" i="1"/>
  <c r="N74" i="1"/>
  <c r="M74" i="1"/>
  <c r="L74" i="1"/>
  <c r="K74" i="1"/>
  <c r="O75" i="1"/>
  <c r="N75" i="1"/>
  <c r="M75" i="1"/>
  <c r="L75" i="1"/>
  <c r="K75" i="1"/>
  <c r="O76" i="1"/>
  <c r="N76" i="1"/>
  <c r="M76" i="1"/>
  <c r="L76" i="1"/>
  <c r="K76" i="1"/>
  <c r="O77" i="1"/>
  <c r="N77" i="1"/>
  <c r="M77" i="1"/>
  <c r="L77" i="1"/>
  <c r="K77" i="1"/>
  <c r="O78" i="1"/>
  <c r="N78" i="1"/>
  <c r="M78" i="1"/>
  <c r="L78" i="1"/>
  <c r="K78" i="1"/>
  <c r="O115" i="1"/>
  <c r="N115" i="1"/>
  <c r="M115" i="1"/>
  <c r="L115" i="1"/>
  <c r="K115" i="1"/>
  <c r="O200" i="1"/>
  <c r="N200" i="1"/>
  <c r="M200" i="1"/>
  <c r="L200" i="1"/>
  <c r="K200" i="1"/>
  <c r="O201" i="1"/>
  <c r="N201" i="1"/>
  <c r="M201" i="1"/>
  <c r="L201" i="1"/>
  <c r="K201" i="1"/>
  <c r="O276" i="1"/>
  <c r="N276" i="1"/>
  <c r="M276" i="1"/>
  <c r="L276" i="1"/>
  <c r="K276" i="1"/>
  <c r="O277" i="1"/>
  <c r="N277" i="1"/>
  <c r="M277" i="1"/>
  <c r="L277" i="1"/>
  <c r="K277" i="1"/>
  <c r="O278" i="1"/>
  <c r="N278" i="1"/>
  <c r="M278" i="1"/>
  <c r="L278" i="1"/>
  <c r="K278" i="1"/>
  <c r="O279" i="1"/>
  <c r="N279" i="1"/>
  <c r="M279" i="1"/>
  <c r="L279" i="1"/>
  <c r="K279" i="1"/>
  <c r="O280" i="1"/>
  <c r="N280" i="1"/>
  <c r="M280" i="1"/>
  <c r="L280" i="1"/>
  <c r="K280" i="1"/>
  <c r="O281" i="1"/>
  <c r="N281" i="1"/>
  <c r="M281" i="1"/>
  <c r="L281" i="1"/>
  <c r="K281" i="1"/>
  <c r="O282" i="1"/>
  <c r="N282" i="1"/>
  <c r="M282" i="1"/>
  <c r="L282" i="1"/>
  <c r="K282" i="1"/>
  <c r="O283" i="1"/>
  <c r="N283" i="1"/>
  <c r="M283" i="1"/>
  <c r="L283" i="1"/>
  <c r="K283" i="1"/>
  <c r="O284" i="1"/>
  <c r="N284" i="1"/>
  <c r="M284" i="1"/>
  <c r="L284" i="1"/>
  <c r="K284" i="1"/>
  <c r="O285" i="1"/>
  <c r="N285" i="1"/>
  <c r="M285" i="1"/>
  <c r="L285" i="1"/>
  <c r="K285" i="1"/>
  <c r="O286" i="1"/>
  <c r="N286" i="1"/>
  <c r="M286" i="1"/>
  <c r="L286" i="1"/>
  <c r="K286" i="1"/>
  <c r="O287" i="1"/>
  <c r="N287" i="1"/>
  <c r="M287" i="1"/>
  <c r="L287" i="1"/>
  <c r="K287" i="1"/>
  <c r="O288" i="1"/>
  <c r="N288" i="1"/>
  <c r="M288" i="1"/>
  <c r="L288" i="1"/>
  <c r="K288" i="1"/>
  <c r="O289" i="1"/>
  <c r="N289" i="1"/>
  <c r="M289" i="1"/>
  <c r="L289" i="1"/>
  <c r="K289" i="1"/>
  <c r="O290" i="1"/>
  <c r="N290" i="1"/>
  <c r="M290" i="1"/>
  <c r="L290" i="1"/>
  <c r="K290" i="1"/>
  <c r="O291" i="1"/>
  <c r="N291" i="1"/>
  <c r="M291" i="1"/>
  <c r="L291" i="1"/>
  <c r="K291" i="1"/>
  <c r="O292" i="1"/>
  <c r="N292" i="1"/>
  <c r="M292" i="1"/>
  <c r="L292" i="1"/>
  <c r="K292" i="1"/>
  <c r="O293" i="1"/>
  <c r="N293" i="1"/>
  <c r="M293" i="1"/>
  <c r="L293" i="1"/>
  <c r="K293" i="1"/>
  <c r="O294" i="1"/>
  <c r="N294" i="1"/>
  <c r="M294" i="1"/>
  <c r="L294" i="1"/>
  <c r="K294" i="1"/>
  <c r="O295" i="1"/>
  <c r="N295" i="1"/>
  <c r="M295" i="1"/>
  <c r="L295" i="1"/>
  <c r="K295" i="1"/>
  <c r="O296" i="1"/>
  <c r="N296" i="1"/>
  <c r="M296" i="1"/>
  <c r="L296" i="1"/>
  <c r="K296" i="1"/>
  <c r="O297" i="1"/>
  <c r="N297" i="1"/>
  <c r="M297" i="1"/>
  <c r="L297" i="1"/>
  <c r="K297" i="1"/>
  <c r="O298" i="1"/>
  <c r="N298" i="1"/>
  <c r="M298" i="1"/>
  <c r="L298" i="1"/>
  <c r="K298" i="1"/>
  <c r="O299" i="1"/>
  <c r="N299" i="1"/>
  <c r="M299" i="1"/>
  <c r="L299" i="1"/>
  <c r="K299" i="1"/>
  <c r="O300" i="1"/>
  <c r="N300" i="1"/>
  <c r="M300" i="1"/>
  <c r="L300" i="1"/>
  <c r="K300" i="1"/>
  <c r="O301" i="1"/>
  <c r="N301" i="1"/>
  <c r="M301" i="1"/>
  <c r="L301" i="1"/>
  <c r="K301" i="1"/>
  <c r="O302" i="1"/>
  <c r="N302" i="1"/>
  <c r="M302" i="1"/>
  <c r="L302" i="1"/>
  <c r="K302" i="1"/>
  <c r="F65" i="2"/>
  <c r="F63" i="2"/>
  <c r="F62" i="2"/>
  <c r="L65" i="2"/>
  <c r="N76" i="2"/>
  <c r="N80" i="2"/>
  <c r="N88" i="2"/>
  <c r="N91" i="2"/>
  <c r="N83" i="2"/>
  <c r="N124" i="2" l="1"/>
  <c r="N126" i="2" s="1"/>
  <c r="H96" i="2" l="1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I74" i="2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L66" i="2" l="1"/>
  <c r="L67" i="2"/>
  <c r="B68" i="2"/>
  <c r="L68" i="2" s="1"/>
  <c r="B64" i="2"/>
  <c r="L64" i="2" s="1"/>
  <c r="B61" i="2"/>
  <c r="L61" i="2" s="1"/>
  <c r="L62" i="2"/>
  <c r="B63" i="2"/>
  <c r="L63" i="2" s="1"/>
  <c r="F551" i="1" l="1"/>
  <c r="J551" i="1" s="1"/>
  <c r="F550" i="1"/>
  <c r="J550" i="1" s="1"/>
  <c r="F549" i="1"/>
  <c r="J549" i="1" s="1"/>
  <c r="F548" i="1"/>
  <c r="J548" i="1" s="1"/>
  <c r="F547" i="1"/>
  <c r="J547" i="1" s="1"/>
  <c r="F546" i="1"/>
  <c r="J546" i="1" s="1"/>
  <c r="F545" i="1"/>
  <c r="J545" i="1" s="1"/>
  <c r="F544" i="1"/>
  <c r="J544" i="1" s="1"/>
  <c r="F543" i="1"/>
  <c r="J543" i="1" s="1"/>
  <c r="F542" i="1"/>
  <c r="J542" i="1" s="1"/>
  <c r="F541" i="1"/>
  <c r="J541" i="1" s="1"/>
  <c r="F540" i="1"/>
  <c r="J540" i="1" s="1"/>
  <c r="F539" i="1"/>
  <c r="J539" i="1" s="1"/>
  <c r="F538" i="1"/>
  <c r="J538" i="1" s="1"/>
  <c r="F537" i="1"/>
  <c r="J537" i="1" s="1"/>
  <c r="F536" i="1"/>
  <c r="J536" i="1" s="1"/>
  <c r="J535" i="1"/>
  <c r="F534" i="1"/>
  <c r="J534" i="1" s="1"/>
  <c r="F533" i="1"/>
  <c r="J533" i="1" s="1"/>
  <c r="F532" i="1"/>
  <c r="J532" i="1" s="1"/>
  <c r="F531" i="1"/>
  <c r="J531" i="1" s="1"/>
  <c r="F530" i="1"/>
  <c r="J530" i="1" s="1"/>
  <c r="K101" i="2"/>
  <c r="P21" i="3" s="1"/>
  <c r="P21" i="5" s="1"/>
  <c r="J101" i="2"/>
  <c r="P20" i="3" s="1"/>
  <c r="P20" i="5" s="1"/>
  <c r="O530" i="1" l="1"/>
  <c r="N530" i="1"/>
  <c r="M530" i="1"/>
  <c r="L530" i="1"/>
  <c r="K530" i="1"/>
  <c r="O531" i="1"/>
  <c r="N531" i="1"/>
  <c r="M531" i="1"/>
  <c r="L531" i="1"/>
  <c r="K531" i="1"/>
  <c r="O532" i="1"/>
  <c r="N532" i="1"/>
  <c r="M532" i="1"/>
  <c r="L532" i="1"/>
  <c r="K532" i="1"/>
  <c r="O533" i="1"/>
  <c r="N533" i="1"/>
  <c r="M533" i="1"/>
  <c r="L533" i="1"/>
  <c r="K533" i="1"/>
  <c r="O534" i="1"/>
  <c r="N534" i="1"/>
  <c r="M534" i="1"/>
  <c r="L534" i="1"/>
  <c r="K534" i="1"/>
  <c r="O535" i="1"/>
  <c r="N535" i="1"/>
  <c r="M535" i="1"/>
  <c r="L535" i="1"/>
  <c r="K535" i="1"/>
  <c r="O536" i="1"/>
  <c r="N536" i="1"/>
  <c r="M536" i="1"/>
  <c r="L536" i="1"/>
  <c r="K536" i="1"/>
  <c r="O537" i="1"/>
  <c r="N537" i="1"/>
  <c r="M537" i="1"/>
  <c r="L537" i="1"/>
  <c r="K537" i="1"/>
  <c r="O538" i="1"/>
  <c r="N538" i="1"/>
  <c r="M538" i="1"/>
  <c r="L538" i="1"/>
  <c r="K538" i="1"/>
  <c r="O539" i="1"/>
  <c r="N539" i="1"/>
  <c r="M539" i="1"/>
  <c r="L539" i="1"/>
  <c r="K539" i="1"/>
  <c r="O540" i="1"/>
  <c r="N540" i="1"/>
  <c r="M540" i="1"/>
  <c r="L540" i="1"/>
  <c r="K540" i="1"/>
  <c r="O541" i="1"/>
  <c r="N541" i="1"/>
  <c r="M541" i="1"/>
  <c r="L541" i="1"/>
  <c r="K541" i="1"/>
  <c r="O542" i="1"/>
  <c r="N542" i="1"/>
  <c r="M542" i="1"/>
  <c r="L542" i="1"/>
  <c r="K542" i="1"/>
  <c r="O543" i="1"/>
  <c r="N543" i="1"/>
  <c r="M543" i="1"/>
  <c r="L543" i="1"/>
  <c r="K543" i="1"/>
  <c r="O544" i="1"/>
  <c r="N544" i="1"/>
  <c r="M544" i="1"/>
  <c r="L544" i="1"/>
  <c r="K544" i="1"/>
  <c r="O545" i="1"/>
  <c r="N545" i="1"/>
  <c r="M545" i="1"/>
  <c r="L545" i="1"/>
  <c r="K545" i="1"/>
  <c r="O546" i="1"/>
  <c r="N546" i="1"/>
  <c r="M546" i="1"/>
  <c r="L546" i="1"/>
  <c r="K546" i="1"/>
  <c r="O547" i="1"/>
  <c r="N547" i="1"/>
  <c r="M547" i="1"/>
  <c r="L547" i="1"/>
  <c r="K547" i="1"/>
  <c r="O548" i="1"/>
  <c r="N548" i="1"/>
  <c r="M548" i="1"/>
  <c r="L548" i="1"/>
  <c r="K548" i="1"/>
  <c r="O549" i="1"/>
  <c r="N549" i="1"/>
  <c r="M549" i="1"/>
  <c r="L549" i="1"/>
  <c r="K549" i="1"/>
  <c r="O550" i="1"/>
  <c r="N550" i="1"/>
  <c r="M550" i="1"/>
  <c r="L550" i="1"/>
  <c r="K550" i="1"/>
  <c r="O551" i="1"/>
  <c r="N551" i="1"/>
  <c r="M551" i="1"/>
  <c r="L551" i="1"/>
  <c r="K551" i="1"/>
  <c r="L72" i="2"/>
  <c r="L71" i="2"/>
  <c r="L70" i="2"/>
  <c r="I51" i="2"/>
  <c r="I25" i="2"/>
  <c r="I101" i="2" s="1"/>
  <c r="P19" i="3" s="1"/>
  <c r="P19" i="5" s="1"/>
  <c r="H50" i="2"/>
  <c r="H49" i="2"/>
  <c r="H48" i="2"/>
  <c r="H46" i="2"/>
  <c r="H33" i="2"/>
  <c r="H14" i="2"/>
  <c r="H12" i="2"/>
  <c r="H11" i="2"/>
  <c r="H10" i="2"/>
  <c r="H9" i="2"/>
  <c r="H8" i="2"/>
  <c r="H7" i="2"/>
  <c r="H6" i="2"/>
  <c r="L101" i="2" l="1"/>
  <c r="P22" i="3" s="1"/>
  <c r="P22" i="5" s="1"/>
  <c r="H101" i="2"/>
  <c r="P18" i="3" s="1"/>
  <c r="P18" i="5" s="1"/>
  <c r="P24" i="5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6" i="2"/>
  <c r="G46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G356" i="1"/>
  <c r="G355" i="1"/>
  <c r="G328" i="1"/>
  <c r="G324" i="1"/>
  <c r="G321" i="1"/>
  <c r="G320" i="1"/>
  <c r="G312" i="1"/>
  <c r="G303" i="1"/>
  <c r="G250" i="1"/>
  <c r="G249" i="1"/>
  <c r="G231" i="1"/>
  <c r="G199" i="1"/>
  <c r="G195" i="1"/>
  <c r="G192" i="1"/>
  <c r="G183" i="1"/>
  <c r="G179" i="1"/>
  <c r="G174" i="1"/>
  <c r="G171" i="1"/>
  <c r="G166" i="1"/>
  <c r="G161" i="1"/>
  <c r="G156" i="1"/>
  <c r="G155" i="1"/>
  <c r="G154" i="1"/>
  <c r="G147" i="1"/>
  <c r="G142" i="1"/>
  <c r="G137" i="1"/>
  <c r="G136" i="1"/>
  <c r="G132" i="1"/>
  <c r="G127" i="1"/>
  <c r="G124" i="1"/>
  <c r="G117" i="1"/>
  <c r="G92" i="1"/>
  <c r="G91" i="1"/>
  <c r="G87" i="1"/>
  <c r="G79" i="1"/>
  <c r="G7" i="1"/>
  <c r="F378" i="1"/>
  <c r="J378" i="1" s="1"/>
  <c r="P24" i="3" l="1"/>
  <c r="P26" i="3" s="1"/>
  <c r="O378" i="1"/>
  <c r="N378" i="1"/>
  <c r="M378" i="1"/>
  <c r="L378" i="1"/>
  <c r="K37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0" i="1"/>
  <c r="H507" i="1"/>
  <c r="H506" i="1"/>
  <c r="H502" i="1"/>
  <c r="H501" i="1"/>
  <c r="H498" i="1"/>
  <c r="H497" i="1"/>
  <c r="H496" i="1"/>
  <c r="H482" i="1"/>
  <c r="H478" i="1"/>
  <c r="H473" i="1"/>
  <c r="H472" i="1"/>
  <c r="H466" i="1"/>
  <c r="H464" i="1"/>
  <c r="H463" i="1"/>
  <c r="H462" i="1"/>
  <c r="H459" i="1"/>
  <c r="H458" i="1"/>
  <c r="H457" i="1"/>
  <c r="H452" i="1"/>
  <c r="H448" i="1"/>
  <c r="H447" i="1"/>
  <c r="H444" i="1"/>
  <c r="H443" i="1"/>
  <c r="H442" i="1"/>
  <c r="H439" i="1"/>
  <c r="H438" i="1"/>
  <c r="H435" i="1"/>
  <c r="H431" i="1"/>
  <c r="H429" i="1"/>
  <c r="H428" i="1"/>
  <c r="H387" i="1"/>
  <c r="H386" i="1"/>
  <c r="H382" i="1"/>
  <c r="H377" i="1"/>
  <c r="H376" i="1"/>
  <c r="H372" i="1"/>
  <c r="H371" i="1"/>
  <c r="H366" i="1"/>
  <c r="H362" i="1"/>
  <c r="F355" i="1"/>
  <c r="F80" i="1"/>
  <c r="J80" i="1" s="1"/>
  <c r="F8" i="1"/>
  <c r="F519" i="1"/>
  <c r="J519" i="1" s="1"/>
  <c r="F522" i="1"/>
  <c r="J522" i="1" s="1"/>
  <c r="F517" i="1"/>
  <c r="J517" i="1" s="1"/>
  <c r="F479" i="1"/>
  <c r="J479" i="1" s="1"/>
  <c r="O479" i="1" l="1"/>
  <c r="N479" i="1"/>
  <c r="M479" i="1"/>
  <c r="L479" i="1"/>
  <c r="K479" i="1"/>
  <c r="O517" i="1"/>
  <c r="N517" i="1"/>
  <c r="M517" i="1"/>
  <c r="L517" i="1"/>
  <c r="K517" i="1"/>
  <c r="O522" i="1"/>
  <c r="N522" i="1"/>
  <c r="M522" i="1"/>
  <c r="L522" i="1"/>
  <c r="K522" i="1"/>
  <c r="O519" i="1"/>
  <c r="N519" i="1"/>
  <c r="M519" i="1"/>
  <c r="L519" i="1"/>
  <c r="K519" i="1"/>
  <c r="O80" i="1"/>
  <c r="N80" i="1"/>
  <c r="M80" i="1"/>
  <c r="L80" i="1"/>
  <c r="K80" i="1"/>
  <c r="F527" i="1"/>
  <c r="J527" i="1" s="1"/>
  <c r="F526" i="1"/>
  <c r="J526" i="1" s="1"/>
  <c r="F525" i="1"/>
  <c r="J525" i="1" s="1"/>
  <c r="F524" i="1"/>
  <c r="J524" i="1" s="1"/>
  <c r="F251" i="1"/>
  <c r="J251" i="1" s="1"/>
  <c r="F196" i="1"/>
  <c r="J196" i="1" s="1"/>
  <c r="F184" i="1"/>
  <c r="J184" i="1" s="1"/>
  <c r="F93" i="1"/>
  <c r="J93" i="1" s="1"/>
  <c r="F138" i="1"/>
  <c r="J138" i="1"/>
  <c r="F523" i="1"/>
  <c r="J523" i="1" s="1"/>
  <c r="F521" i="1"/>
  <c r="J521" i="1" s="1"/>
  <c r="F520" i="1"/>
  <c r="J520" i="1" s="1"/>
  <c r="F518" i="1"/>
  <c r="J518" i="1" s="1"/>
  <c r="F516" i="1"/>
  <c r="J516" i="1" s="1"/>
  <c r="F515" i="1"/>
  <c r="J515" i="1" s="1"/>
  <c r="F514" i="1"/>
  <c r="J514" i="1" s="1"/>
  <c r="F513" i="1"/>
  <c r="J513" i="1" s="1"/>
  <c r="F512" i="1"/>
  <c r="J512" i="1" s="1"/>
  <c r="F511" i="1"/>
  <c r="J511" i="1" s="1"/>
  <c r="F509" i="1"/>
  <c r="J509" i="1" s="1"/>
  <c r="F508" i="1"/>
  <c r="J508" i="1" s="1"/>
  <c r="F506" i="1"/>
  <c r="J506" i="1" s="1"/>
  <c r="F505" i="1"/>
  <c r="J505" i="1" s="1"/>
  <c r="F504" i="1"/>
  <c r="J504" i="1" s="1"/>
  <c r="F503" i="1"/>
  <c r="J503" i="1" s="1"/>
  <c r="F501" i="1"/>
  <c r="J501" i="1" s="1"/>
  <c r="F500" i="1"/>
  <c r="J500" i="1" s="1"/>
  <c r="F499" i="1"/>
  <c r="J499" i="1" s="1"/>
  <c r="F497" i="1"/>
  <c r="J497" i="1" s="1"/>
  <c r="F496" i="1"/>
  <c r="J496" i="1" s="1"/>
  <c r="F495" i="1"/>
  <c r="J495" i="1" s="1"/>
  <c r="F494" i="1"/>
  <c r="J494" i="1" s="1"/>
  <c r="F493" i="1"/>
  <c r="J493" i="1" s="1"/>
  <c r="F492" i="1"/>
  <c r="J492" i="1" s="1"/>
  <c r="F491" i="1"/>
  <c r="J491" i="1" s="1"/>
  <c r="F490" i="1"/>
  <c r="J490" i="1" s="1"/>
  <c r="F489" i="1"/>
  <c r="J489" i="1" s="1"/>
  <c r="F488" i="1"/>
  <c r="J488" i="1" s="1"/>
  <c r="F487" i="1"/>
  <c r="J487" i="1" s="1"/>
  <c r="F486" i="1"/>
  <c r="J486" i="1" s="1"/>
  <c r="F485" i="1"/>
  <c r="J485" i="1" s="1"/>
  <c r="F484" i="1"/>
  <c r="J484" i="1" s="1"/>
  <c r="F483" i="1"/>
  <c r="J483" i="1" s="1"/>
  <c r="F481" i="1"/>
  <c r="J481" i="1" s="1"/>
  <c r="F480" i="1"/>
  <c r="J480" i="1" s="1"/>
  <c r="F477" i="1"/>
  <c r="J477" i="1" s="1"/>
  <c r="F476" i="1"/>
  <c r="J476" i="1" s="1"/>
  <c r="F475" i="1"/>
  <c r="J475" i="1" s="1"/>
  <c r="F474" i="1"/>
  <c r="J474" i="1" s="1"/>
  <c r="F472" i="1"/>
  <c r="J472" i="1" s="1"/>
  <c r="F471" i="1"/>
  <c r="J471" i="1" s="1"/>
  <c r="F470" i="1"/>
  <c r="J470" i="1" s="1"/>
  <c r="F469" i="1"/>
  <c r="J469" i="1" s="1"/>
  <c r="F468" i="1"/>
  <c r="J468" i="1" s="1"/>
  <c r="F467" i="1"/>
  <c r="J467" i="1" s="1"/>
  <c r="F464" i="1"/>
  <c r="J464" i="1" s="1"/>
  <c r="F463" i="1"/>
  <c r="J463" i="1" s="1"/>
  <c r="F462" i="1"/>
  <c r="J462" i="1" s="1"/>
  <c r="F461" i="1"/>
  <c r="J461" i="1" s="1"/>
  <c r="F460" i="1"/>
  <c r="J460" i="1" s="1"/>
  <c r="F458" i="1"/>
  <c r="J458" i="1" s="1"/>
  <c r="F457" i="1"/>
  <c r="J457" i="1" s="1"/>
  <c r="F456" i="1"/>
  <c r="J456" i="1" s="1"/>
  <c r="F455" i="1"/>
  <c r="J455" i="1" s="1"/>
  <c r="F454" i="1"/>
  <c r="J454" i="1" s="1"/>
  <c r="F453" i="1"/>
  <c r="J453" i="1" s="1"/>
  <c r="F451" i="1"/>
  <c r="J451" i="1" s="1"/>
  <c r="F450" i="1"/>
  <c r="J450" i="1" s="1"/>
  <c r="F449" i="1"/>
  <c r="J449" i="1" s="1"/>
  <c r="F447" i="1"/>
  <c r="J447" i="1" s="1"/>
  <c r="F446" i="1"/>
  <c r="J446" i="1" s="1"/>
  <c r="F445" i="1"/>
  <c r="J445" i="1" s="1"/>
  <c r="F443" i="1"/>
  <c r="J443" i="1" s="1"/>
  <c r="F442" i="1"/>
  <c r="J442" i="1" s="1"/>
  <c r="F441" i="1"/>
  <c r="J441" i="1" s="1"/>
  <c r="F440" i="1"/>
  <c r="J440" i="1" s="1"/>
  <c r="F438" i="1"/>
  <c r="J438" i="1" s="1"/>
  <c r="F437" i="1"/>
  <c r="J437" i="1" s="1"/>
  <c r="F436" i="1"/>
  <c r="J436" i="1" s="1"/>
  <c r="F434" i="1"/>
  <c r="J434" i="1" s="1"/>
  <c r="F433" i="1"/>
  <c r="J433" i="1" s="1"/>
  <c r="F432" i="1"/>
  <c r="J432" i="1" s="1"/>
  <c r="F429" i="1"/>
  <c r="J429" i="1" s="1"/>
  <c r="F428" i="1"/>
  <c r="J428" i="1" s="1"/>
  <c r="F427" i="1"/>
  <c r="J427" i="1" s="1"/>
  <c r="F426" i="1"/>
  <c r="J426" i="1" s="1"/>
  <c r="F425" i="1"/>
  <c r="J425" i="1" s="1"/>
  <c r="F424" i="1"/>
  <c r="J424" i="1" s="1"/>
  <c r="F423" i="1"/>
  <c r="J423" i="1" s="1"/>
  <c r="F422" i="1"/>
  <c r="J422" i="1" s="1"/>
  <c r="F421" i="1"/>
  <c r="J421" i="1" s="1"/>
  <c r="F420" i="1"/>
  <c r="J420" i="1" s="1"/>
  <c r="F419" i="1"/>
  <c r="J419" i="1" s="1"/>
  <c r="F418" i="1"/>
  <c r="J418" i="1" s="1"/>
  <c r="F417" i="1"/>
  <c r="J417" i="1" s="1"/>
  <c r="F416" i="1"/>
  <c r="J416" i="1" s="1"/>
  <c r="F415" i="1"/>
  <c r="J415" i="1" s="1"/>
  <c r="F414" i="1"/>
  <c r="J414" i="1" s="1"/>
  <c r="F413" i="1"/>
  <c r="J413" i="1" s="1"/>
  <c r="F412" i="1"/>
  <c r="J412" i="1" s="1"/>
  <c r="F411" i="1"/>
  <c r="J411" i="1" s="1"/>
  <c r="F410" i="1"/>
  <c r="J410" i="1" s="1"/>
  <c r="F409" i="1"/>
  <c r="J409" i="1" s="1"/>
  <c r="F408" i="1"/>
  <c r="J408" i="1" s="1"/>
  <c r="F407" i="1"/>
  <c r="J407" i="1" s="1"/>
  <c r="F406" i="1"/>
  <c r="J406" i="1" s="1"/>
  <c r="F405" i="1"/>
  <c r="J405" i="1" s="1"/>
  <c r="F404" i="1"/>
  <c r="J404" i="1" s="1"/>
  <c r="F403" i="1"/>
  <c r="J403" i="1" s="1"/>
  <c r="F402" i="1"/>
  <c r="J402" i="1" s="1"/>
  <c r="F401" i="1"/>
  <c r="J401" i="1" s="1"/>
  <c r="F400" i="1"/>
  <c r="J400" i="1" s="1"/>
  <c r="F399" i="1"/>
  <c r="J399" i="1" s="1"/>
  <c r="F398" i="1"/>
  <c r="J398" i="1" s="1"/>
  <c r="F397" i="1"/>
  <c r="J397" i="1" s="1"/>
  <c r="F396" i="1"/>
  <c r="J396" i="1" s="1"/>
  <c r="F395" i="1"/>
  <c r="J395" i="1" s="1"/>
  <c r="F394" i="1"/>
  <c r="J394" i="1" s="1"/>
  <c r="F393" i="1"/>
  <c r="J393" i="1" s="1"/>
  <c r="F392" i="1"/>
  <c r="J392" i="1" s="1"/>
  <c r="F391" i="1"/>
  <c r="J391" i="1" s="1"/>
  <c r="F390" i="1"/>
  <c r="J390" i="1" s="1"/>
  <c r="F389" i="1"/>
  <c r="J389" i="1" s="1"/>
  <c r="F388" i="1"/>
  <c r="J388" i="1" s="1"/>
  <c r="F386" i="1"/>
  <c r="J386" i="1" s="1"/>
  <c r="F385" i="1"/>
  <c r="J385" i="1" s="1"/>
  <c r="F384" i="1"/>
  <c r="J384" i="1" s="1"/>
  <c r="F383" i="1"/>
  <c r="J383" i="1" s="1"/>
  <c r="F381" i="1"/>
  <c r="J381" i="1" s="1"/>
  <c r="F380" i="1"/>
  <c r="J380" i="1" s="1"/>
  <c r="F379" i="1"/>
  <c r="J379" i="1" s="1"/>
  <c r="F376" i="1"/>
  <c r="J376" i="1" s="1"/>
  <c r="F375" i="1"/>
  <c r="J375" i="1" s="1"/>
  <c r="F374" i="1"/>
  <c r="J374" i="1" s="1"/>
  <c r="F373" i="1"/>
  <c r="J373" i="1" s="1"/>
  <c r="F371" i="1"/>
  <c r="J371" i="1" s="1"/>
  <c r="F370" i="1"/>
  <c r="J370" i="1" s="1"/>
  <c r="F369" i="1"/>
  <c r="J369" i="1" s="1"/>
  <c r="F368" i="1"/>
  <c r="J368" i="1" s="1"/>
  <c r="F367" i="1"/>
  <c r="J367" i="1" s="1"/>
  <c r="F365" i="1"/>
  <c r="J365" i="1" s="1"/>
  <c r="F364" i="1"/>
  <c r="J364" i="1" s="1"/>
  <c r="F363" i="1"/>
  <c r="J363" i="1" s="1"/>
  <c r="F360" i="1"/>
  <c r="J360" i="1" s="1"/>
  <c r="F359" i="1"/>
  <c r="J359" i="1" s="1"/>
  <c r="F358" i="1"/>
  <c r="J358" i="1" s="1"/>
  <c r="F357" i="1"/>
  <c r="J357" i="1" s="1"/>
  <c r="J355" i="1"/>
  <c r="F354" i="1"/>
  <c r="J354" i="1" s="1"/>
  <c r="F353" i="1"/>
  <c r="J353" i="1" s="1"/>
  <c r="F352" i="1"/>
  <c r="J352" i="1" s="1"/>
  <c r="F351" i="1"/>
  <c r="J351" i="1" s="1"/>
  <c r="F350" i="1"/>
  <c r="J350" i="1" s="1"/>
  <c r="F349" i="1"/>
  <c r="J349" i="1" s="1"/>
  <c r="F348" i="1"/>
  <c r="J348" i="1" s="1"/>
  <c r="F347" i="1"/>
  <c r="J347" i="1" s="1"/>
  <c r="F346" i="1"/>
  <c r="J346" i="1" s="1"/>
  <c r="F345" i="1"/>
  <c r="J345" i="1" s="1"/>
  <c r="F344" i="1"/>
  <c r="J344" i="1" s="1"/>
  <c r="F343" i="1"/>
  <c r="J343" i="1" s="1"/>
  <c r="F342" i="1"/>
  <c r="J342" i="1" s="1"/>
  <c r="F341" i="1"/>
  <c r="J341" i="1" s="1"/>
  <c r="F340" i="1"/>
  <c r="J340" i="1" s="1"/>
  <c r="F339" i="1"/>
  <c r="J339" i="1" s="1"/>
  <c r="F338" i="1"/>
  <c r="J338" i="1" s="1"/>
  <c r="F337" i="1"/>
  <c r="J337" i="1" s="1"/>
  <c r="F336" i="1"/>
  <c r="J336" i="1" s="1"/>
  <c r="F335" i="1"/>
  <c r="J335" i="1" s="1"/>
  <c r="F334" i="1"/>
  <c r="J334" i="1" s="1"/>
  <c r="F333" i="1"/>
  <c r="J333" i="1" s="1"/>
  <c r="F332" i="1"/>
  <c r="J332" i="1" s="1"/>
  <c r="F331" i="1"/>
  <c r="J331" i="1" s="1"/>
  <c r="F330" i="1"/>
  <c r="J330" i="1" s="1"/>
  <c r="F329" i="1"/>
  <c r="J329" i="1" s="1"/>
  <c r="F327" i="1"/>
  <c r="J327" i="1" s="1"/>
  <c r="F326" i="1"/>
  <c r="J326" i="1" s="1"/>
  <c r="F325" i="1"/>
  <c r="J325" i="1" s="1"/>
  <c r="F323" i="1"/>
  <c r="J323" i="1" s="1"/>
  <c r="F322" i="1"/>
  <c r="J322" i="1" s="1"/>
  <c r="F320" i="1"/>
  <c r="J320" i="1" s="1"/>
  <c r="F319" i="1"/>
  <c r="J319" i="1" s="1"/>
  <c r="F318" i="1"/>
  <c r="J318" i="1" s="1"/>
  <c r="F317" i="1"/>
  <c r="J317" i="1" s="1"/>
  <c r="F316" i="1"/>
  <c r="J316" i="1" s="1"/>
  <c r="F315" i="1"/>
  <c r="J315" i="1" s="1"/>
  <c r="F314" i="1"/>
  <c r="J314" i="1" s="1"/>
  <c r="F313" i="1"/>
  <c r="J313" i="1" s="1"/>
  <c r="F311" i="1"/>
  <c r="J311" i="1" s="1"/>
  <c r="F310" i="1"/>
  <c r="J310" i="1" s="1"/>
  <c r="F309" i="1"/>
  <c r="J309" i="1" s="1"/>
  <c r="F308" i="1"/>
  <c r="J308" i="1" s="1"/>
  <c r="F307" i="1"/>
  <c r="J307" i="1" s="1"/>
  <c r="F306" i="1"/>
  <c r="J306" i="1" s="1"/>
  <c r="F305" i="1"/>
  <c r="J305" i="1" s="1"/>
  <c r="F304" i="1"/>
  <c r="J304" i="1" s="1"/>
  <c r="F275" i="1"/>
  <c r="J275" i="1" s="1"/>
  <c r="F274" i="1"/>
  <c r="J274" i="1" s="1"/>
  <c r="F273" i="1"/>
  <c r="J273" i="1" s="1"/>
  <c r="F272" i="1"/>
  <c r="J272" i="1" s="1"/>
  <c r="F271" i="1"/>
  <c r="J271" i="1" s="1"/>
  <c r="F270" i="1"/>
  <c r="J270" i="1" s="1"/>
  <c r="F269" i="1"/>
  <c r="J269" i="1" s="1"/>
  <c r="F268" i="1"/>
  <c r="J268" i="1" s="1"/>
  <c r="F267" i="1"/>
  <c r="J267" i="1" s="1"/>
  <c r="F266" i="1"/>
  <c r="J266" i="1" s="1"/>
  <c r="F265" i="1"/>
  <c r="J265" i="1" s="1"/>
  <c r="F264" i="1"/>
  <c r="J264" i="1" s="1"/>
  <c r="F263" i="1"/>
  <c r="J263" i="1" s="1"/>
  <c r="F262" i="1"/>
  <c r="J262" i="1" s="1"/>
  <c r="F261" i="1"/>
  <c r="J261" i="1" s="1"/>
  <c r="F260" i="1"/>
  <c r="J260" i="1" s="1"/>
  <c r="F259" i="1"/>
  <c r="J259" i="1" s="1"/>
  <c r="F258" i="1"/>
  <c r="J258" i="1" s="1"/>
  <c r="F257" i="1"/>
  <c r="J257" i="1" s="1"/>
  <c r="F256" i="1"/>
  <c r="J256" i="1" s="1"/>
  <c r="F255" i="1"/>
  <c r="J255" i="1" s="1"/>
  <c r="F254" i="1"/>
  <c r="J254" i="1" s="1"/>
  <c r="F253" i="1"/>
  <c r="J253" i="1" s="1"/>
  <c r="F252" i="1"/>
  <c r="J252" i="1" s="1"/>
  <c r="F249" i="1"/>
  <c r="J249" i="1" s="1"/>
  <c r="F248" i="1"/>
  <c r="J248" i="1" s="1"/>
  <c r="F247" i="1"/>
  <c r="J247" i="1" s="1"/>
  <c r="F246" i="1"/>
  <c r="J246" i="1" s="1"/>
  <c r="F245" i="1"/>
  <c r="J245" i="1" s="1"/>
  <c r="F244" i="1"/>
  <c r="J244" i="1" s="1"/>
  <c r="F243" i="1"/>
  <c r="J243" i="1" s="1"/>
  <c r="F242" i="1"/>
  <c r="J242" i="1" s="1"/>
  <c r="F241" i="1"/>
  <c r="J241" i="1" s="1"/>
  <c r="F240" i="1"/>
  <c r="J240" i="1" s="1"/>
  <c r="F239" i="1"/>
  <c r="J239" i="1" s="1"/>
  <c r="F238" i="1"/>
  <c r="J238" i="1" s="1"/>
  <c r="F237" i="1"/>
  <c r="J237" i="1" s="1"/>
  <c r="F236" i="1"/>
  <c r="J236" i="1" s="1"/>
  <c r="F235" i="1"/>
  <c r="J235" i="1" s="1"/>
  <c r="F234" i="1"/>
  <c r="J234" i="1" s="1"/>
  <c r="F233" i="1"/>
  <c r="J233" i="1" s="1"/>
  <c r="F232" i="1"/>
  <c r="J232" i="1" s="1"/>
  <c r="F230" i="1"/>
  <c r="J230" i="1" s="1"/>
  <c r="F229" i="1"/>
  <c r="J229" i="1" s="1"/>
  <c r="F228" i="1"/>
  <c r="J228" i="1" s="1"/>
  <c r="F227" i="1"/>
  <c r="J227" i="1" s="1"/>
  <c r="F226" i="1"/>
  <c r="J226" i="1" s="1"/>
  <c r="F225" i="1"/>
  <c r="J225" i="1" s="1"/>
  <c r="F224" i="1"/>
  <c r="J224" i="1" s="1"/>
  <c r="F223" i="1"/>
  <c r="J223" i="1" s="1"/>
  <c r="F222" i="1"/>
  <c r="J222" i="1" s="1"/>
  <c r="F221" i="1"/>
  <c r="J221" i="1" s="1"/>
  <c r="F220" i="1"/>
  <c r="J220" i="1" s="1"/>
  <c r="F219" i="1"/>
  <c r="J219" i="1" s="1"/>
  <c r="F218" i="1"/>
  <c r="J218" i="1" s="1"/>
  <c r="F217" i="1"/>
  <c r="J217" i="1" s="1"/>
  <c r="F216" i="1"/>
  <c r="J216" i="1" s="1"/>
  <c r="F215" i="1"/>
  <c r="J215" i="1" s="1"/>
  <c r="F214" i="1"/>
  <c r="J214" i="1" s="1"/>
  <c r="F213" i="1"/>
  <c r="J213" i="1" s="1"/>
  <c r="F212" i="1"/>
  <c r="J212" i="1" s="1"/>
  <c r="F211" i="1"/>
  <c r="J211" i="1" s="1"/>
  <c r="F210" i="1"/>
  <c r="J210" i="1" s="1"/>
  <c r="F209" i="1"/>
  <c r="J209" i="1" s="1"/>
  <c r="F208" i="1"/>
  <c r="J208" i="1" s="1"/>
  <c r="F207" i="1"/>
  <c r="J207" i="1" s="1"/>
  <c r="F206" i="1"/>
  <c r="J206" i="1" s="1"/>
  <c r="F205" i="1"/>
  <c r="J205" i="1" s="1"/>
  <c r="F204" i="1"/>
  <c r="J204" i="1" s="1"/>
  <c r="F203" i="1"/>
  <c r="J203" i="1" s="1"/>
  <c r="F202" i="1"/>
  <c r="J202" i="1" s="1"/>
  <c r="F198" i="1"/>
  <c r="J198" i="1" s="1"/>
  <c r="F197" i="1"/>
  <c r="J197" i="1" s="1"/>
  <c r="F194" i="1"/>
  <c r="J194" i="1" s="1"/>
  <c r="F193" i="1"/>
  <c r="J193" i="1" s="1"/>
  <c r="F191" i="1"/>
  <c r="J191" i="1" s="1"/>
  <c r="F190" i="1"/>
  <c r="J190" i="1" s="1"/>
  <c r="F189" i="1"/>
  <c r="J189" i="1" s="1"/>
  <c r="F188" i="1"/>
  <c r="J188" i="1" s="1"/>
  <c r="F187" i="1"/>
  <c r="J187" i="1" s="1"/>
  <c r="F186" i="1"/>
  <c r="J186" i="1" s="1"/>
  <c r="F185" i="1"/>
  <c r="J185" i="1" s="1"/>
  <c r="F182" i="1"/>
  <c r="J182" i="1" s="1"/>
  <c r="F181" i="1"/>
  <c r="J181" i="1" s="1"/>
  <c r="F180" i="1"/>
  <c r="J180" i="1" s="1"/>
  <c r="F178" i="1"/>
  <c r="J178" i="1" s="1"/>
  <c r="F177" i="1"/>
  <c r="J177" i="1" s="1"/>
  <c r="F176" i="1"/>
  <c r="J176" i="1" s="1"/>
  <c r="F175" i="1"/>
  <c r="J175" i="1" s="1"/>
  <c r="F173" i="1"/>
  <c r="J173" i="1" s="1"/>
  <c r="F172" i="1"/>
  <c r="J172" i="1" s="1"/>
  <c r="F170" i="1"/>
  <c r="J170" i="1" s="1"/>
  <c r="F169" i="1"/>
  <c r="J169" i="1" s="1"/>
  <c r="F168" i="1"/>
  <c r="J168" i="1" s="1"/>
  <c r="F167" i="1"/>
  <c r="J167" i="1" s="1"/>
  <c r="F165" i="1"/>
  <c r="J165" i="1" s="1"/>
  <c r="F164" i="1"/>
  <c r="J164" i="1" s="1"/>
  <c r="F163" i="1"/>
  <c r="J163" i="1" s="1"/>
  <c r="F162" i="1"/>
  <c r="J162" i="1" s="1"/>
  <c r="F160" i="1"/>
  <c r="J160" i="1" s="1"/>
  <c r="F159" i="1"/>
  <c r="J159" i="1" s="1"/>
  <c r="F158" i="1"/>
  <c r="J158" i="1" s="1"/>
  <c r="F157" i="1"/>
  <c r="J157" i="1" s="1"/>
  <c r="F155" i="1"/>
  <c r="J155" i="1" s="1"/>
  <c r="F154" i="1"/>
  <c r="J154" i="1" s="1"/>
  <c r="F153" i="1"/>
  <c r="J153" i="1" s="1"/>
  <c r="F152" i="1"/>
  <c r="J152" i="1" s="1"/>
  <c r="F151" i="1"/>
  <c r="J151" i="1" s="1"/>
  <c r="F150" i="1"/>
  <c r="J150" i="1" s="1"/>
  <c r="F149" i="1"/>
  <c r="J149" i="1" s="1"/>
  <c r="F148" i="1"/>
  <c r="J148" i="1" s="1"/>
  <c r="F146" i="1"/>
  <c r="J146" i="1" s="1"/>
  <c r="F145" i="1"/>
  <c r="J145" i="1" s="1"/>
  <c r="F144" i="1"/>
  <c r="J144" i="1" s="1"/>
  <c r="F143" i="1"/>
  <c r="J143" i="1" s="1"/>
  <c r="F141" i="1"/>
  <c r="J141" i="1" s="1"/>
  <c r="F140" i="1"/>
  <c r="J140" i="1" s="1"/>
  <c r="F139" i="1"/>
  <c r="J139" i="1" s="1"/>
  <c r="F136" i="1"/>
  <c r="J136" i="1" s="1"/>
  <c r="F135" i="1"/>
  <c r="J135" i="1" s="1"/>
  <c r="F134" i="1"/>
  <c r="J134" i="1" s="1"/>
  <c r="F133" i="1"/>
  <c r="J133" i="1" s="1"/>
  <c r="F131" i="1"/>
  <c r="J131" i="1" s="1"/>
  <c r="F130" i="1"/>
  <c r="J130" i="1" s="1"/>
  <c r="F129" i="1"/>
  <c r="J129" i="1" s="1"/>
  <c r="F128" i="1"/>
  <c r="J128" i="1" s="1"/>
  <c r="F126" i="1"/>
  <c r="J126" i="1" s="1"/>
  <c r="F125" i="1"/>
  <c r="J125" i="1" s="1"/>
  <c r="F123" i="1"/>
  <c r="J123" i="1" s="1"/>
  <c r="F122" i="1"/>
  <c r="J122" i="1" s="1"/>
  <c r="F121" i="1"/>
  <c r="J121" i="1" s="1"/>
  <c r="F120" i="1"/>
  <c r="J120" i="1" s="1"/>
  <c r="F119" i="1"/>
  <c r="J119" i="1" s="1"/>
  <c r="F118" i="1"/>
  <c r="J118" i="1" s="1"/>
  <c r="F116" i="1"/>
  <c r="J116" i="1" s="1"/>
  <c r="F114" i="1"/>
  <c r="J114" i="1" s="1"/>
  <c r="F113" i="1"/>
  <c r="J113" i="1" s="1"/>
  <c r="F112" i="1"/>
  <c r="J112" i="1" s="1"/>
  <c r="F111" i="1"/>
  <c r="J111" i="1" s="1"/>
  <c r="F110" i="1"/>
  <c r="J110" i="1" s="1"/>
  <c r="F109" i="1"/>
  <c r="J109" i="1" s="1"/>
  <c r="F108" i="1"/>
  <c r="J108" i="1" s="1"/>
  <c r="F107" i="1"/>
  <c r="J107" i="1" s="1"/>
  <c r="F106" i="1"/>
  <c r="J106" i="1" s="1"/>
  <c r="F105" i="1"/>
  <c r="J105" i="1" s="1"/>
  <c r="F104" i="1"/>
  <c r="J104" i="1" s="1"/>
  <c r="F103" i="1"/>
  <c r="J103" i="1" s="1"/>
  <c r="F102" i="1"/>
  <c r="J102" i="1" s="1"/>
  <c r="F101" i="1"/>
  <c r="J101" i="1" s="1"/>
  <c r="F100" i="1"/>
  <c r="J100" i="1" s="1"/>
  <c r="F99" i="1"/>
  <c r="J99" i="1" s="1"/>
  <c r="F98" i="1"/>
  <c r="J98" i="1" s="1"/>
  <c r="F97" i="1"/>
  <c r="J97" i="1" s="1"/>
  <c r="F96" i="1"/>
  <c r="J96" i="1" s="1"/>
  <c r="F95" i="1"/>
  <c r="J95" i="1" s="1"/>
  <c r="F94" i="1"/>
  <c r="J94" i="1" s="1"/>
  <c r="F91" i="1"/>
  <c r="J91" i="1" s="1"/>
  <c r="F90" i="1"/>
  <c r="J90" i="1" s="1"/>
  <c r="F89" i="1"/>
  <c r="J89" i="1" s="1"/>
  <c r="F88" i="1"/>
  <c r="J88" i="1" s="1"/>
  <c r="F86" i="1"/>
  <c r="J86" i="1" s="1"/>
  <c r="F85" i="1"/>
  <c r="J85" i="1" s="1"/>
  <c r="F84" i="1"/>
  <c r="J84" i="1" s="1"/>
  <c r="F83" i="1"/>
  <c r="J83" i="1" s="1"/>
  <c r="F82" i="1"/>
  <c r="J82" i="1" s="1"/>
  <c r="F81" i="1"/>
  <c r="J81" i="1" s="1"/>
  <c r="F13" i="1"/>
  <c r="J13" i="1" s="1"/>
  <c r="F12" i="1"/>
  <c r="J12" i="1" s="1"/>
  <c r="F11" i="1"/>
  <c r="J11" i="1" s="1"/>
  <c r="F10" i="1"/>
  <c r="J10" i="1" s="1"/>
  <c r="F9" i="1"/>
  <c r="J9" i="1" s="1"/>
  <c r="J8" i="1"/>
  <c r="B90" i="1"/>
  <c r="O8" i="1" l="1"/>
  <c r="N8" i="1"/>
  <c r="O9" i="1"/>
  <c r="N9" i="1"/>
  <c r="N552" i="1" s="1"/>
  <c r="P8" i="3" s="1"/>
  <c r="P8" i="5" s="1"/>
  <c r="M9" i="1"/>
  <c r="L9" i="1"/>
  <c r="K9" i="1"/>
  <c r="O10" i="1"/>
  <c r="O552" i="1" s="1"/>
  <c r="P9" i="3" s="1"/>
  <c r="P9" i="5" s="1"/>
  <c r="N10" i="1"/>
  <c r="M10" i="1"/>
  <c r="L10" i="1"/>
  <c r="K10" i="1"/>
  <c r="O11" i="1"/>
  <c r="N11" i="1"/>
  <c r="M11" i="1"/>
  <c r="L11" i="1"/>
  <c r="K11" i="1"/>
  <c r="O12" i="1"/>
  <c r="N12" i="1"/>
  <c r="M12" i="1"/>
  <c r="M552" i="1" s="1"/>
  <c r="P7" i="3" s="1"/>
  <c r="P7" i="5" s="1"/>
  <c r="L12" i="1"/>
  <c r="K12" i="1"/>
  <c r="O13" i="1"/>
  <c r="N13" i="1"/>
  <c r="M13" i="1"/>
  <c r="L13" i="1"/>
  <c r="K13" i="1"/>
  <c r="O81" i="1"/>
  <c r="N81" i="1"/>
  <c r="M81" i="1"/>
  <c r="L81" i="1"/>
  <c r="K81" i="1"/>
  <c r="O82" i="1"/>
  <c r="N82" i="1"/>
  <c r="M82" i="1"/>
  <c r="L82" i="1"/>
  <c r="K82" i="1"/>
  <c r="O83" i="1"/>
  <c r="N83" i="1"/>
  <c r="M83" i="1"/>
  <c r="L83" i="1"/>
  <c r="K83" i="1"/>
  <c r="O84" i="1"/>
  <c r="N84" i="1"/>
  <c r="M84" i="1"/>
  <c r="L84" i="1"/>
  <c r="K84" i="1"/>
  <c r="O85" i="1"/>
  <c r="N85" i="1"/>
  <c r="M85" i="1"/>
  <c r="L85" i="1"/>
  <c r="K85" i="1"/>
  <c r="O86" i="1"/>
  <c r="N86" i="1"/>
  <c r="M86" i="1"/>
  <c r="L86" i="1"/>
  <c r="K86" i="1"/>
  <c r="O88" i="1"/>
  <c r="N88" i="1"/>
  <c r="M88" i="1"/>
  <c r="L88" i="1"/>
  <c r="K88" i="1"/>
  <c r="O89" i="1"/>
  <c r="N89" i="1"/>
  <c r="M89" i="1"/>
  <c r="L89" i="1"/>
  <c r="K89" i="1"/>
  <c r="O90" i="1"/>
  <c r="N90" i="1"/>
  <c r="M90" i="1"/>
  <c r="L90" i="1"/>
  <c r="K90" i="1"/>
  <c r="O91" i="1"/>
  <c r="N91" i="1"/>
  <c r="M91" i="1"/>
  <c r="L91" i="1"/>
  <c r="K91" i="1"/>
  <c r="O94" i="1"/>
  <c r="N94" i="1"/>
  <c r="M94" i="1"/>
  <c r="L94" i="1"/>
  <c r="K94" i="1"/>
  <c r="O95" i="1"/>
  <c r="N95" i="1"/>
  <c r="M95" i="1"/>
  <c r="L95" i="1"/>
  <c r="K95" i="1"/>
  <c r="O96" i="1"/>
  <c r="N96" i="1"/>
  <c r="M96" i="1"/>
  <c r="L96" i="1"/>
  <c r="K96" i="1"/>
  <c r="O97" i="1"/>
  <c r="N97" i="1"/>
  <c r="M97" i="1"/>
  <c r="L97" i="1"/>
  <c r="K97" i="1"/>
  <c r="O98" i="1"/>
  <c r="N98" i="1"/>
  <c r="M98" i="1"/>
  <c r="L98" i="1"/>
  <c r="K98" i="1"/>
  <c r="O99" i="1"/>
  <c r="N99" i="1"/>
  <c r="M99" i="1"/>
  <c r="L99" i="1"/>
  <c r="K99" i="1"/>
  <c r="O100" i="1"/>
  <c r="N100" i="1"/>
  <c r="M100" i="1"/>
  <c r="L100" i="1"/>
  <c r="K100" i="1"/>
  <c r="O101" i="1"/>
  <c r="N101" i="1"/>
  <c r="M101" i="1"/>
  <c r="L101" i="1"/>
  <c r="K101" i="1"/>
  <c r="O102" i="1"/>
  <c r="N102" i="1"/>
  <c r="M102" i="1"/>
  <c r="L102" i="1"/>
  <c r="K102" i="1"/>
  <c r="O103" i="1"/>
  <c r="N103" i="1"/>
  <c r="M103" i="1"/>
  <c r="L103" i="1"/>
  <c r="K103" i="1"/>
  <c r="O104" i="1"/>
  <c r="N104" i="1"/>
  <c r="M104" i="1"/>
  <c r="L104" i="1"/>
  <c r="K104" i="1"/>
  <c r="O105" i="1"/>
  <c r="N105" i="1"/>
  <c r="M105" i="1"/>
  <c r="L105" i="1"/>
  <c r="K105" i="1"/>
  <c r="O106" i="1"/>
  <c r="N106" i="1"/>
  <c r="M106" i="1"/>
  <c r="L106" i="1"/>
  <c r="K106" i="1"/>
  <c r="O107" i="1"/>
  <c r="N107" i="1"/>
  <c r="M107" i="1"/>
  <c r="L107" i="1"/>
  <c r="K107" i="1"/>
  <c r="O108" i="1"/>
  <c r="N108" i="1"/>
  <c r="M108" i="1"/>
  <c r="L108" i="1"/>
  <c r="K108" i="1"/>
  <c r="O109" i="1"/>
  <c r="N109" i="1"/>
  <c r="M109" i="1"/>
  <c r="L109" i="1"/>
  <c r="K109" i="1"/>
  <c r="O110" i="1"/>
  <c r="N110" i="1"/>
  <c r="M110" i="1"/>
  <c r="L110" i="1"/>
  <c r="K110" i="1"/>
  <c r="O111" i="1"/>
  <c r="N111" i="1"/>
  <c r="M111" i="1"/>
  <c r="L111" i="1"/>
  <c r="K111" i="1"/>
  <c r="O112" i="1"/>
  <c r="N112" i="1"/>
  <c r="M112" i="1"/>
  <c r="L112" i="1"/>
  <c r="K112" i="1"/>
  <c r="O113" i="1"/>
  <c r="N113" i="1"/>
  <c r="M113" i="1"/>
  <c r="L113" i="1"/>
  <c r="K113" i="1"/>
  <c r="O114" i="1"/>
  <c r="N114" i="1"/>
  <c r="M114" i="1"/>
  <c r="L114" i="1"/>
  <c r="K114" i="1"/>
  <c r="O116" i="1"/>
  <c r="N116" i="1"/>
  <c r="M116" i="1"/>
  <c r="L116" i="1"/>
  <c r="K116" i="1"/>
  <c r="O118" i="1"/>
  <c r="N118" i="1"/>
  <c r="M118" i="1"/>
  <c r="L118" i="1"/>
  <c r="K118" i="1"/>
  <c r="O119" i="1"/>
  <c r="N119" i="1"/>
  <c r="M119" i="1"/>
  <c r="L119" i="1"/>
  <c r="K119" i="1"/>
  <c r="O120" i="1"/>
  <c r="N120" i="1"/>
  <c r="M120" i="1"/>
  <c r="L120" i="1"/>
  <c r="K120" i="1"/>
  <c r="O121" i="1"/>
  <c r="N121" i="1"/>
  <c r="M121" i="1"/>
  <c r="L121" i="1"/>
  <c r="K121" i="1"/>
  <c r="O122" i="1"/>
  <c r="N122" i="1"/>
  <c r="M122" i="1"/>
  <c r="L122" i="1"/>
  <c r="K122" i="1"/>
  <c r="O123" i="1"/>
  <c r="N123" i="1"/>
  <c r="M123" i="1"/>
  <c r="L123" i="1"/>
  <c r="K123" i="1"/>
  <c r="O125" i="1"/>
  <c r="N125" i="1"/>
  <c r="M125" i="1"/>
  <c r="L125" i="1"/>
  <c r="K125" i="1"/>
  <c r="O126" i="1"/>
  <c r="N126" i="1"/>
  <c r="M126" i="1"/>
  <c r="L126" i="1"/>
  <c r="K126" i="1"/>
  <c r="O128" i="1"/>
  <c r="N128" i="1"/>
  <c r="M128" i="1"/>
  <c r="L128" i="1"/>
  <c r="K128" i="1"/>
  <c r="O129" i="1"/>
  <c r="N129" i="1"/>
  <c r="M129" i="1"/>
  <c r="L129" i="1"/>
  <c r="K129" i="1"/>
  <c r="O130" i="1"/>
  <c r="N130" i="1"/>
  <c r="M130" i="1"/>
  <c r="L130" i="1"/>
  <c r="K130" i="1"/>
  <c r="O131" i="1"/>
  <c r="N131" i="1"/>
  <c r="M131" i="1"/>
  <c r="L131" i="1"/>
  <c r="K131" i="1"/>
  <c r="O133" i="1"/>
  <c r="N133" i="1"/>
  <c r="M133" i="1"/>
  <c r="L133" i="1"/>
  <c r="K133" i="1"/>
  <c r="O134" i="1"/>
  <c r="N134" i="1"/>
  <c r="M134" i="1"/>
  <c r="L134" i="1"/>
  <c r="K134" i="1"/>
  <c r="O135" i="1"/>
  <c r="N135" i="1"/>
  <c r="M135" i="1"/>
  <c r="L135" i="1"/>
  <c r="K135" i="1"/>
  <c r="O136" i="1"/>
  <c r="N136" i="1"/>
  <c r="M136" i="1"/>
  <c r="L136" i="1"/>
  <c r="K136" i="1"/>
  <c r="O139" i="1"/>
  <c r="N139" i="1"/>
  <c r="M139" i="1"/>
  <c r="L139" i="1"/>
  <c r="K139" i="1"/>
  <c r="O140" i="1"/>
  <c r="N140" i="1"/>
  <c r="M140" i="1"/>
  <c r="L140" i="1"/>
  <c r="K140" i="1"/>
  <c r="O141" i="1"/>
  <c r="N141" i="1"/>
  <c r="M141" i="1"/>
  <c r="L141" i="1"/>
  <c r="K141" i="1"/>
  <c r="O143" i="1"/>
  <c r="N143" i="1"/>
  <c r="M143" i="1"/>
  <c r="L143" i="1"/>
  <c r="K143" i="1"/>
  <c r="O144" i="1"/>
  <c r="N144" i="1"/>
  <c r="M144" i="1"/>
  <c r="L144" i="1"/>
  <c r="K144" i="1"/>
  <c r="O145" i="1"/>
  <c r="N145" i="1"/>
  <c r="M145" i="1"/>
  <c r="L145" i="1"/>
  <c r="K145" i="1"/>
  <c r="O146" i="1"/>
  <c r="N146" i="1"/>
  <c r="M146" i="1"/>
  <c r="L146" i="1"/>
  <c r="K146" i="1"/>
  <c r="O148" i="1"/>
  <c r="N148" i="1"/>
  <c r="M148" i="1"/>
  <c r="L148" i="1"/>
  <c r="K148" i="1"/>
  <c r="O149" i="1"/>
  <c r="N149" i="1"/>
  <c r="M149" i="1"/>
  <c r="L149" i="1"/>
  <c r="K149" i="1"/>
  <c r="O150" i="1"/>
  <c r="N150" i="1"/>
  <c r="M150" i="1"/>
  <c r="L150" i="1"/>
  <c r="K150" i="1"/>
  <c r="O151" i="1"/>
  <c r="N151" i="1"/>
  <c r="M151" i="1"/>
  <c r="L151" i="1"/>
  <c r="K151" i="1"/>
  <c r="O152" i="1"/>
  <c r="N152" i="1"/>
  <c r="M152" i="1"/>
  <c r="L152" i="1"/>
  <c r="K152" i="1"/>
  <c r="O153" i="1"/>
  <c r="N153" i="1"/>
  <c r="M153" i="1"/>
  <c r="L153" i="1"/>
  <c r="K153" i="1"/>
  <c r="O154" i="1"/>
  <c r="N154" i="1"/>
  <c r="M154" i="1"/>
  <c r="L154" i="1"/>
  <c r="K154" i="1"/>
  <c r="O155" i="1"/>
  <c r="N155" i="1"/>
  <c r="M155" i="1"/>
  <c r="L155" i="1"/>
  <c r="K155" i="1"/>
  <c r="O157" i="1"/>
  <c r="N157" i="1"/>
  <c r="M157" i="1"/>
  <c r="L157" i="1"/>
  <c r="K157" i="1"/>
  <c r="O158" i="1"/>
  <c r="N158" i="1"/>
  <c r="M158" i="1"/>
  <c r="L158" i="1"/>
  <c r="K158" i="1"/>
  <c r="O159" i="1"/>
  <c r="N159" i="1"/>
  <c r="M159" i="1"/>
  <c r="L159" i="1"/>
  <c r="K159" i="1"/>
  <c r="O160" i="1"/>
  <c r="N160" i="1"/>
  <c r="M160" i="1"/>
  <c r="L160" i="1"/>
  <c r="K160" i="1"/>
  <c r="O162" i="1"/>
  <c r="N162" i="1"/>
  <c r="M162" i="1"/>
  <c r="L162" i="1"/>
  <c r="K162" i="1"/>
  <c r="O163" i="1"/>
  <c r="N163" i="1"/>
  <c r="M163" i="1"/>
  <c r="L163" i="1"/>
  <c r="K163" i="1"/>
  <c r="O164" i="1"/>
  <c r="N164" i="1"/>
  <c r="M164" i="1"/>
  <c r="L164" i="1"/>
  <c r="K164" i="1"/>
  <c r="O165" i="1"/>
  <c r="N165" i="1"/>
  <c r="M165" i="1"/>
  <c r="L165" i="1"/>
  <c r="K165" i="1"/>
  <c r="O167" i="1"/>
  <c r="N167" i="1"/>
  <c r="M167" i="1"/>
  <c r="L167" i="1"/>
  <c r="K167" i="1"/>
  <c r="O168" i="1"/>
  <c r="N168" i="1"/>
  <c r="M168" i="1"/>
  <c r="L168" i="1"/>
  <c r="K168" i="1"/>
  <c r="O169" i="1"/>
  <c r="N169" i="1"/>
  <c r="M169" i="1"/>
  <c r="L169" i="1"/>
  <c r="K169" i="1"/>
  <c r="O170" i="1"/>
  <c r="N170" i="1"/>
  <c r="M170" i="1"/>
  <c r="L170" i="1"/>
  <c r="K170" i="1"/>
  <c r="O172" i="1"/>
  <c r="N172" i="1"/>
  <c r="M172" i="1"/>
  <c r="L172" i="1"/>
  <c r="K172" i="1"/>
  <c r="O173" i="1"/>
  <c r="N173" i="1"/>
  <c r="M173" i="1"/>
  <c r="L173" i="1"/>
  <c r="K173" i="1"/>
  <c r="O175" i="1"/>
  <c r="N175" i="1"/>
  <c r="M175" i="1"/>
  <c r="L175" i="1"/>
  <c r="K175" i="1"/>
  <c r="O176" i="1"/>
  <c r="N176" i="1"/>
  <c r="M176" i="1"/>
  <c r="L176" i="1"/>
  <c r="K176" i="1"/>
  <c r="O177" i="1"/>
  <c r="N177" i="1"/>
  <c r="M177" i="1"/>
  <c r="L177" i="1"/>
  <c r="K177" i="1"/>
  <c r="O178" i="1"/>
  <c r="N178" i="1"/>
  <c r="M178" i="1"/>
  <c r="L178" i="1"/>
  <c r="K178" i="1"/>
  <c r="O180" i="1"/>
  <c r="N180" i="1"/>
  <c r="M180" i="1"/>
  <c r="L180" i="1"/>
  <c r="K180" i="1"/>
  <c r="O181" i="1"/>
  <c r="N181" i="1"/>
  <c r="M181" i="1"/>
  <c r="L181" i="1"/>
  <c r="K181" i="1"/>
  <c r="O182" i="1"/>
  <c r="N182" i="1"/>
  <c r="M182" i="1"/>
  <c r="L182" i="1"/>
  <c r="K182" i="1"/>
  <c r="O185" i="1"/>
  <c r="N185" i="1"/>
  <c r="M185" i="1"/>
  <c r="L185" i="1"/>
  <c r="K185" i="1"/>
  <c r="O186" i="1"/>
  <c r="N186" i="1"/>
  <c r="M186" i="1"/>
  <c r="L186" i="1"/>
  <c r="K186" i="1"/>
  <c r="O187" i="1"/>
  <c r="N187" i="1"/>
  <c r="M187" i="1"/>
  <c r="L187" i="1"/>
  <c r="K187" i="1"/>
  <c r="O188" i="1"/>
  <c r="N188" i="1"/>
  <c r="M188" i="1"/>
  <c r="L188" i="1"/>
  <c r="K188" i="1"/>
  <c r="O189" i="1"/>
  <c r="N189" i="1"/>
  <c r="M189" i="1"/>
  <c r="L189" i="1"/>
  <c r="K189" i="1"/>
  <c r="O190" i="1"/>
  <c r="N190" i="1"/>
  <c r="M190" i="1"/>
  <c r="L190" i="1"/>
  <c r="K190" i="1"/>
  <c r="O191" i="1"/>
  <c r="N191" i="1"/>
  <c r="M191" i="1"/>
  <c r="L191" i="1"/>
  <c r="K191" i="1"/>
  <c r="O193" i="1"/>
  <c r="N193" i="1"/>
  <c r="M193" i="1"/>
  <c r="L193" i="1"/>
  <c r="K193" i="1"/>
  <c r="O194" i="1"/>
  <c r="N194" i="1"/>
  <c r="M194" i="1"/>
  <c r="L194" i="1"/>
  <c r="K194" i="1"/>
  <c r="O197" i="1"/>
  <c r="N197" i="1"/>
  <c r="M197" i="1"/>
  <c r="L197" i="1"/>
  <c r="K197" i="1"/>
  <c r="O198" i="1"/>
  <c r="N198" i="1"/>
  <c r="M198" i="1"/>
  <c r="L198" i="1"/>
  <c r="K198" i="1"/>
  <c r="O202" i="1"/>
  <c r="N202" i="1"/>
  <c r="M202" i="1"/>
  <c r="L202" i="1"/>
  <c r="K202" i="1"/>
  <c r="O203" i="1"/>
  <c r="N203" i="1"/>
  <c r="M203" i="1"/>
  <c r="L203" i="1"/>
  <c r="K203" i="1"/>
  <c r="O204" i="1"/>
  <c r="N204" i="1"/>
  <c r="M204" i="1"/>
  <c r="L204" i="1"/>
  <c r="K204" i="1"/>
  <c r="O205" i="1"/>
  <c r="N205" i="1"/>
  <c r="M205" i="1"/>
  <c r="L205" i="1"/>
  <c r="K205" i="1"/>
  <c r="O206" i="1"/>
  <c r="N206" i="1"/>
  <c r="M206" i="1"/>
  <c r="L206" i="1"/>
  <c r="K206" i="1"/>
  <c r="O207" i="1"/>
  <c r="N207" i="1"/>
  <c r="M207" i="1"/>
  <c r="L207" i="1"/>
  <c r="K207" i="1"/>
  <c r="O208" i="1"/>
  <c r="N208" i="1"/>
  <c r="M208" i="1"/>
  <c r="L208" i="1"/>
  <c r="K208" i="1"/>
  <c r="O209" i="1"/>
  <c r="N209" i="1"/>
  <c r="M209" i="1"/>
  <c r="L209" i="1"/>
  <c r="K209" i="1"/>
  <c r="O210" i="1"/>
  <c r="N210" i="1"/>
  <c r="M210" i="1"/>
  <c r="L210" i="1"/>
  <c r="K210" i="1"/>
  <c r="O211" i="1"/>
  <c r="N211" i="1"/>
  <c r="M211" i="1"/>
  <c r="L211" i="1"/>
  <c r="K211" i="1"/>
  <c r="O212" i="1"/>
  <c r="N212" i="1"/>
  <c r="M212" i="1"/>
  <c r="L212" i="1"/>
  <c r="K212" i="1"/>
  <c r="O213" i="1"/>
  <c r="N213" i="1"/>
  <c r="M213" i="1"/>
  <c r="L213" i="1"/>
  <c r="K213" i="1"/>
  <c r="O214" i="1"/>
  <c r="N214" i="1"/>
  <c r="M214" i="1"/>
  <c r="L214" i="1"/>
  <c r="K214" i="1"/>
  <c r="O215" i="1"/>
  <c r="N215" i="1"/>
  <c r="M215" i="1"/>
  <c r="L215" i="1"/>
  <c r="K215" i="1"/>
  <c r="O216" i="1"/>
  <c r="N216" i="1"/>
  <c r="M216" i="1"/>
  <c r="L216" i="1"/>
  <c r="K216" i="1"/>
  <c r="O217" i="1"/>
  <c r="N217" i="1"/>
  <c r="M217" i="1"/>
  <c r="L217" i="1"/>
  <c r="K217" i="1"/>
  <c r="O218" i="1"/>
  <c r="N218" i="1"/>
  <c r="M218" i="1"/>
  <c r="L218" i="1"/>
  <c r="K218" i="1"/>
  <c r="O219" i="1"/>
  <c r="N219" i="1"/>
  <c r="M219" i="1"/>
  <c r="L219" i="1"/>
  <c r="K219" i="1"/>
  <c r="O220" i="1"/>
  <c r="N220" i="1"/>
  <c r="M220" i="1"/>
  <c r="L220" i="1"/>
  <c r="K220" i="1"/>
  <c r="O221" i="1"/>
  <c r="N221" i="1"/>
  <c r="M221" i="1"/>
  <c r="L221" i="1"/>
  <c r="K221" i="1"/>
  <c r="O222" i="1"/>
  <c r="N222" i="1"/>
  <c r="M222" i="1"/>
  <c r="L222" i="1"/>
  <c r="K222" i="1"/>
  <c r="O223" i="1"/>
  <c r="N223" i="1"/>
  <c r="M223" i="1"/>
  <c r="L223" i="1"/>
  <c r="K223" i="1"/>
  <c r="O224" i="1"/>
  <c r="N224" i="1"/>
  <c r="M224" i="1"/>
  <c r="L224" i="1"/>
  <c r="K224" i="1"/>
  <c r="O225" i="1"/>
  <c r="N225" i="1"/>
  <c r="M225" i="1"/>
  <c r="L225" i="1"/>
  <c r="K225" i="1"/>
  <c r="O226" i="1"/>
  <c r="N226" i="1"/>
  <c r="M226" i="1"/>
  <c r="L226" i="1"/>
  <c r="K226" i="1"/>
  <c r="O227" i="1"/>
  <c r="N227" i="1"/>
  <c r="M227" i="1"/>
  <c r="L227" i="1"/>
  <c r="K227" i="1"/>
  <c r="O228" i="1"/>
  <c r="N228" i="1"/>
  <c r="M228" i="1"/>
  <c r="L228" i="1"/>
  <c r="K228" i="1"/>
  <c r="O229" i="1"/>
  <c r="N229" i="1"/>
  <c r="M229" i="1"/>
  <c r="L229" i="1"/>
  <c r="K229" i="1"/>
  <c r="O230" i="1"/>
  <c r="N230" i="1"/>
  <c r="M230" i="1"/>
  <c r="L230" i="1"/>
  <c r="K230" i="1"/>
  <c r="O232" i="1"/>
  <c r="N232" i="1"/>
  <c r="M232" i="1"/>
  <c r="L232" i="1"/>
  <c r="K232" i="1"/>
  <c r="O233" i="1"/>
  <c r="N233" i="1"/>
  <c r="M233" i="1"/>
  <c r="L233" i="1"/>
  <c r="K233" i="1"/>
  <c r="O234" i="1"/>
  <c r="N234" i="1"/>
  <c r="M234" i="1"/>
  <c r="L234" i="1"/>
  <c r="K234" i="1"/>
  <c r="O235" i="1"/>
  <c r="N235" i="1"/>
  <c r="M235" i="1"/>
  <c r="L235" i="1"/>
  <c r="K235" i="1"/>
  <c r="O236" i="1"/>
  <c r="N236" i="1"/>
  <c r="M236" i="1"/>
  <c r="L236" i="1"/>
  <c r="K236" i="1"/>
  <c r="O237" i="1"/>
  <c r="N237" i="1"/>
  <c r="M237" i="1"/>
  <c r="L237" i="1"/>
  <c r="K237" i="1"/>
  <c r="O238" i="1"/>
  <c r="N238" i="1"/>
  <c r="M238" i="1"/>
  <c r="L238" i="1"/>
  <c r="K238" i="1"/>
  <c r="O239" i="1"/>
  <c r="N239" i="1"/>
  <c r="M239" i="1"/>
  <c r="L239" i="1"/>
  <c r="K239" i="1"/>
  <c r="O240" i="1"/>
  <c r="N240" i="1"/>
  <c r="M240" i="1"/>
  <c r="L240" i="1"/>
  <c r="K240" i="1"/>
  <c r="O241" i="1"/>
  <c r="N241" i="1"/>
  <c r="M241" i="1"/>
  <c r="L241" i="1"/>
  <c r="K241" i="1"/>
  <c r="O242" i="1"/>
  <c r="N242" i="1"/>
  <c r="M242" i="1"/>
  <c r="L242" i="1"/>
  <c r="K242" i="1"/>
  <c r="O243" i="1"/>
  <c r="N243" i="1"/>
  <c r="M243" i="1"/>
  <c r="L243" i="1"/>
  <c r="K243" i="1"/>
  <c r="O244" i="1"/>
  <c r="N244" i="1"/>
  <c r="M244" i="1"/>
  <c r="L244" i="1"/>
  <c r="K244" i="1"/>
  <c r="O245" i="1"/>
  <c r="N245" i="1"/>
  <c r="M245" i="1"/>
  <c r="L245" i="1"/>
  <c r="K245" i="1"/>
  <c r="O246" i="1"/>
  <c r="N246" i="1"/>
  <c r="M246" i="1"/>
  <c r="L246" i="1"/>
  <c r="K246" i="1"/>
  <c r="O247" i="1"/>
  <c r="N247" i="1"/>
  <c r="M247" i="1"/>
  <c r="L247" i="1"/>
  <c r="K247" i="1"/>
  <c r="O248" i="1"/>
  <c r="N248" i="1"/>
  <c r="M248" i="1"/>
  <c r="L248" i="1"/>
  <c r="K248" i="1"/>
  <c r="O249" i="1"/>
  <c r="N249" i="1"/>
  <c r="M249" i="1"/>
  <c r="L249" i="1"/>
  <c r="K249" i="1"/>
  <c r="O252" i="1"/>
  <c r="N252" i="1"/>
  <c r="M252" i="1"/>
  <c r="L252" i="1"/>
  <c r="K252" i="1"/>
  <c r="O253" i="1"/>
  <c r="N253" i="1"/>
  <c r="M253" i="1"/>
  <c r="L253" i="1"/>
  <c r="K253" i="1"/>
  <c r="O254" i="1"/>
  <c r="N254" i="1"/>
  <c r="M254" i="1"/>
  <c r="L254" i="1"/>
  <c r="K254" i="1"/>
  <c r="O255" i="1"/>
  <c r="N255" i="1"/>
  <c r="M255" i="1"/>
  <c r="L255" i="1"/>
  <c r="K255" i="1"/>
  <c r="O256" i="1"/>
  <c r="N256" i="1"/>
  <c r="M256" i="1"/>
  <c r="L256" i="1"/>
  <c r="K256" i="1"/>
  <c r="O257" i="1"/>
  <c r="N257" i="1"/>
  <c r="M257" i="1"/>
  <c r="L257" i="1"/>
  <c r="K257" i="1"/>
  <c r="O258" i="1"/>
  <c r="N258" i="1"/>
  <c r="M258" i="1"/>
  <c r="L258" i="1"/>
  <c r="K258" i="1"/>
  <c r="O259" i="1"/>
  <c r="N259" i="1"/>
  <c r="M259" i="1"/>
  <c r="L259" i="1"/>
  <c r="K259" i="1"/>
  <c r="O260" i="1"/>
  <c r="N260" i="1"/>
  <c r="M260" i="1"/>
  <c r="L260" i="1"/>
  <c r="K260" i="1"/>
  <c r="O261" i="1"/>
  <c r="N261" i="1"/>
  <c r="M261" i="1"/>
  <c r="L261" i="1"/>
  <c r="K261" i="1"/>
  <c r="O262" i="1"/>
  <c r="N262" i="1"/>
  <c r="M262" i="1"/>
  <c r="L262" i="1"/>
  <c r="K262" i="1"/>
  <c r="O263" i="1"/>
  <c r="N263" i="1"/>
  <c r="M263" i="1"/>
  <c r="L263" i="1"/>
  <c r="K263" i="1"/>
  <c r="O264" i="1"/>
  <c r="N264" i="1"/>
  <c r="M264" i="1"/>
  <c r="L264" i="1"/>
  <c r="K264" i="1"/>
  <c r="O265" i="1"/>
  <c r="N265" i="1"/>
  <c r="M265" i="1"/>
  <c r="L265" i="1"/>
  <c r="K265" i="1"/>
  <c r="O266" i="1"/>
  <c r="N266" i="1"/>
  <c r="M266" i="1"/>
  <c r="L266" i="1"/>
  <c r="K266" i="1"/>
  <c r="O267" i="1"/>
  <c r="N267" i="1"/>
  <c r="M267" i="1"/>
  <c r="L267" i="1"/>
  <c r="K267" i="1"/>
  <c r="O268" i="1"/>
  <c r="N268" i="1"/>
  <c r="M268" i="1"/>
  <c r="L268" i="1"/>
  <c r="K268" i="1"/>
  <c r="O269" i="1"/>
  <c r="N269" i="1"/>
  <c r="M269" i="1"/>
  <c r="L269" i="1"/>
  <c r="K269" i="1"/>
  <c r="O270" i="1"/>
  <c r="N270" i="1"/>
  <c r="M270" i="1"/>
  <c r="L270" i="1"/>
  <c r="K270" i="1"/>
  <c r="O271" i="1"/>
  <c r="N271" i="1"/>
  <c r="M271" i="1"/>
  <c r="L271" i="1"/>
  <c r="K271" i="1"/>
  <c r="O272" i="1"/>
  <c r="N272" i="1"/>
  <c r="M272" i="1"/>
  <c r="L272" i="1"/>
  <c r="K272" i="1"/>
  <c r="O273" i="1"/>
  <c r="N273" i="1"/>
  <c r="M273" i="1"/>
  <c r="L273" i="1"/>
  <c r="K273" i="1"/>
  <c r="O274" i="1"/>
  <c r="N274" i="1"/>
  <c r="M274" i="1"/>
  <c r="L274" i="1"/>
  <c r="K274" i="1"/>
  <c r="O275" i="1"/>
  <c r="N275" i="1"/>
  <c r="M275" i="1"/>
  <c r="L275" i="1"/>
  <c r="K275" i="1"/>
  <c r="O304" i="1"/>
  <c r="N304" i="1"/>
  <c r="M304" i="1"/>
  <c r="L304" i="1"/>
  <c r="K304" i="1"/>
  <c r="O305" i="1"/>
  <c r="N305" i="1"/>
  <c r="M305" i="1"/>
  <c r="L305" i="1"/>
  <c r="K305" i="1"/>
  <c r="O306" i="1"/>
  <c r="N306" i="1"/>
  <c r="M306" i="1"/>
  <c r="L306" i="1"/>
  <c r="K306" i="1"/>
  <c r="O307" i="1"/>
  <c r="N307" i="1"/>
  <c r="M307" i="1"/>
  <c r="L307" i="1"/>
  <c r="K307" i="1"/>
  <c r="O308" i="1"/>
  <c r="N308" i="1"/>
  <c r="M308" i="1"/>
  <c r="L308" i="1"/>
  <c r="K308" i="1"/>
  <c r="O309" i="1"/>
  <c r="N309" i="1"/>
  <c r="M309" i="1"/>
  <c r="L309" i="1"/>
  <c r="K309" i="1"/>
  <c r="O310" i="1"/>
  <c r="N310" i="1"/>
  <c r="M310" i="1"/>
  <c r="L310" i="1"/>
  <c r="K310" i="1"/>
  <c r="O311" i="1"/>
  <c r="N311" i="1"/>
  <c r="M311" i="1"/>
  <c r="L311" i="1"/>
  <c r="K311" i="1"/>
  <c r="O313" i="1"/>
  <c r="N313" i="1"/>
  <c r="M313" i="1"/>
  <c r="L313" i="1"/>
  <c r="K313" i="1"/>
  <c r="O314" i="1"/>
  <c r="N314" i="1"/>
  <c r="M314" i="1"/>
  <c r="L314" i="1"/>
  <c r="K314" i="1"/>
  <c r="O315" i="1"/>
  <c r="N315" i="1"/>
  <c r="M315" i="1"/>
  <c r="L315" i="1"/>
  <c r="K315" i="1"/>
  <c r="O316" i="1"/>
  <c r="N316" i="1"/>
  <c r="M316" i="1"/>
  <c r="L316" i="1"/>
  <c r="K316" i="1"/>
  <c r="O317" i="1"/>
  <c r="N317" i="1"/>
  <c r="M317" i="1"/>
  <c r="L317" i="1"/>
  <c r="K317" i="1"/>
  <c r="O318" i="1"/>
  <c r="N318" i="1"/>
  <c r="M318" i="1"/>
  <c r="L318" i="1"/>
  <c r="K318" i="1"/>
  <c r="O319" i="1"/>
  <c r="N319" i="1"/>
  <c r="M319" i="1"/>
  <c r="L319" i="1"/>
  <c r="K319" i="1"/>
  <c r="O320" i="1"/>
  <c r="N320" i="1"/>
  <c r="M320" i="1"/>
  <c r="L320" i="1"/>
  <c r="K320" i="1"/>
  <c r="O322" i="1"/>
  <c r="N322" i="1"/>
  <c r="M322" i="1"/>
  <c r="L322" i="1"/>
  <c r="K322" i="1"/>
  <c r="O323" i="1"/>
  <c r="N323" i="1"/>
  <c r="M323" i="1"/>
  <c r="L323" i="1"/>
  <c r="K323" i="1"/>
  <c r="O325" i="1"/>
  <c r="N325" i="1"/>
  <c r="M325" i="1"/>
  <c r="L325" i="1"/>
  <c r="K325" i="1"/>
  <c r="O326" i="1"/>
  <c r="N326" i="1"/>
  <c r="M326" i="1"/>
  <c r="L326" i="1"/>
  <c r="K326" i="1"/>
  <c r="O327" i="1"/>
  <c r="N327" i="1"/>
  <c r="M327" i="1"/>
  <c r="L327" i="1"/>
  <c r="K327" i="1"/>
  <c r="O329" i="1"/>
  <c r="N329" i="1"/>
  <c r="M329" i="1"/>
  <c r="L329" i="1"/>
  <c r="K329" i="1"/>
  <c r="O330" i="1"/>
  <c r="N330" i="1"/>
  <c r="M330" i="1"/>
  <c r="L330" i="1"/>
  <c r="K330" i="1"/>
  <c r="O331" i="1"/>
  <c r="N331" i="1"/>
  <c r="M331" i="1"/>
  <c r="L331" i="1"/>
  <c r="K331" i="1"/>
  <c r="O332" i="1"/>
  <c r="N332" i="1"/>
  <c r="M332" i="1"/>
  <c r="L332" i="1"/>
  <c r="K332" i="1"/>
  <c r="O333" i="1"/>
  <c r="N333" i="1"/>
  <c r="M333" i="1"/>
  <c r="L333" i="1"/>
  <c r="K333" i="1"/>
  <c r="O334" i="1"/>
  <c r="N334" i="1"/>
  <c r="M334" i="1"/>
  <c r="L334" i="1"/>
  <c r="K334" i="1"/>
  <c r="O335" i="1"/>
  <c r="N335" i="1"/>
  <c r="M335" i="1"/>
  <c r="L335" i="1"/>
  <c r="K335" i="1"/>
  <c r="O336" i="1"/>
  <c r="N336" i="1"/>
  <c r="M336" i="1"/>
  <c r="L336" i="1"/>
  <c r="K336" i="1"/>
  <c r="O337" i="1"/>
  <c r="N337" i="1"/>
  <c r="M337" i="1"/>
  <c r="L337" i="1"/>
  <c r="K337" i="1"/>
  <c r="O338" i="1"/>
  <c r="N338" i="1"/>
  <c r="M338" i="1"/>
  <c r="L338" i="1"/>
  <c r="K338" i="1"/>
  <c r="O339" i="1"/>
  <c r="N339" i="1"/>
  <c r="M339" i="1"/>
  <c r="L339" i="1"/>
  <c r="K339" i="1"/>
  <c r="O340" i="1"/>
  <c r="N340" i="1"/>
  <c r="M340" i="1"/>
  <c r="L340" i="1"/>
  <c r="K340" i="1"/>
  <c r="O341" i="1"/>
  <c r="N341" i="1"/>
  <c r="M341" i="1"/>
  <c r="L341" i="1"/>
  <c r="K341" i="1"/>
  <c r="O342" i="1"/>
  <c r="N342" i="1"/>
  <c r="M342" i="1"/>
  <c r="L342" i="1"/>
  <c r="K342" i="1"/>
  <c r="O343" i="1"/>
  <c r="N343" i="1"/>
  <c r="M343" i="1"/>
  <c r="L343" i="1"/>
  <c r="K343" i="1"/>
  <c r="O344" i="1"/>
  <c r="N344" i="1"/>
  <c r="M344" i="1"/>
  <c r="L344" i="1"/>
  <c r="K344" i="1"/>
  <c r="O345" i="1"/>
  <c r="N345" i="1"/>
  <c r="M345" i="1"/>
  <c r="L345" i="1"/>
  <c r="K345" i="1"/>
  <c r="O346" i="1"/>
  <c r="N346" i="1"/>
  <c r="M346" i="1"/>
  <c r="L346" i="1"/>
  <c r="K346" i="1"/>
  <c r="O347" i="1"/>
  <c r="N347" i="1"/>
  <c r="M347" i="1"/>
  <c r="L347" i="1"/>
  <c r="K347" i="1"/>
  <c r="O348" i="1"/>
  <c r="N348" i="1"/>
  <c r="M348" i="1"/>
  <c r="L348" i="1"/>
  <c r="K348" i="1"/>
  <c r="O349" i="1"/>
  <c r="N349" i="1"/>
  <c r="M349" i="1"/>
  <c r="L349" i="1"/>
  <c r="K349" i="1"/>
  <c r="O350" i="1"/>
  <c r="N350" i="1"/>
  <c r="M350" i="1"/>
  <c r="L350" i="1"/>
  <c r="K350" i="1"/>
  <c r="O351" i="1"/>
  <c r="N351" i="1"/>
  <c r="M351" i="1"/>
  <c r="L351" i="1"/>
  <c r="K351" i="1"/>
  <c r="O352" i="1"/>
  <c r="N352" i="1"/>
  <c r="M352" i="1"/>
  <c r="L352" i="1"/>
  <c r="K352" i="1"/>
  <c r="O353" i="1"/>
  <c r="N353" i="1"/>
  <c r="M353" i="1"/>
  <c r="L353" i="1"/>
  <c r="K353" i="1"/>
  <c r="O354" i="1"/>
  <c r="N354" i="1"/>
  <c r="M354" i="1"/>
  <c r="L354" i="1"/>
  <c r="K354" i="1"/>
  <c r="O355" i="1"/>
  <c r="N355" i="1"/>
  <c r="M355" i="1"/>
  <c r="L355" i="1"/>
  <c r="K355" i="1"/>
  <c r="O357" i="1"/>
  <c r="N357" i="1"/>
  <c r="M357" i="1"/>
  <c r="L357" i="1"/>
  <c r="K357" i="1"/>
  <c r="O358" i="1"/>
  <c r="N358" i="1"/>
  <c r="M358" i="1"/>
  <c r="L358" i="1"/>
  <c r="K358" i="1"/>
  <c r="O359" i="1"/>
  <c r="N359" i="1"/>
  <c r="M359" i="1"/>
  <c r="L359" i="1"/>
  <c r="K359" i="1"/>
  <c r="O360" i="1"/>
  <c r="N360" i="1"/>
  <c r="M360" i="1"/>
  <c r="L360" i="1"/>
  <c r="K360" i="1"/>
  <c r="O363" i="1"/>
  <c r="N363" i="1"/>
  <c r="M363" i="1"/>
  <c r="L363" i="1"/>
  <c r="K363" i="1"/>
  <c r="O364" i="1"/>
  <c r="N364" i="1"/>
  <c r="M364" i="1"/>
  <c r="L364" i="1"/>
  <c r="K364" i="1"/>
  <c r="O365" i="1"/>
  <c r="N365" i="1"/>
  <c r="M365" i="1"/>
  <c r="L365" i="1"/>
  <c r="K365" i="1"/>
  <c r="O367" i="1"/>
  <c r="N367" i="1"/>
  <c r="M367" i="1"/>
  <c r="L367" i="1"/>
  <c r="K367" i="1"/>
  <c r="O368" i="1"/>
  <c r="N368" i="1"/>
  <c r="M368" i="1"/>
  <c r="L368" i="1"/>
  <c r="K368" i="1"/>
  <c r="O369" i="1"/>
  <c r="N369" i="1"/>
  <c r="M369" i="1"/>
  <c r="L369" i="1"/>
  <c r="K369" i="1"/>
  <c r="O370" i="1"/>
  <c r="N370" i="1"/>
  <c r="M370" i="1"/>
  <c r="L370" i="1"/>
  <c r="K370" i="1"/>
  <c r="O371" i="1"/>
  <c r="N371" i="1"/>
  <c r="M371" i="1"/>
  <c r="L371" i="1"/>
  <c r="K371" i="1"/>
  <c r="O373" i="1"/>
  <c r="N373" i="1"/>
  <c r="M373" i="1"/>
  <c r="L373" i="1"/>
  <c r="K373" i="1"/>
  <c r="O374" i="1"/>
  <c r="N374" i="1"/>
  <c r="M374" i="1"/>
  <c r="L374" i="1"/>
  <c r="K374" i="1"/>
  <c r="O375" i="1"/>
  <c r="N375" i="1"/>
  <c r="M375" i="1"/>
  <c r="L375" i="1"/>
  <c r="K375" i="1"/>
  <c r="O376" i="1"/>
  <c r="N376" i="1"/>
  <c r="M376" i="1"/>
  <c r="L376" i="1"/>
  <c r="K376" i="1"/>
  <c r="O379" i="1"/>
  <c r="N379" i="1"/>
  <c r="M379" i="1"/>
  <c r="L379" i="1"/>
  <c r="K379" i="1"/>
  <c r="O380" i="1"/>
  <c r="N380" i="1"/>
  <c r="M380" i="1"/>
  <c r="L380" i="1"/>
  <c r="K380" i="1"/>
  <c r="O381" i="1"/>
  <c r="N381" i="1"/>
  <c r="M381" i="1"/>
  <c r="L381" i="1"/>
  <c r="K381" i="1"/>
  <c r="O383" i="1"/>
  <c r="N383" i="1"/>
  <c r="M383" i="1"/>
  <c r="L383" i="1"/>
  <c r="K383" i="1"/>
  <c r="O384" i="1"/>
  <c r="N384" i="1"/>
  <c r="M384" i="1"/>
  <c r="L384" i="1"/>
  <c r="K384" i="1"/>
  <c r="O385" i="1"/>
  <c r="N385" i="1"/>
  <c r="M385" i="1"/>
  <c r="L385" i="1"/>
  <c r="K385" i="1"/>
  <c r="O386" i="1"/>
  <c r="N386" i="1"/>
  <c r="M386" i="1"/>
  <c r="L386" i="1"/>
  <c r="K386" i="1"/>
  <c r="O388" i="1"/>
  <c r="N388" i="1"/>
  <c r="M388" i="1"/>
  <c r="L388" i="1"/>
  <c r="K388" i="1"/>
  <c r="O389" i="1"/>
  <c r="N389" i="1"/>
  <c r="M389" i="1"/>
  <c r="L389" i="1"/>
  <c r="K389" i="1"/>
  <c r="O390" i="1"/>
  <c r="N390" i="1"/>
  <c r="M390" i="1"/>
  <c r="L390" i="1"/>
  <c r="K390" i="1"/>
  <c r="O391" i="1"/>
  <c r="N391" i="1"/>
  <c r="M391" i="1"/>
  <c r="L391" i="1"/>
  <c r="K391" i="1"/>
  <c r="O392" i="1"/>
  <c r="N392" i="1"/>
  <c r="M392" i="1"/>
  <c r="L392" i="1"/>
  <c r="K392" i="1"/>
  <c r="O393" i="1"/>
  <c r="N393" i="1"/>
  <c r="M393" i="1"/>
  <c r="L393" i="1"/>
  <c r="K393" i="1"/>
  <c r="O394" i="1"/>
  <c r="N394" i="1"/>
  <c r="M394" i="1"/>
  <c r="L394" i="1"/>
  <c r="K394" i="1"/>
  <c r="O395" i="1"/>
  <c r="N395" i="1"/>
  <c r="M395" i="1"/>
  <c r="L395" i="1"/>
  <c r="K395" i="1"/>
  <c r="O396" i="1"/>
  <c r="N396" i="1"/>
  <c r="M396" i="1"/>
  <c r="L396" i="1"/>
  <c r="K396" i="1"/>
  <c r="O397" i="1"/>
  <c r="N397" i="1"/>
  <c r="M397" i="1"/>
  <c r="L397" i="1"/>
  <c r="K397" i="1"/>
  <c r="O398" i="1"/>
  <c r="N398" i="1"/>
  <c r="M398" i="1"/>
  <c r="L398" i="1"/>
  <c r="K398" i="1"/>
  <c r="O399" i="1"/>
  <c r="N399" i="1"/>
  <c r="M399" i="1"/>
  <c r="L399" i="1"/>
  <c r="K399" i="1"/>
  <c r="O400" i="1"/>
  <c r="N400" i="1"/>
  <c r="M400" i="1"/>
  <c r="L400" i="1"/>
  <c r="K400" i="1"/>
  <c r="O401" i="1"/>
  <c r="N401" i="1"/>
  <c r="M401" i="1"/>
  <c r="L401" i="1"/>
  <c r="K401" i="1"/>
  <c r="O402" i="1"/>
  <c r="N402" i="1"/>
  <c r="M402" i="1"/>
  <c r="L402" i="1"/>
  <c r="K402" i="1"/>
  <c r="O403" i="1"/>
  <c r="N403" i="1"/>
  <c r="M403" i="1"/>
  <c r="L403" i="1"/>
  <c r="K403" i="1"/>
  <c r="O404" i="1"/>
  <c r="N404" i="1"/>
  <c r="M404" i="1"/>
  <c r="L404" i="1"/>
  <c r="K404" i="1"/>
  <c r="O405" i="1"/>
  <c r="N405" i="1"/>
  <c r="M405" i="1"/>
  <c r="L405" i="1"/>
  <c r="K405" i="1"/>
  <c r="O406" i="1"/>
  <c r="N406" i="1"/>
  <c r="M406" i="1"/>
  <c r="L406" i="1"/>
  <c r="K406" i="1"/>
  <c r="O407" i="1"/>
  <c r="N407" i="1"/>
  <c r="M407" i="1"/>
  <c r="L407" i="1"/>
  <c r="K407" i="1"/>
  <c r="O408" i="1"/>
  <c r="N408" i="1"/>
  <c r="M408" i="1"/>
  <c r="L408" i="1"/>
  <c r="K408" i="1"/>
  <c r="O409" i="1"/>
  <c r="N409" i="1"/>
  <c r="M409" i="1"/>
  <c r="L409" i="1"/>
  <c r="K409" i="1"/>
  <c r="O410" i="1"/>
  <c r="N410" i="1"/>
  <c r="M410" i="1"/>
  <c r="L410" i="1"/>
  <c r="K410" i="1"/>
  <c r="O411" i="1"/>
  <c r="N411" i="1"/>
  <c r="M411" i="1"/>
  <c r="L411" i="1"/>
  <c r="K411" i="1"/>
  <c r="O412" i="1"/>
  <c r="N412" i="1"/>
  <c r="M412" i="1"/>
  <c r="L412" i="1"/>
  <c r="K412" i="1"/>
  <c r="O413" i="1"/>
  <c r="N413" i="1"/>
  <c r="M413" i="1"/>
  <c r="L413" i="1"/>
  <c r="K413" i="1"/>
  <c r="O414" i="1"/>
  <c r="N414" i="1"/>
  <c r="M414" i="1"/>
  <c r="L414" i="1"/>
  <c r="K414" i="1"/>
  <c r="O415" i="1"/>
  <c r="N415" i="1"/>
  <c r="M415" i="1"/>
  <c r="L415" i="1"/>
  <c r="K415" i="1"/>
  <c r="O416" i="1"/>
  <c r="N416" i="1"/>
  <c r="M416" i="1"/>
  <c r="L416" i="1"/>
  <c r="K416" i="1"/>
  <c r="O417" i="1"/>
  <c r="N417" i="1"/>
  <c r="M417" i="1"/>
  <c r="L417" i="1"/>
  <c r="K417" i="1"/>
  <c r="O418" i="1"/>
  <c r="N418" i="1"/>
  <c r="M418" i="1"/>
  <c r="L418" i="1"/>
  <c r="K418" i="1"/>
  <c r="O419" i="1"/>
  <c r="N419" i="1"/>
  <c r="M419" i="1"/>
  <c r="L419" i="1"/>
  <c r="K419" i="1"/>
  <c r="O420" i="1"/>
  <c r="N420" i="1"/>
  <c r="M420" i="1"/>
  <c r="L420" i="1"/>
  <c r="K420" i="1"/>
  <c r="O421" i="1"/>
  <c r="N421" i="1"/>
  <c r="M421" i="1"/>
  <c r="L421" i="1"/>
  <c r="K421" i="1"/>
  <c r="O422" i="1"/>
  <c r="N422" i="1"/>
  <c r="M422" i="1"/>
  <c r="L422" i="1"/>
  <c r="K422" i="1"/>
  <c r="O423" i="1"/>
  <c r="N423" i="1"/>
  <c r="M423" i="1"/>
  <c r="L423" i="1"/>
  <c r="K423" i="1"/>
  <c r="O424" i="1"/>
  <c r="N424" i="1"/>
  <c r="M424" i="1"/>
  <c r="L424" i="1"/>
  <c r="K424" i="1"/>
  <c r="O425" i="1"/>
  <c r="N425" i="1"/>
  <c r="M425" i="1"/>
  <c r="L425" i="1"/>
  <c r="K425" i="1"/>
  <c r="O426" i="1"/>
  <c r="N426" i="1"/>
  <c r="M426" i="1"/>
  <c r="L426" i="1"/>
  <c r="K426" i="1"/>
  <c r="O427" i="1"/>
  <c r="N427" i="1"/>
  <c r="M427" i="1"/>
  <c r="L427" i="1"/>
  <c r="K427" i="1"/>
  <c r="O428" i="1"/>
  <c r="N428" i="1"/>
  <c r="M428" i="1"/>
  <c r="L428" i="1"/>
  <c r="K428" i="1"/>
  <c r="O429" i="1"/>
  <c r="N429" i="1"/>
  <c r="M429" i="1"/>
  <c r="L429" i="1"/>
  <c r="K429" i="1"/>
  <c r="O432" i="1"/>
  <c r="N432" i="1"/>
  <c r="M432" i="1"/>
  <c r="L432" i="1"/>
  <c r="K432" i="1"/>
  <c r="O433" i="1"/>
  <c r="N433" i="1"/>
  <c r="M433" i="1"/>
  <c r="L433" i="1"/>
  <c r="K433" i="1"/>
  <c r="O434" i="1"/>
  <c r="N434" i="1"/>
  <c r="M434" i="1"/>
  <c r="L434" i="1"/>
  <c r="K434" i="1"/>
  <c r="O436" i="1"/>
  <c r="N436" i="1"/>
  <c r="M436" i="1"/>
  <c r="L436" i="1"/>
  <c r="K436" i="1"/>
  <c r="O437" i="1"/>
  <c r="N437" i="1"/>
  <c r="M437" i="1"/>
  <c r="L437" i="1"/>
  <c r="K437" i="1"/>
  <c r="O438" i="1"/>
  <c r="N438" i="1"/>
  <c r="M438" i="1"/>
  <c r="L438" i="1"/>
  <c r="K438" i="1"/>
  <c r="O440" i="1"/>
  <c r="N440" i="1"/>
  <c r="M440" i="1"/>
  <c r="L440" i="1"/>
  <c r="K440" i="1"/>
  <c r="O441" i="1"/>
  <c r="N441" i="1"/>
  <c r="M441" i="1"/>
  <c r="L441" i="1"/>
  <c r="K441" i="1"/>
  <c r="O442" i="1"/>
  <c r="N442" i="1"/>
  <c r="M442" i="1"/>
  <c r="L442" i="1"/>
  <c r="K442" i="1"/>
  <c r="O443" i="1"/>
  <c r="N443" i="1"/>
  <c r="M443" i="1"/>
  <c r="L443" i="1"/>
  <c r="K443" i="1"/>
  <c r="O445" i="1"/>
  <c r="N445" i="1"/>
  <c r="M445" i="1"/>
  <c r="L445" i="1"/>
  <c r="K445" i="1"/>
  <c r="O446" i="1"/>
  <c r="N446" i="1"/>
  <c r="M446" i="1"/>
  <c r="L446" i="1"/>
  <c r="K446" i="1"/>
  <c r="O447" i="1"/>
  <c r="N447" i="1"/>
  <c r="M447" i="1"/>
  <c r="L447" i="1"/>
  <c r="K447" i="1"/>
  <c r="O449" i="1"/>
  <c r="N449" i="1"/>
  <c r="M449" i="1"/>
  <c r="L449" i="1"/>
  <c r="K449" i="1"/>
  <c r="O450" i="1"/>
  <c r="N450" i="1"/>
  <c r="M450" i="1"/>
  <c r="L450" i="1"/>
  <c r="K450" i="1"/>
  <c r="O451" i="1"/>
  <c r="N451" i="1"/>
  <c r="M451" i="1"/>
  <c r="L451" i="1"/>
  <c r="K451" i="1"/>
  <c r="O453" i="1"/>
  <c r="N453" i="1"/>
  <c r="M453" i="1"/>
  <c r="L453" i="1"/>
  <c r="K453" i="1"/>
  <c r="O454" i="1"/>
  <c r="N454" i="1"/>
  <c r="M454" i="1"/>
  <c r="L454" i="1"/>
  <c r="K454" i="1"/>
  <c r="O455" i="1"/>
  <c r="N455" i="1"/>
  <c r="M455" i="1"/>
  <c r="L455" i="1"/>
  <c r="K455" i="1"/>
  <c r="O456" i="1"/>
  <c r="N456" i="1"/>
  <c r="M456" i="1"/>
  <c r="L456" i="1"/>
  <c r="K456" i="1"/>
  <c r="O457" i="1"/>
  <c r="N457" i="1"/>
  <c r="M457" i="1"/>
  <c r="L457" i="1"/>
  <c r="K457" i="1"/>
  <c r="O458" i="1"/>
  <c r="N458" i="1"/>
  <c r="M458" i="1"/>
  <c r="L458" i="1"/>
  <c r="K458" i="1"/>
  <c r="O460" i="1"/>
  <c r="N460" i="1"/>
  <c r="M460" i="1"/>
  <c r="L460" i="1"/>
  <c r="K460" i="1"/>
  <c r="O461" i="1"/>
  <c r="N461" i="1"/>
  <c r="M461" i="1"/>
  <c r="L461" i="1"/>
  <c r="K461" i="1"/>
  <c r="O462" i="1"/>
  <c r="N462" i="1"/>
  <c r="M462" i="1"/>
  <c r="L462" i="1"/>
  <c r="K462" i="1"/>
  <c r="O463" i="1"/>
  <c r="N463" i="1"/>
  <c r="M463" i="1"/>
  <c r="L463" i="1"/>
  <c r="K463" i="1"/>
  <c r="O464" i="1"/>
  <c r="N464" i="1"/>
  <c r="M464" i="1"/>
  <c r="L464" i="1"/>
  <c r="K464" i="1"/>
  <c r="O467" i="1"/>
  <c r="N467" i="1"/>
  <c r="M467" i="1"/>
  <c r="L467" i="1"/>
  <c r="K467" i="1"/>
  <c r="O468" i="1"/>
  <c r="N468" i="1"/>
  <c r="M468" i="1"/>
  <c r="L468" i="1"/>
  <c r="K468" i="1"/>
  <c r="O469" i="1"/>
  <c r="N469" i="1"/>
  <c r="M469" i="1"/>
  <c r="L469" i="1"/>
  <c r="K469" i="1"/>
  <c r="O470" i="1"/>
  <c r="N470" i="1"/>
  <c r="M470" i="1"/>
  <c r="L470" i="1"/>
  <c r="K470" i="1"/>
  <c r="O471" i="1"/>
  <c r="N471" i="1"/>
  <c r="M471" i="1"/>
  <c r="L471" i="1"/>
  <c r="K471" i="1"/>
  <c r="O472" i="1"/>
  <c r="N472" i="1"/>
  <c r="M472" i="1"/>
  <c r="L472" i="1"/>
  <c r="K472" i="1"/>
  <c r="O474" i="1"/>
  <c r="N474" i="1"/>
  <c r="M474" i="1"/>
  <c r="L474" i="1"/>
  <c r="K474" i="1"/>
  <c r="O475" i="1"/>
  <c r="N475" i="1"/>
  <c r="M475" i="1"/>
  <c r="L475" i="1"/>
  <c r="K475" i="1"/>
  <c r="O476" i="1"/>
  <c r="N476" i="1"/>
  <c r="M476" i="1"/>
  <c r="L476" i="1"/>
  <c r="K476" i="1"/>
  <c r="O477" i="1"/>
  <c r="N477" i="1"/>
  <c r="M477" i="1"/>
  <c r="L477" i="1"/>
  <c r="K477" i="1"/>
  <c r="O480" i="1"/>
  <c r="N480" i="1"/>
  <c r="M480" i="1"/>
  <c r="L480" i="1"/>
  <c r="K480" i="1"/>
  <c r="O481" i="1"/>
  <c r="N481" i="1"/>
  <c r="M481" i="1"/>
  <c r="L481" i="1"/>
  <c r="K481" i="1"/>
  <c r="O483" i="1"/>
  <c r="N483" i="1"/>
  <c r="M483" i="1"/>
  <c r="L483" i="1"/>
  <c r="K483" i="1"/>
  <c r="O484" i="1"/>
  <c r="N484" i="1"/>
  <c r="M484" i="1"/>
  <c r="L484" i="1"/>
  <c r="K484" i="1"/>
  <c r="O485" i="1"/>
  <c r="N485" i="1"/>
  <c r="M485" i="1"/>
  <c r="L485" i="1"/>
  <c r="K485" i="1"/>
  <c r="O486" i="1"/>
  <c r="N486" i="1"/>
  <c r="M486" i="1"/>
  <c r="L486" i="1"/>
  <c r="K486" i="1"/>
  <c r="O487" i="1"/>
  <c r="N487" i="1"/>
  <c r="M487" i="1"/>
  <c r="L487" i="1"/>
  <c r="K487" i="1"/>
  <c r="O488" i="1"/>
  <c r="N488" i="1"/>
  <c r="M488" i="1"/>
  <c r="L488" i="1"/>
  <c r="K488" i="1"/>
  <c r="O489" i="1"/>
  <c r="N489" i="1"/>
  <c r="M489" i="1"/>
  <c r="L489" i="1"/>
  <c r="K489" i="1"/>
  <c r="O490" i="1"/>
  <c r="N490" i="1"/>
  <c r="M490" i="1"/>
  <c r="L490" i="1"/>
  <c r="K490" i="1"/>
  <c r="O491" i="1"/>
  <c r="N491" i="1"/>
  <c r="M491" i="1"/>
  <c r="L491" i="1"/>
  <c r="K491" i="1"/>
  <c r="O492" i="1"/>
  <c r="N492" i="1"/>
  <c r="M492" i="1"/>
  <c r="L492" i="1"/>
  <c r="K492" i="1"/>
  <c r="O493" i="1"/>
  <c r="N493" i="1"/>
  <c r="M493" i="1"/>
  <c r="L493" i="1"/>
  <c r="K493" i="1"/>
  <c r="O494" i="1"/>
  <c r="N494" i="1"/>
  <c r="M494" i="1"/>
  <c r="L494" i="1"/>
  <c r="K494" i="1"/>
  <c r="O495" i="1"/>
  <c r="N495" i="1"/>
  <c r="M495" i="1"/>
  <c r="L495" i="1"/>
  <c r="K495" i="1"/>
  <c r="O496" i="1"/>
  <c r="N496" i="1"/>
  <c r="M496" i="1"/>
  <c r="L496" i="1"/>
  <c r="K496" i="1"/>
  <c r="O497" i="1"/>
  <c r="N497" i="1"/>
  <c r="M497" i="1"/>
  <c r="L497" i="1"/>
  <c r="K497" i="1"/>
  <c r="O499" i="1"/>
  <c r="N499" i="1"/>
  <c r="M499" i="1"/>
  <c r="L499" i="1"/>
  <c r="K499" i="1"/>
  <c r="O500" i="1"/>
  <c r="N500" i="1"/>
  <c r="M500" i="1"/>
  <c r="L500" i="1"/>
  <c r="K500" i="1"/>
  <c r="O501" i="1"/>
  <c r="N501" i="1"/>
  <c r="M501" i="1"/>
  <c r="L501" i="1"/>
  <c r="K501" i="1"/>
  <c r="O503" i="1"/>
  <c r="N503" i="1"/>
  <c r="M503" i="1"/>
  <c r="L503" i="1"/>
  <c r="K503" i="1"/>
  <c r="O504" i="1"/>
  <c r="N504" i="1"/>
  <c r="M504" i="1"/>
  <c r="L504" i="1"/>
  <c r="K504" i="1"/>
  <c r="O505" i="1"/>
  <c r="N505" i="1"/>
  <c r="M505" i="1"/>
  <c r="L505" i="1"/>
  <c r="K505" i="1"/>
  <c r="O506" i="1"/>
  <c r="N506" i="1"/>
  <c r="M506" i="1"/>
  <c r="L506" i="1"/>
  <c r="K506" i="1"/>
  <c r="O508" i="1"/>
  <c r="N508" i="1"/>
  <c r="M508" i="1"/>
  <c r="L508" i="1"/>
  <c r="K508" i="1"/>
  <c r="O509" i="1"/>
  <c r="N509" i="1"/>
  <c r="M509" i="1"/>
  <c r="L509" i="1"/>
  <c r="K509" i="1"/>
  <c r="O511" i="1"/>
  <c r="N511" i="1"/>
  <c r="M511" i="1"/>
  <c r="L511" i="1"/>
  <c r="K511" i="1"/>
  <c r="O512" i="1"/>
  <c r="N512" i="1"/>
  <c r="M512" i="1"/>
  <c r="L512" i="1"/>
  <c r="K512" i="1"/>
  <c r="O513" i="1"/>
  <c r="N513" i="1"/>
  <c r="M513" i="1"/>
  <c r="L513" i="1"/>
  <c r="K513" i="1"/>
  <c r="O514" i="1"/>
  <c r="N514" i="1"/>
  <c r="M514" i="1"/>
  <c r="L514" i="1"/>
  <c r="K514" i="1"/>
  <c r="O515" i="1"/>
  <c r="N515" i="1"/>
  <c r="M515" i="1"/>
  <c r="L515" i="1"/>
  <c r="K515" i="1"/>
  <c r="O516" i="1"/>
  <c r="N516" i="1"/>
  <c r="M516" i="1"/>
  <c r="L516" i="1"/>
  <c r="K516" i="1"/>
  <c r="O518" i="1"/>
  <c r="N518" i="1"/>
  <c r="M518" i="1"/>
  <c r="L518" i="1"/>
  <c r="K518" i="1"/>
  <c r="O520" i="1"/>
  <c r="N520" i="1"/>
  <c r="M520" i="1"/>
  <c r="L520" i="1"/>
  <c r="K520" i="1"/>
  <c r="O521" i="1"/>
  <c r="N521" i="1"/>
  <c r="M521" i="1"/>
  <c r="L521" i="1"/>
  <c r="K521" i="1"/>
  <c r="O523" i="1"/>
  <c r="N523" i="1"/>
  <c r="M523" i="1"/>
  <c r="L523" i="1"/>
  <c r="K523" i="1"/>
  <c r="O138" i="1"/>
  <c r="N138" i="1"/>
  <c r="M138" i="1"/>
  <c r="L138" i="1"/>
  <c r="K138" i="1"/>
  <c r="O93" i="1"/>
  <c r="N93" i="1"/>
  <c r="M93" i="1"/>
  <c r="L93" i="1"/>
  <c r="K93" i="1"/>
  <c r="O184" i="1"/>
  <c r="N184" i="1"/>
  <c r="M184" i="1"/>
  <c r="L184" i="1"/>
  <c r="K184" i="1"/>
  <c r="O196" i="1"/>
  <c r="N196" i="1"/>
  <c r="M196" i="1"/>
  <c r="L196" i="1"/>
  <c r="K196" i="1"/>
  <c r="O251" i="1"/>
  <c r="N251" i="1"/>
  <c r="M251" i="1"/>
  <c r="L251" i="1"/>
  <c r="K251" i="1"/>
  <c r="O524" i="1"/>
  <c r="N524" i="1"/>
  <c r="M524" i="1"/>
  <c r="L524" i="1"/>
  <c r="K524" i="1"/>
  <c r="O525" i="1"/>
  <c r="N525" i="1"/>
  <c r="M525" i="1"/>
  <c r="L525" i="1"/>
  <c r="K525" i="1"/>
  <c r="O526" i="1"/>
  <c r="N526" i="1"/>
  <c r="M526" i="1"/>
  <c r="L526" i="1"/>
  <c r="K526" i="1"/>
  <c r="O527" i="1"/>
  <c r="N527" i="1"/>
  <c r="M527" i="1"/>
  <c r="L527" i="1"/>
  <c r="K527" i="1"/>
  <c r="M8" i="1"/>
  <c r="L8" i="1"/>
  <c r="K8" i="1"/>
  <c r="L552" i="1"/>
  <c r="P6" i="3" s="1"/>
  <c r="P6" i="5" s="1"/>
  <c r="T2" i="1"/>
  <c r="V2" i="1" s="1"/>
  <c r="T1" i="1"/>
  <c r="V1" i="1" s="1"/>
  <c r="V375" i="1"/>
  <c r="S216" i="1"/>
  <c r="S202" i="1"/>
  <c r="S198" i="1"/>
  <c r="K552" i="1" l="1"/>
  <c r="P5" i="3" s="1"/>
  <c r="N28" i="2"/>
  <c r="P11" i="3" l="1"/>
  <c r="P12" i="3" s="1"/>
  <c r="P5" i="5"/>
  <c r="P11" i="5" s="1"/>
  <c r="N5" i="3"/>
  <c r="N5" i="5"/>
  <c r="N9" i="3"/>
  <c r="N9" i="5" s="1"/>
  <c r="N6" i="3"/>
  <c r="N6" i="5" s="1"/>
  <c r="N8" i="3"/>
  <c r="N8" i="5" s="1"/>
  <c r="N7" i="3"/>
  <c r="N11" i="3" l="1"/>
  <c r="N12" i="3" s="1"/>
  <c r="N7" i="5"/>
  <c r="N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" authorId="0" shapeId="0" xr:uid="{D710B43F-96A1-4221-9116-84491445785E}">
      <text>
        <r>
          <rPr>
            <b/>
            <sz val="9"/>
            <color indexed="81"/>
            <rFont val="Tahoma"/>
            <family val="2"/>
          </rPr>
          <t>Rugi Selisih Kurs 
-14.745.280</t>
        </r>
      </text>
    </comment>
    <comment ref="B11" authorId="0" shapeId="0" xr:uid="{D334031A-4B4F-42B5-B523-40CB7332E2B0}">
      <text>
        <r>
          <rPr>
            <b/>
            <sz val="9"/>
            <color indexed="81"/>
            <rFont val="Tahoma"/>
            <family val="2"/>
          </rPr>
          <t>Rugi selisih kurs
-43784645,58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3" authorId="0" shapeId="0" xr:uid="{7B4E2CF2-9DC9-45C3-BD80-E7E42CFEF76C}">
      <text>
        <r>
          <rPr>
            <b/>
            <sz val="9"/>
            <color indexed="81"/>
            <rFont val="Tahoma"/>
            <family val="2"/>
          </rPr>
          <t xml:space="preserve">Adj-Pak Nanda
</t>
        </r>
      </text>
    </comment>
    <comment ref="B224" authorId="0" shapeId="0" xr:uid="{D3BD6210-8275-4D3E-8361-4AA0B9429A80}">
      <text>
        <r>
          <rPr>
            <b/>
            <sz val="9"/>
            <color indexed="81"/>
            <rFont val="Tahoma"/>
            <family val="2"/>
          </rPr>
          <t xml:space="preserve">Adj Pak Nanda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90" authorId="0" shapeId="0" xr:uid="{91207A0C-8DF8-4A1D-B223-C9AF6B76DCAB}">
      <text>
        <r>
          <rPr>
            <b/>
            <sz val="9"/>
            <color indexed="81"/>
            <rFont val="Tahoma"/>
            <family val="2"/>
          </rPr>
          <t xml:space="preserve">Di tally belum jurnal ppn 10% dari nilai dpp 28,687,390 tgl 13/1/20
</t>
        </r>
      </text>
    </comment>
  </commentList>
</comments>
</file>

<file path=xl/sharedStrings.xml><?xml version="1.0" encoding="utf-8"?>
<sst xmlns="http://schemas.openxmlformats.org/spreadsheetml/2006/main" count="3595" uniqueCount="1012">
  <si>
    <t>Invoice</t>
  </si>
  <si>
    <t>Day</t>
  </si>
  <si>
    <t xml:space="preserve">Nama </t>
  </si>
  <si>
    <t xml:space="preserve">Nominal </t>
  </si>
  <si>
    <t xml:space="preserve">No </t>
  </si>
  <si>
    <t>Tanggal</t>
  </si>
  <si>
    <t>Jatuh Tempo (day)</t>
  </si>
  <si>
    <t>Tanggal Jatuh Tempo</t>
  </si>
  <si>
    <t>Bapak Cipto</t>
  </si>
  <si>
    <t>A1 Printing</t>
  </si>
  <si>
    <t>Gemilang Primajaya Trimandiri, PT</t>
  </si>
  <si>
    <t>Intiragam Oliefindo, PT</t>
  </si>
  <si>
    <t>Konverta Mitra Abadi, PT</t>
  </si>
  <si>
    <t>NURTANSA MANDIRI, TB</t>
  </si>
  <si>
    <t>Primasari Indotama, PT</t>
  </si>
  <si>
    <t>PSI</t>
  </si>
  <si>
    <t>R&amp;B FOOD SUPPLY CO, LTD,</t>
  </si>
  <si>
    <t>Samara Cipta Solution, CV</t>
  </si>
  <si>
    <t>Sinar Panca Surya, PT</t>
  </si>
  <si>
    <t>Sinar Setia Mulia , PT</t>
  </si>
  <si>
    <t>Sinergy Indopack Makmur, PT</t>
  </si>
  <si>
    <t>Sumber Energy, PT</t>
  </si>
  <si>
    <t>UTOMO PRINT SUKSES,PT</t>
  </si>
  <si>
    <t>Bio Tirta, CV</t>
  </si>
  <si>
    <t>Brandon Teknik</t>
  </si>
  <si>
    <t>Central Proteina Prima, PT</t>
  </si>
  <si>
    <t>Citra Boga Sentosa, PT</t>
  </si>
  <si>
    <t>CJ Cheiljedang Feed Lampung, PT</t>
  </si>
  <si>
    <t>Indo Surya Cemerlang, CV</t>
  </si>
  <si>
    <t>Jodabo Sukses, PT</t>
  </si>
  <si>
    <t>Prima Larvae, PT</t>
  </si>
  <si>
    <t>Sinar Hidup Satwa, PT</t>
  </si>
  <si>
    <t>Nusantara, Toko</t>
  </si>
  <si>
    <t>Sumber Matahari</t>
  </si>
  <si>
    <t>Surya Serba Mulia, PT</t>
  </si>
  <si>
    <t>Sumatra Motor Teknindo, PT</t>
  </si>
  <si>
    <t>International Packaging M, (IPM), PT</t>
  </si>
  <si>
    <t>Agus Sujono</t>
  </si>
  <si>
    <t>Ahmad Ruba'i</t>
  </si>
  <si>
    <t>Anesta Agung, PT</t>
  </si>
  <si>
    <t>Ismanto</t>
  </si>
  <si>
    <t>Julius Juyanto</t>
  </si>
  <si>
    <t>Jwartono</t>
  </si>
  <si>
    <t>Mekar Karya Mulya, Cv</t>
  </si>
  <si>
    <t>Percetakan Creative Design</t>
  </si>
  <si>
    <t>Karya Indah, Toko</t>
  </si>
  <si>
    <t>Sarino</t>
  </si>
  <si>
    <t>Brataco Lampung, PT</t>
  </si>
  <si>
    <t>AGS Sejahtera, CV,</t>
  </si>
  <si>
    <t>Percetakan Chioda</t>
  </si>
  <si>
    <t>Nusa Jaya</t>
  </si>
  <si>
    <t>Intigolden Muliajaya, PT</t>
  </si>
  <si>
    <t>Garnet Indah Abadi, Toko</t>
  </si>
  <si>
    <t>Tk, Bhineka</t>
  </si>
  <si>
    <t>Sumatraco Langgeng Abadi</t>
  </si>
  <si>
    <t>Grahamakmur Ciptapratama, PT</t>
  </si>
  <si>
    <t>Hong Wang Plastic, PT</t>
  </si>
  <si>
    <t>Bintang Sanpillar Artha, PT</t>
  </si>
  <si>
    <t>Warsito</t>
  </si>
  <si>
    <t>Beltraco, CV</t>
  </si>
  <si>
    <t>Cairnhill Serviech Inti, PT</t>
  </si>
  <si>
    <t>Prayoga Maju Sejahtera,CV</t>
  </si>
  <si>
    <t>Dipa Puspa Labsains, PT</t>
  </si>
  <si>
    <t>Ekadharma Internasional Tbk, PT</t>
  </si>
  <si>
    <t>Indah Jaya Ban</t>
  </si>
  <si>
    <t>Maju Makmur Motor</t>
  </si>
  <si>
    <t>Seven Mountain Internasional, PT</t>
  </si>
  <si>
    <t>Gold Coin Specialities, PT</t>
  </si>
  <si>
    <t>Nurtansa Mandiri</t>
  </si>
  <si>
    <t>Warna Jaya, Toko</t>
  </si>
  <si>
    <t>Kencana Lintas Mentari, PT</t>
  </si>
  <si>
    <t>Cahaya Makmur, Toko</t>
  </si>
  <si>
    <t>Global Teknindo Maju, PT</t>
  </si>
  <si>
    <t>Setia Budi</t>
  </si>
  <si>
    <t>Sukamto</t>
  </si>
  <si>
    <t>Prima Komputer</t>
  </si>
  <si>
    <t>Jaya Electric</t>
  </si>
  <si>
    <t>Garnet Indah Abadi</t>
  </si>
  <si>
    <t>Buana Aqua Prima, CV</t>
  </si>
  <si>
    <t>Primasindo Jaya, CV</t>
  </si>
  <si>
    <t>Jaya Fermex, PT</t>
  </si>
  <si>
    <t>Sri Rejeki, CV</t>
  </si>
  <si>
    <t>Aneka Gas Industri, PT</t>
  </si>
  <si>
    <t>Halim Sakti Pratama, PT</t>
  </si>
  <si>
    <t>Telagasakti Sakatautama, PT</t>
  </si>
  <si>
    <t>Kencana Baru Tehnik</t>
  </si>
  <si>
    <t>Aman Jaya, PT</t>
  </si>
  <si>
    <t>Perc, Salma</t>
  </si>
  <si>
    <t>WKT, Toko</t>
  </si>
  <si>
    <t>Mandala Sakti, Toko</t>
  </si>
  <si>
    <t>Tri Jaya Sukses</t>
  </si>
  <si>
    <t>Merck Chemicals and Life Sciences, PT</t>
  </si>
  <si>
    <t>Tunas Dwipa Matra, PT</t>
  </si>
  <si>
    <t>Rizki Yudhanto, BP</t>
  </si>
  <si>
    <t>Anugrah Tirta Artha, PT</t>
  </si>
  <si>
    <t>Mitra Abadi Pratama, PT</t>
  </si>
  <si>
    <t>PENJAHIT BUNDA QINQIN</t>
  </si>
  <si>
    <t>Arum Abadi, CV</t>
  </si>
  <si>
    <t>Indojaya Mandiri, CV</t>
  </si>
  <si>
    <t>Anugerah Jaya Tehnik</t>
  </si>
  <si>
    <t>Hutang Usaha IAS</t>
  </si>
  <si>
    <t xml:space="preserve">Jatuh Tempo </t>
  </si>
  <si>
    <t>Easternfish Company</t>
  </si>
  <si>
    <t>069/ISP - EXP</t>
  </si>
  <si>
    <t>072/ISP - EXP</t>
  </si>
  <si>
    <t>Great American Seafoods Imports Co.</t>
  </si>
  <si>
    <t>067/ISP - EXP</t>
  </si>
  <si>
    <t>Honsui Corporation</t>
  </si>
  <si>
    <t>070/ISP-EXP</t>
  </si>
  <si>
    <t>Khyo Co. Ltd.</t>
  </si>
  <si>
    <t>071/ISP-EXP</t>
  </si>
  <si>
    <t>Censea Inc.</t>
  </si>
  <si>
    <t>068/ISP - EXP</t>
  </si>
  <si>
    <t>PT Maju Tambak Sumur Es</t>
  </si>
  <si>
    <t>SJ 7549</t>
  </si>
  <si>
    <t>SJ7584</t>
  </si>
  <si>
    <t>SJ7593</t>
  </si>
  <si>
    <t>SJ7611</t>
  </si>
  <si>
    <t>SJ7639</t>
  </si>
  <si>
    <t>SJ7640</t>
  </si>
  <si>
    <t>SJ7641</t>
  </si>
  <si>
    <t>SJ7647</t>
  </si>
  <si>
    <t>SJ7648</t>
  </si>
  <si>
    <t>SJ7655</t>
  </si>
  <si>
    <t>PT Tambak Udang Baba Rafi</t>
  </si>
  <si>
    <t>Bapak Iwan-Es</t>
  </si>
  <si>
    <t>Yantai City AOWEI Refrigeration Equipments CO,, Ltd</t>
  </si>
  <si>
    <t>Laiyang Yuangkang Import and Export,, Co LTD</t>
  </si>
  <si>
    <t>Nur Indah Gypsum</t>
  </si>
  <si>
    <t>Deska / WMM Es</t>
  </si>
  <si>
    <t>Hilman Es</t>
  </si>
  <si>
    <t>PT, Ciomas Adisatwa Es</t>
  </si>
  <si>
    <t>Sumiran Es</t>
  </si>
  <si>
    <t>Kanian Persada, CV</t>
  </si>
  <si>
    <t>Indofood Sukses Makmur Tbk, PT</t>
  </si>
  <si>
    <t>Mayekawa Indonesia,  PT</t>
  </si>
  <si>
    <t>Rafa Solution</t>
  </si>
  <si>
    <t>Supriyanto, Bpk</t>
  </si>
  <si>
    <t>LEO PUMP INDONESIA, PT</t>
  </si>
  <si>
    <t>Abadi Teknik</t>
  </si>
  <si>
    <t>Hawaii, Toko</t>
  </si>
  <si>
    <t>Metro Computer</t>
  </si>
  <si>
    <t>PT Indokom Global Investama-CF</t>
  </si>
  <si>
    <t>PT Indokom Global Persada-CF</t>
  </si>
  <si>
    <t xml:space="preserve">PT Indokom Citra Persada Lampung </t>
  </si>
  <si>
    <t>PT Indo American Seafoods</t>
  </si>
  <si>
    <t>Tambak Sibur</t>
  </si>
  <si>
    <t>Lainnya</t>
  </si>
  <si>
    <t>Sama seperti pelaporan IAS Pada ISP</t>
  </si>
  <si>
    <t xml:space="preserve">Note </t>
  </si>
  <si>
    <t>dibalik -kayak IAS</t>
  </si>
  <si>
    <t>oke sdh di Adj</t>
  </si>
  <si>
    <t>ada pergerakan di 2021</t>
  </si>
  <si>
    <t>sdh di adj</t>
  </si>
  <si>
    <t xml:space="preserve">Piutang Lain-Lain - Diatas 90 hari </t>
  </si>
  <si>
    <t xml:space="preserve">Lainnya Hutang </t>
  </si>
  <si>
    <t>Ada Pergerakan sampai 2022 &amp; habis di 2022</t>
  </si>
  <si>
    <t xml:space="preserve">Pembayaran 1 </t>
  </si>
  <si>
    <t>Tanggal Bayar 1</t>
  </si>
  <si>
    <t>Bank/Kas</t>
  </si>
  <si>
    <t>Bank Mandiri $ - A/c 114,0002150632</t>
  </si>
  <si>
    <t>Note</t>
  </si>
  <si>
    <t>Adjst Atas kelebihan catatan-Ada Pergerakan sampai 2022 &amp; habis di 2022</t>
  </si>
  <si>
    <t>Contoh</t>
  </si>
  <si>
    <t>30 hari</t>
  </si>
  <si>
    <t>lancar</t>
  </si>
  <si>
    <t>0-30 hari</t>
  </si>
  <si>
    <t xml:space="preserve">30-60 hari </t>
  </si>
  <si>
    <t xml:space="preserve">hutang usaha </t>
  </si>
  <si>
    <t>piutang es</t>
  </si>
  <si>
    <t xml:space="preserve">14 hari </t>
  </si>
  <si>
    <t xml:space="preserve">export </t>
  </si>
  <si>
    <t>PT Indokom Samudra Persada</t>
  </si>
  <si>
    <t>Aging</t>
  </si>
  <si>
    <t>Lancar</t>
  </si>
  <si>
    <t xml:space="preserve">31-60 Hari </t>
  </si>
  <si>
    <t xml:space="preserve">61-90 Hari </t>
  </si>
  <si>
    <t xml:space="preserve">&gt; 90 Hari </t>
  </si>
  <si>
    <t xml:space="preserve">1-30 Hari </t>
  </si>
  <si>
    <t>&lt; 20 jt</t>
  </si>
  <si>
    <t>&gt; 20 jt</t>
  </si>
  <si>
    <t xml:space="preserve">     </t>
  </si>
  <si>
    <t>Adj di 2022</t>
  </si>
  <si>
    <t>Adj di 2020</t>
  </si>
  <si>
    <t>Aging Piutang Usaha &amp; Subsequent</t>
  </si>
  <si>
    <t>Aging Hutang Usaha &amp; Subsequent</t>
  </si>
  <si>
    <t xml:space="preserve">sdh di ubah ke UM Pembelian </t>
  </si>
  <si>
    <t xml:space="preserve">sdh di adj di 2020 Saldo 2019-tidak ada pergerakan </t>
  </si>
  <si>
    <t xml:space="preserve">sdh di adj di 2020-Adjst Atas pembayaran sehingga utang masih tergantung-tidak ada pergerakan </t>
  </si>
  <si>
    <t>Adjst Atas kelebihan bayar-Ada Pergerakan sampai 2022 &amp; habis di 2022</t>
  </si>
  <si>
    <t>Adjst Atas pembayaran sehingga utang masih tergantung-Ada Pergerakan sampai 2022 &amp; habis di 2022</t>
  </si>
  <si>
    <t>Adjst atas pembentukan saldo 2019 tak tertagih -Ada Pergerakan sampai 2022 &amp; habis di 2022</t>
  </si>
  <si>
    <t>Adjsy atas kurang bayar tak tertagih-Ada Pergerakan sampai 2022 &amp; habis di 2022</t>
  </si>
  <si>
    <t>Adjst atas pembentukan saldo 2019 tak tertagih-Ada Pergerakan sampai 2022 &amp; habis di 2022</t>
  </si>
  <si>
    <t xml:space="preserve">Aging Piutang Usaha </t>
  </si>
  <si>
    <t xml:space="preserve">Aging Utang Usaha </t>
  </si>
  <si>
    <t>Pembayaran 2</t>
  </si>
  <si>
    <t>Tanggal Bayar 2</t>
  </si>
  <si>
    <t>Pembayaran 3</t>
  </si>
  <si>
    <t>Tanggal Bayar 3</t>
  </si>
  <si>
    <t>Ctrl WBS</t>
  </si>
  <si>
    <t>Mandiri 2854</t>
  </si>
  <si>
    <t>Kas Harian</t>
  </si>
  <si>
    <t>AGING</t>
  </si>
  <si>
    <t>SUBSEQUENT</t>
  </si>
  <si>
    <t>Sdh di adj-tdk bergerak</t>
  </si>
  <si>
    <t>KMKE III</t>
  </si>
  <si>
    <t>Aging Utang Usaha  Konsol</t>
  </si>
  <si>
    <t>Aging Piutang Usaha Konsol</t>
  </si>
  <si>
    <t>Jatuh Tempo</t>
  </si>
  <si>
    <t>Tgl Jatuh Tempo</t>
  </si>
  <si>
    <t xml:space="preserve">Aging </t>
  </si>
  <si>
    <t>1-30 Hari</t>
  </si>
  <si>
    <t>31-60 Hari</t>
  </si>
  <si>
    <t>61-90 Hari</t>
  </si>
  <si>
    <t>&gt;90 Hari</t>
  </si>
  <si>
    <t>Bakti Angurah Kreasi,CV</t>
  </si>
  <si>
    <t>GEA Refrigeration Indonesia, PT</t>
  </si>
  <si>
    <t>Harapan Abadi, CV</t>
  </si>
  <si>
    <t>Lima Pendawa, CV</t>
  </si>
  <si>
    <t>SJP, Toko</t>
  </si>
  <si>
    <t>Prima Akuakultur Lestari, PT</t>
  </si>
  <si>
    <t>Yeremia Sukamto</t>
  </si>
  <si>
    <t>Ecolab Indonesia, PT</t>
  </si>
  <si>
    <t>Garinda Utama, PT</t>
  </si>
  <si>
    <t>Harapan Abadi, UD</t>
  </si>
  <si>
    <t>Herry Jaya Sentosa, PT</t>
  </si>
  <si>
    <t>Pagodasakti Prima Refrigerasi, PT</t>
  </si>
  <si>
    <t>Supriyadi, Bpk</t>
  </si>
  <si>
    <t>VGA Scale Indonesia, PT</t>
  </si>
  <si>
    <t>Wibawa Teknik Sentosa, PT</t>
  </si>
  <si>
    <t>Central Proteina Prima, PT (Benur)</t>
  </si>
  <si>
    <t>Indah Jaya</t>
  </si>
  <si>
    <t>Miura Indonesia, PT</t>
  </si>
  <si>
    <t>Anugrah Makmur Bersama, PT</t>
  </si>
  <si>
    <t>General Agromesin Lestari, PT</t>
  </si>
  <si>
    <t>Krisbow Indonesia, PT</t>
  </si>
  <si>
    <t>Niaga Baru Lestari, PT</t>
  </si>
  <si>
    <t>Sinar Diesel, Toko</t>
  </si>
  <si>
    <t>SJP</t>
  </si>
  <si>
    <t>SUMBERDAYA SINAR BARU, PT</t>
  </si>
  <si>
    <t>Voltric Jaya Mandiri, PT</t>
  </si>
  <si>
    <t>PT, Prima Larvae</t>
  </si>
  <si>
    <t>WBS</t>
  </si>
  <si>
    <t>No Invoice</t>
  </si>
  <si>
    <t>Tgl Invoice</t>
  </si>
  <si>
    <t xml:space="preserve">Total </t>
  </si>
  <si>
    <t>KARYA EKATAMA, PT</t>
  </si>
  <si>
    <t>Newhope Aqua Feed Indonesia, PT</t>
  </si>
  <si>
    <t>AKR Corporindo Tbk, PT</t>
  </si>
  <si>
    <t>Maju Tambak Sumur, PT</t>
  </si>
  <si>
    <t>Disanta, PT</t>
  </si>
  <si>
    <t>Optimis Group CV</t>
  </si>
  <si>
    <t>Hutang Usaha dibawah Rp 20.000.000,-</t>
  </si>
  <si>
    <t>Hutang PT Indo American Seafoods</t>
  </si>
  <si>
    <t>066/ISP - EXP</t>
  </si>
  <si>
    <t>064/ISP - EXP</t>
  </si>
  <si>
    <t>065/ISP - EXP</t>
  </si>
  <si>
    <t>063/ISP - EXP</t>
  </si>
  <si>
    <t>Kyokuyo Co,, Ltd</t>
  </si>
  <si>
    <t>Dedi Es</t>
  </si>
  <si>
    <t>Gunawan Es</t>
  </si>
  <si>
    <t>PT, Disanta ES</t>
  </si>
  <si>
    <t>PT, Keong Nusantara Abadi, ES</t>
  </si>
  <si>
    <t>Tedi Purwoko Es</t>
  </si>
  <si>
    <t>PT Indokom Global Investama</t>
  </si>
  <si>
    <t>PT Indokom Global Persada</t>
  </si>
  <si>
    <t>Total</t>
  </si>
  <si>
    <t>Aging Piutang Dagang</t>
  </si>
  <si>
    <t>Tanggal Bayar</t>
  </si>
  <si>
    <t>090/ISP-EXP</t>
  </si>
  <si>
    <t>SHIFTBACK</t>
  </si>
  <si>
    <t>Crystal Cove Seafoods Corporation</t>
  </si>
  <si>
    <t>089/ISP - EXP</t>
  </si>
  <si>
    <t>088/ISP-EXP</t>
  </si>
  <si>
    <t>091/ISP-EXP</t>
  </si>
  <si>
    <t xml:space="preserve">Paiutang Lain-Lain dibawah 20 juta </t>
  </si>
  <si>
    <t>Piutang Lain-laian di bawah Rp 20.000.000,-</t>
  </si>
  <si>
    <t>Sumberdaya Sinar Baru, PT</t>
  </si>
  <si>
    <t>Mandiri Jaya Perkasa (Sanbe), CV</t>
  </si>
  <si>
    <t>M, Iqbal</t>
  </si>
  <si>
    <t>Windu Segara Hatchery, CV</t>
  </si>
  <si>
    <t>Dinamika Lubsindo Utama, PT</t>
  </si>
  <si>
    <t xml:space="preserve">Nusa Jaya </t>
  </si>
  <si>
    <t>547</t>
  </si>
  <si>
    <t>554</t>
  </si>
  <si>
    <t>561</t>
  </si>
  <si>
    <t>309</t>
  </si>
  <si>
    <t>317</t>
  </si>
  <si>
    <t>350</t>
  </si>
  <si>
    <t>351</t>
  </si>
  <si>
    <t>367</t>
  </si>
  <si>
    <t>372</t>
  </si>
  <si>
    <t>379</t>
  </si>
  <si>
    <t>383</t>
  </si>
  <si>
    <t>Ahmad Heriyadi</t>
  </si>
  <si>
    <t>Anugerah Berkah Usaha PT</t>
  </si>
  <si>
    <t>Indonesia Makan Udang PT</t>
  </si>
  <si>
    <t>Multidaya Teknologi Nusantara PT</t>
  </si>
  <si>
    <t>Hendro Hariyanto</t>
  </si>
  <si>
    <t>Nerimo Ing Pandum CV</t>
  </si>
  <si>
    <t>Putra Widjaja Marine, CV</t>
  </si>
  <si>
    <t>Nutritek Pratama Indonesia, PT</t>
  </si>
  <si>
    <t>Hutang Usaha</t>
  </si>
  <si>
    <t>81</t>
  </si>
  <si>
    <t>143</t>
  </si>
  <si>
    <t>374</t>
  </si>
  <si>
    <t>387</t>
  </si>
  <si>
    <t>409</t>
  </si>
  <si>
    <t>460</t>
  </si>
  <si>
    <t>481</t>
  </si>
  <si>
    <t>484</t>
  </si>
  <si>
    <t>514</t>
  </si>
  <si>
    <t>549</t>
  </si>
  <si>
    <t>576</t>
  </si>
  <si>
    <t>577</t>
  </si>
  <si>
    <t>578</t>
  </si>
  <si>
    <t>579</t>
  </si>
  <si>
    <t>619</t>
  </si>
  <si>
    <t>620</t>
  </si>
  <si>
    <t>622</t>
  </si>
  <si>
    <t>625</t>
  </si>
  <si>
    <t>627</t>
  </si>
  <si>
    <t>634</t>
  </si>
  <si>
    <t>637</t>
  </si>
  <si>
    <t>640</t>
  </si>
  <si>
    <t>641</t>
  </si>
  <si>
    <t>644</t>
  </si>
  <si>
    <t>645</t>
  </si>
  <si>
    <t>658</t>
  </si>
  <si>
    <t>661</t>
  </si>
  <si>
    <t>675</t>
  </si>
  <si>
    <t>679</t>
  </si>
  <si>
    <t>690</t>
  </si>
  <si>
    <t>699</t>
  </si>
  <si>
    <t>719</t>
  </si>
  <si>
    <t>754</t>
  </si>
  <si>
    <t>757</t>
  </si>
  <si>
    <t>758</t>
  </si>
  <si>
    <t>759</t>
  </si>
  <si>
    <t>766</t>
  </si>
  <si>
    <t>776</t>
  </si>
  <si>
    <t>777</t>
  </si>
  <si>
    <t>780</t>
  </si>
  <si>
    <t>785</t>
  </si>
  <si>
    <t>786</t>
  </si>
  <si>
    <t>789</t>
  </si>
  <si>
    <t>792</t>
  </si>
  <si>
    <t>798</t>
  </si>
  <si>
    <t>801</t>
  </si>
  <si>
    <t>806</t>
  </si>
  <si>
    <t>811</t>
  </si>
  <si>
    <t>814</t>
  </si>
  <si>
    <t>815</t>
  </si>
  <si>
    <t>829</t>
  </si>
  <si>
    <t>Piutang Usaha - USD</t>
  </si>
  <si>
    <t>Censea Inc</t>
  </si>
  <si>
    <t>Eastern Fish Company LLC</t>
  </si>
  <si>
    <t>Eiger Co. Ltd</t>
  </si>
  <si>
    <t>San Sugar Co, , Ltd</t>
  </si>
  <si>
    <t>Yachiyo Corporation</t>
  </si>
  <si>
    <t>Hohsui Corporation</t>
  </si>
  <si>
    <t>Piutang Usaha - IDR</t>
  </si>
  <si>
    <t>CV Kanian Persada</t>
  </si>
  <si>
    <t xml:space="preserve">Piutang Karyawan </t>
  </si>
  <si>
    <t xml:space="preserve">Piutang Afiliasi </t>
  </si>
  <si>
    <t>Choice Canning Company Inc,</t>
  </si>
  <si>
    <t>PT International Packaging Manufacturing</t>
  </si>
  <si>
    <t>PT Konverta Mitra Abadi</t>
  </si>
  <si>
    <t>918</t>
  </si>
  <si>
    <t>919</t>
  </si>
  <si>
    <t>920</t>
  </si>
  <si>
    <t>922</t>
  </si>
  <si>
    <t>923</t>
  </si>
  <si>
    <t>945</t>
  </si>
  <si>
    <t>946</t>
  </si>
  <si>
    <t>954</t>
  </si>
  <si>
    <t>955</t>
  </si>
  <si>
    <t>956</t>
  </si>
  <si>
    <t>957</t>
  </si>
  <si>
    <t>985</t>
  </si>
  <si>
    <t>986</t>
  </si>
  <si>
    <t>987</t>
  </si>
  <si>
    <t>988</t>
  </si>
  <si>
    <t>989</t>
  </si>
  <si>
    <t>990</t>
  </si>
  <si>
    <t>1004</t>
  </si>
  <si>
    <t>1005</t>
  </si>
  <si>
    <t>1006</t>
  </si>
  <si>
    <t>1007</t>
  </si>
  <si>
    <t>1008</t>
  </si>
  <si>
    <t>1020</t>
  </si>
  <si>
    <t>1049</t>
  </si>
  <si>
    <t>1058</t>
  </si>
  <si>
    <t>1059</t>
  </si>
  <si>
    <t>1060</t>
  </si>
  <si>
    <t>1069</t>
  </si>
  <si>
    <t>1079</t>
  </si>
  <si>
    <t>1085</t>
  </si>
  <si>
    <t>1086</t>
  </si>
  <si>
    <t>Grahamakmur Ciptapratama</t>
  </si>
  <si>
    <t>266</t>
  </si>
  <si>
    <t>284</t>
  </si>
  <si>
    <t>289</t>
  </si>
  <si>
    <t>250</t>
  </si>
  <si>
    <t>PT Indonesia Makan Udang</t>
  </si>
  <si>
    <t>326</t>
  </si>
  <si>
    <t>334</t>
  </si>
  <si>
    <t>337</t>
  </si>
  <si>
    <t>364</t>
  </si>
  <si>
    <t>384</t>
  </si>
  <si>
    <t>391</t>
  </si>
  <si>
    <t>394</t>
  </si>
  <si>
    <t>408</t>
  </si>
  <si>
    <t>592</t>
  </si>
  <si>
    <t>604</t>
  </si>
  <si>
    <t>605</t>
  </si>
  <si>
    <t>666</t>
  </si>
  <si>
    <t>686</t>
  </si>
  <si>
    <t>593</t>
  </si>
  <si>
    <t>601</t>
  </si>
  <si>
    <t>602</t>
  </si>
  <si>
    <t>608</t>
  </si>
  <si>
    <t>612</t>
  </si>
  <si>
    <t>615</t>
  </si>
  <si>
    <t>617</t>
  </si>
  <si>
    <t>618</t>
  </si>
  <si>
    <t>626</t>
  </si>
  <si>
    <t>636</t>
  </si>
  <si>
    <t>642</t>
  </si>
  <si>
    <t>647</t>
  </si>
  <si>
    <t>648</t>
  </si>
  <si>
    <t>654</t>
  </si>
  <si>
    <t>655</t>
  </si>
  <si>
    <t>660</t>
  </si>
  <si>
    <t>667</t>
  </si>
  <si>
    <t>668</t>
  </si>
  <si>
    <t>670</t>
  </si>
  <si>
    <t>677</t>
  </si>
  <si>
    <t>683</t>
  </si>
  <si>
    <t>Utomo Print</t>
  </si>
  <si>
    <t>PT Sinergy Indopack Makmur</t>
  </si>
  <si>
    <t>Prima Sari Indotama, PT</t>
  </si>
  <si>
    <t>Sumatraco Langgeng Abadi, PT</t>
  </si>
  <si>
    <t>781</t>
  </si>
  <si>
    <t>817</t>
  </si>
  <si>
    <t>857</t>
  </si>
  <si>
    <t>876</t>
  </si>
  <si>
    <t>877</t>
  </si>
  <si>
    <t>881</t>
  </si>
  <si>
    <t>900</t>
  </si>
  <si>
    <t>911</t>
  </si>
  <si>
    <t>931</t>
  </si>
  <si>
    <t>962</t>
  </si>
  <si>
    <t>963</t>
  </si>
  <si>
    <t>974</t>
  </si>
  <si>
    <t>995</t>
  </si>
  <si>
    <t>1021</t>
  </si>
  <si>
    <t>Persahabatan Electric</t>
  </si>
  <si>
    <t>694</t>
  </si>
  <si>
    <t>713</t>
  </si>
  <si>
    <t>714</t>
  </si>
  <si>
    <t>717</t>
  </si>
  <si>
    <t>726</t>
  </si>
  <si>
    <t>845</t>
  </si>
  <si>
    <t>846</t>
  </si>
  <si>
    <t>849</t>
  </si>
  <si>
    <t>873</t>
  </si>
  <si>
    <t>879</t>
  </si>
  <si>
    <t>884</t>
  </si>
  <si>
    <t>885</t>
  </si>
  <si>
    <t>890</t>
  </si>
  <si>
    <t>895</t>
  </si>
  <si>
    <t>902</t>
  </si>
  <si>
    <t>924</t>
  </si>
  <si>
    <t>925</t>
  </si>
  <si>
    <t>928</t>
  </si>
  <si>
    <t>932</t>
  </si>
  <si>
    <t>934</t>
  </si>
  <si>
    <t>1017</t>
  </si>
  <si>
    <t>1018</t>
  </si>
  <si>
    <t>1019</t>
  </si>
  <si>
    <t>1056</t>
  </si>
  <si>
    <t>Indoplast Jaya Sukses Makmur, PT</t>
  </si>
  <si>
    <t>Masatu Putra, CV</t>
  </si>
  <si>
    <t>Lain-lain (masing-masing di bawah Rp 25.000.000)</t>
  </si>
  <si>
    <t>Hutang PT Indokom Samudra Persada</t>
  </si>
  <si>
    <t xml:space="preserve">Adj hapus hutang </t>
  </si>
  <si>
    <t xml:space="preserve">Adj Hapus Hutang </t>
  </si>
  <si>
    <t>107/ias-Exp</t>
  </si>
  <si>
    <t>108/ias-Exp</t>
  </si>
  <si>
    <t>110/ias-Exp</t>
  </si>
  <si>
    <t>111/ias-Exp</t>
  </si>
  <si>
    <t>113/ias-Exp</t>
  </si>
  <si>
    <t>097/ias-Exp</t>
  </si>
  <si>
    <t>109/ias-exp</t>
  </si>
  <si>
    <t>107/ias-exp</t>
  </si>
  <si>
    <t>108/ias-exp</t>
  </si>
  <si>
    <t>055/ias-exp</t>
  </si>
  <si>
    <t>092/ias-exp</t>
  </si>
  <si>
    <t xml:space="preserve">026/isp-exp </t>
  </si>
  <si>
    <t xml:space="preserve">027/isp-exp </t>
  </si>
  <si>
    <t>024/isp-exp</t>
  </si>
  <si>
    <t>025/isp-exp</t>
  </si>
  <si>
    <t>026/isp-exp</t>
  </si>
  <si>
    <t>KW2981/GPT/XII/23</t>
  </si>
  <si>
    <t>KW2966/GPT/XI/23</t>
  </si>
  <si>
    <t>222370/12</t>
  </si>
  <si>
    <t>003/LP/INV/XI/2022</t>
  </si>
  <si>
    <t>F/SCS/0021/I/23</t>
  </si>
  <si>
    <t>F/SCS/0078/I/23</t>
  </si>
  <si>
    <t>F/SCS/0079/I/23</t>
  </si>
  <si>
    <t>F/SCS/0079/H/23</t>
  </si>
  <si>
    <t>F/SCS/0125/L/23</t>
  </si>
  <si>
    <t>F/SCS/0131/L/23</t>
  </si>
  <si>
    <t>IN.1223.0024</t>
  </si>
  <si>
    <t>I/SL-061895</t>
  </si>
  <si>
    <t>I/SL-062176</t>
  </si>
  <si>
    <t>I/SL-062152</t>
  </si>
  <si>
    <t>INV/FP/23/12/155</t>
  </si>
  <si>
    <t>SMT 2308248</t>
  </si>
  <si>
    <t>SMT 2308251</t>
  </si>
  <si>
    <t>SMT 2308252</t>
  </si>
  <si>
    <t>SMT 2308253</t>
  </si>
  <si>
    <t>SMT 2308254</t>
  </si>
  <si>
    <t>SMT 2307344</t>
  </si>
  <si>
    <t>SMT 2307348</t>
  </si>
  <si>
    <t>SMT 2307349</t>
  </si>
  <si>
    <t>SMT 2307352</t>
  </si>
  <si>
    <t>SMT 2307355</t>
  </si>
  <si>
    <t>SMT 2307356</t>
  </si>
  <si>
    <t>SMT 2307357</t>
  </si>
  <si>
    <t>SMT 2310413</t>
  </si>
  <si>
    <t>SMT 2310412</t>
  </si>
  <si>
    <t>SMT 2310414</t>
  </si>
  <si>
    <t>SMT 2310407</t>
  </si>
  <si>
    <t>SMT 2310410</t>
  </si>
  <si>
    <t>SMT 2309327</t>
  </si>
  <si>
    <t>SMT 2309315</t>
  </si>
  <si>
    <t>SMT 2309314</t>
  </si>
  <si>
    <t>SMT 2309316</t>
  </si>
  <si>
    <t>SMT 2309317</t>
  </si>
  <si>
    <t>SMT 2307345</t>
  </si>
  <si>
    <t>SMT 2307350</t>
  </si>
  <si>
    <t>SMT 2310409</t>
  </si>
  <si>
    <t>SMT2311337</t>
  </si>
  <si>
    <t>SMT2311336</t>
  </si>
  <si>
    <t>2308245A</t>
  </si>
  <si>
    <t>005557-005/ISP/VIII/22</t>
  </si>
  <si>
    <t>TS18803143</t>
  </si>
  <si>
    <t>2023-XII-PL-13</t>
  </si>
  <si>
    <t>1223/613</t>
  </si>
  <si>
    <t>002/GRM/X/23</t>
  </si>
  <si>
    <t>003/GRM/XII/23</t>
  </si>
  <si>
    <t>DL 23,3685LP</t>
  </si>
  <si>
    <t>DL 23,3651LP</t>
  </si>
  <si>
    <t>DL 23,3374LP</t>
  </si>
  <si>
    <t>280323</t>
  </si>
  <si>
    <t>090523</t>
  </si>
  <si>
    <t>A090523</t>
  </si>
  <si>
    <t>120523</t>
  </si>
  <si>
    <t>160523</t>
  </si>
  <si>
    <t>250523</t>
  </si>
  <si>
    <t>250523A</t>
  </si>
  <si>
    <t>300523</t>
  </si>
  <si>
    <t>120623</t>
  </si>
  <si>
    <t>160623</t>
  </si>
  <si>
    <t>040723</t>
  </si>
  <si>
    <t>070723</t>
  </si>
  <si>
    <t>130723</t>
  </si>
  <si>
    <t>170723</t>
  </si>
  <si>
    <t>180723</t>
  </si>
  <si>
    <t>260723</t>
  </si>
  <si>
    <t>010823</t>
  </si>
  <si>
    <t>110823</t>
  </si>
  <si>
    <t>A110823</t>
  </si>
  <si>
    <t>150823</t>
  </si>
  <si>
    <t>280823</t>
  </si>
  <si>
    <t>080923</t>
  </si>
  <si>
    <t>120923</t>
  </si>
  <si>
    <t>140923</t>
  </si>
  <si>
    <t>161023</t>
  </si>
  <si>
    <t>231023</t>
  </si>
  <si>
    <t>271023</t>
  </si>
  <si>
    <t>161123</t>
  </si>
  <si>
    <t>301123</t>
  </si>
  <si>
    <t>0292</t>
  </si>
  <si>
    <t>0321</t>
  </si>
  <si>
    <t>0463</t>
  </si>
  <si>
    <t>0471</t>
  </si>
  <si>
    <t>0475</t>
  </si>
  <si>
    <t>0497</t>
  </si>
  <si>
    <t>0502</t>
  </si>
  <si>
    <t>0504</t>
  </si>
  <si>
    <t>0506</t>
  </si>
  <si>
    <t>0511</t>
  </si>
  <si>
    <t>0512</t>
  </si>
  <si>
    <t>Utang Pph 28 A (IAS)</t>
  </si>
  <si>
    <t>Censea (PO 70002)</t>
  </si>
  <si>
    <t>Censea (PO 70199)</t>
  </si>
  <si>
    <t>Censea (PO 70004)</t>
  </si>
  <si>
    <t>Censea (PO 69280)</t>
  </si>
  <si>
    <t>Censea (PO 68883)</t>
  </si>
  <si>
    <t>Eastern Fish (PO 57404)</t>
  </si>
  <si>
    <t>253</t>
  </si>
  <si>
    <t>294</t>
  </si>
  <si>
    <t>295</t>
  </si>
  <si>
    <t>303</t>
  </si>
  <si>
    <t>307</t>
  </si>
  <si>
    <t>310</t>
  </si>
  <si>
    <t>314</t>
  </si>
  <si>
    <t>338</t>
  </si>
  <si>
    <t>345</t>
  </si>
  <si>
    <t>349</t>
  </si>
  <si>
    <t>365</t>
  </si>
  <si>
    <t>382</t>
  </si>
  <si>
    <t>385</t>
  </si>
  <si>
    <t>386</t>
  </si>
  <si>
    <t>395</t>
  </si>
  <si>
    <t>400</t>
  </si>
  <si>
    <t>Piutang Expor</t>
  </si>
  <si>
    <t>RBFood Manufaktur Indonesia, PT</t>
  </si>
  <si>
    <t xml:space="preserve">PT RBFood Supply Indonesia </t>
  </si>
  <si>
    <t>Mitra Lestari Mandiri</t>
  </si>
  <si>
    <t>PT Gemilang Primajaya Trimandiri</t>
  </si>
  <si>
    <t>Nerimo Ing Pandum, CV</t>
  </si>
  <si>
    <t xml:space="preserve">CV Beltraco </t>
  </si>
  <si>
    <t>Lain-lain (masing-masing di bawah Rp 20.000.000)</t>
  </si>
  <si>
    <t>321</t>
  </si>
  <si>
    <t>322</t>
  </si>
  <si>
    <t>323</t>
  </si>
  <si>
    <t>335</t>
  </si>
  <si>
    <t>336</t>
  </si>
  <si>
    <t>339</t>
  </si>
  <si>
    <t>346</t>
  </si>
  <si>
    <t>355</t>
  </si>
  <si>
    <t>371</t>
  </si>
  <si>
    <t>398</t>
  </si>
  <si>
    <t>399</t>
  </si>
  <si>
    <t>404</t>
  </si>
  <si>
    <t>405</t>
  </si>
  <si>
    <t>410</t>
  </si>
  <si>
    <t>411</t>
  </si>
  <si>
    <t>412</t>
  </si>
  <si>
    <t>416</t>
  </si>
  <si>
    <t>417</t>
  </si>
  <si>
    <t>420</t>
  </si>
  <si>
    <t>421</t>
  </si>
  <si>
    <t>296</t>
  </si>
  <si>
    <t>393</t>
  </si>
  <si>
    <t>390</t>
  </si>
  <si>
    <t>392</t>
  </si>
  <si>
    <t>419</t>
  </si>
  <si>
    <t>425</t>
  </si>
  <si>
    <t>46</t>
  </si>
  <si>
    <t>193</t>
  </si>
  <si>
    <t>203</t>
  </si>
  <si>
    <t>293</t>
  </si>
  <si>
    <t>366</t>
  </si>
  <si>
    <t>27</t>
  </si>
  <si>
    <t>45</t>
  </si>
  <si>
    <t>159</t>
  </si>
  <si>
    <t>160</t>
  </si>
  <si>
    <t>161</t>
  </si>
  <si>
    <t>162</t>
  </si>
  <si>
    <t>164</t>
  </si>
  <si>
    <t>166</t>
  </si>
  <si>
    <t>167</t>
  </si>
  <si>
    <t>173</t>
  </si>
  <si>
    <t>174</t>
  </si>
  <si>
    <t>175</t>
  </si>
  <si>
    <t>176</t>
  </si>
  <si>
    <t>177</t>
  </si>
  <si>
    <t>179</t>
  </si>
  <si>
    <t>183</t>
  </si>
  <si>
    <t>184</t>
  </si>
  <si>
    <t>185</t>
  </si>
  <si>
    <t>188</t>
  </si>
  <si>
    <t>189</t>
  </si>
  <si>
    <t>192</t>
  </si>
  <si>
    <t>200</t>
  </si>
  <si>
    <t>201</t>
  </si>
  <si>
    <t>208</t>
  </si>
  <si>
    <t>212</t>
  </si>
  <si>
    <t>213</t>
  </si>
  <si>
    <t>214</t>
  </si>
  <si>
    <t>215</t>
  </si>
  <si>
    <t>231</t>
  </si>
  <si>
    <t>202</t>
  </si>
  <si>
    <t>210</t>
  </si>
  <si>
    <t>211</t>
  </si>
  <si>
    <t>219</t>
  </si>
  <si>
    <t>220</t>
  </si>
  <si>
    <t>221</t>
  </si>
  <si>
    <t>223</t>
  </si>
  <si>
    <t>224</t>
  </si>
  <si>
    <t>225</t>
  </si>
  <si>
    <t>227</t>
  </si>
  <si>
    <t>Nissui Corporation</t>
  </si>
  <si>
    <t>Hohsui Corp (2024-090)</t>
  </si>
  <si>
    <t>Censea (PO.70559)</t>
  </si>
  <si>
    <t>Censea (PO.70046)</t>
  </si>
  <si>
    <t>Censea,LA ( PO.70773)</t>
  </si>
  <si>
    <t>Censea ( PO.70521)</t>
  </si>
  <si>
    <t>Censea ( PO.70048)</t>
  </si>
  <si>
    <t>Censea ( PO.70003)</t>
  </si>
  <si>
    <t>Kyokuyo Co Ltd</t>
  </si>
  <si>
    <t>Nissui (PO.ISP-NISSUI 004)</t>
  </si>
  <si>
    <t>Nissui (PO.ISP-NISSUI 005)</t>
  </si>
  <si>
    <t>Sarana Mitra Tambak, CV</t>
  </si>
  <si>
    <t>Sumber Tani Makmur Abadi, UD</t>
  </si>
  <si>
    <t>Sarana Boga Sentosa, CV</t>
  </si>
  <si>
    <t>147</t>
  </si>
  <si>
    <t>172</t>
  </si>
  <si>
    <t>180</t>
  </si>
  <si>
    <t>181</t>
  </si>
  <si>
    <t>197</t>
  </si>
  <si>
    <t>204</t>
  </si>
  <si>
    <t>1155</t>
  </si>
  <si>
    <t>1156</t>
  </si>
  <si>
    <t>1177</t>
  </si>
  <si>
    <t>1179</t>
  </si>
  <si>
    <t>1180</t>
  </si>
  <si>
    <t>1217</t>
  </si>
  <si>
    <t>1218</t>
  </si>
  <si>
    <t>1219</t>
  </si>
  <si>
    <t>1220</t>
  </si>
  <si>
    <t>1221</t>
  </si>
  <si>
    <t>1222</t>
  </si>
  <si>
    <t>1307</t>
  </si>
  <si>
    <t>1308</t>
  </si>
  <si>
    <t>1309</t>
  </si>
  <si>
    <t>1310</t>
  </si>
  <si>
    <t>1314</t>
  </si>
  <si>
    <t>1315</t>
  </si>
  <si>
    <t>1448</t>
  </si>
  <si>
    <t>1449</t>
  </si>
  <si>
    <t>1450</t>
  </si>
  <si>
    <t>1451</t>
  </si>
  <si>
    <t>1452</t>
  </si>
  <si>
    <t>1453</t>
  </si>
  <si>
    <t>1466</t>
  </si>
  <si>
    <t>1515</t>
  </si>
  <si>
    <t>1516</t>
  </si>
  <si>
    <t>1517</t>
  </si>
  <si>
    <t>1518</t>
  </si>
  <si>
    <t>1559</t>
  </si>
  <si>
    <t>1560</t>
  </si>
  <si>
    <t>1566</t>
  </si>
  <si>
    <t>1567</t>
  </si>
  <si>
    <t>1590</t>
  </si>
  <si>
    <t>1595</t>
  </si>
  <si>
    <t>68</t>
  </si>
  <si>
    <t>95</t>
  </si>
  <si>
    <t>97</t>
  </si>
  <si>
    <t>123</t>
  </si>
  <si>
    <t>130</t>
  </si>
  <si>
    <t>144</t>
  </si>
  <si>
    <t>249</t>
  </si>
  <si>
    <t>261</t>
  </si>
  <si>
    <t>89</t>
  </si>
  <si>
    <t>96</t>
  </si>
  <si>
    <t>105</t>
  </si>
  <si>
    <t>119</t>
  </si>
  <si>
    <t>129</t>
  </si>
  <si>
    <t>168</t>
  </si>
  <si>
    <t>199</t>
  </si>
  <si>
    <t>209</t>
  </si>
  <si>
    <t>218</t>
  </si>
  <si>
    <t>222</t>
  </si>
  <si>
    <t>232</t>
  </si>
  <si>
    <t>234</t>
  </si>
  <si>
    <t>235</t>
  </si>
  <si>
    <t>CV Kanian</t>
  </si>
  <si>
    <t xml:space="preserve">PT Anesta Agung </t>
  </si>
  <si>
    <t>PT Delos Rantai Maritim</t>
  </si>
  <si>
    <t>PT CJ Cheiljedang Feed Lampung</t>
  </si>
  <si>
    <t xml:space="preserve">Tn. Ismanto </t>
  </si>
  <si>
    <t xml:space="preserve">PT Sumber Energy </t>
  </si>
  <si>
    <t>Gatot Eko Andoyo</t>
  </si>
  <si>
    <t>Indolabel Surya Pratama, PT</t>
  </si>
  <si>
    <t>THAI UNION KHARISMA LESTARI, PT</t>
  </si>
  <si>
    <t>Andalan Trading Mina, CV</t>
  </si>
  <si>
    <t>Lain-lain (masing-masing di bawah Rp 20.000.000)-IDR</t>
  </si>
  <si>
    <t>No Purchase</t>
  </si>
  <si>
    <t>Tgl Purchase</t>
  </si>
  <si>
    <t>306</t>
  </si>
  <si>
    <t>308</t>
  </si>
  <si>
    <t>apakah perlu di adj ?</t>
  </si>
  <si>
    <t>377</t>
  </si>
  <si>
    <t>380</t>
  </si>
  <si>
    <t>388</t>
  </si>
  <si>
    <t>389</t>
  </si>
  <si>
    <t>406</t>
  </si>
  <si>
    <t>407</t>
  </si>
  <si>
    <t>414</t>
  </si>
  <si>
    <t>415</t>
  </si>
  <si>
    <t>434</t>
  </si>
  <si>
    <t>435</t>
  </si>
  <si>
    <t>436</t>
  </si>
  <si>
    <t>448</t>
  </si>
  <si>
    <t>451</t>
  </si>
  <si>
    <t>324</t>
  </si>
  <si>
    <t>357</t>
  </si>
  <si>
    <t>359</t>
  </si>
  <si>
    <t xml:space="preserve">Perlu confirm </t>
  </si>
  <si>
    <t>381</t>
  </si>
  <si>
    <t>424</t>
  </si>
  <si>
    <t>426</t>
  </si>
  <si>
    <t>427</t>
  </si>
  <si>
    <t>244</t>
  </si>
  <si>
    <t>260</t>
  </si>
  <si>
    <t>268</t>
  </si>
  <si>
    <t>274</t>
  </si>
  <si>
    <t>298</t>
  </si>
  <si>
    <t>327</t>
  </si>
  <si>
    <t>341</t>
  </si>
  <si>
    <t>358</t>
  </si>
  <si>
    <t>373</t>
  </si>
  <si>
    <t>378</t>
  </si>
  <si>
    <t>428</t>
  </si>
  <si>
    <t>429</t>
  </si>
  <si>
    <t>430</t>
  </si>
  <si>
    <t>116</t>
  </si>
  <si>
    <t>329</t>
  </si>
  <si>
    <t>333</t>
  </si>
  <si>
    <t>362</t>
  </si>
  <si>
    <t>423</t>
  </si>
  <si>
    <t>Kyo Kuyo Co, Ltd</t>
  </si>
  <si>
    <t>Deska / WMM Es -IDR</t>
  </si>
  <si>
    <t>Piutang Lain-lain di bawah Rp 20.000.000,- IDR</t>
  </si>
  <si>
    <t>PT Ind American Seafoods</t>
  </si>
  <si>
    <t>Slade Gorton,,Inc</t>
  </si>
  <si>
    <t>H &amp; T SEAFOODS INC</t>
  </si>
  <si>
    <t>Censea (PO. 71389)</t>
  </si>
  <si>
    <t>Censea (PO. 71658)</t>
  </si>
  <si>
    <t>R &amp; R COLECTION</t>
  </si>
  <si>
    <t>Andalan Traiding Mina, CV</t>
  </si>
  <si>
    <t>Sakti Biru Indonesia, PT</t>
  </si>
  <si>
    <t>543</t>
  </si>
  <si>
    <t>544</t>
  </si>
  <si>
    <t>551</t>
  </si>
  <si>
    <t>552</t>
  </si>
  <si>
    <t>555</t>
  </si>
  <si>
    <t>556</t>
  </si>
  <si>
    <t>557</t>
  </si>
  <si>
    <t>558</t>
  </si>
  <si>
    <t>559</t>
  </si>
  <si>
    <t>580</t>
  </si>
  <si>
    <t>581</t>
  </si>
  <si>
    <t>582</t>
  </si>
  <si>
    <t>587</t>
  </si>
  <si>
    <t>588</t>
  </si>
  <si>
    <t>597</t>
  </si>
  <si>
    <t>609</t>
  </si>
  <si>
    <t>631</t>
  </si>
  <si>
    <t>632</t>
  </si>
  <si>
    <t>649</t>
  </si>
  <si>
    <t>659</t>
  </si>
  <si>
    <t>664</t>
  </si>
  <si>
    <t>672</t>
  </si>
  <si>
    <t>673</t>
  </si>
  <si>
    <t>676</t>
  </si>
  <si>
    <t>685</t>
  </si>
  <si>
    <t>Deska-ES</t>
  </si>
  <si>
    <t>Censea (PO. 71226)</t>
  </si>
  <si>
    <t>Slade Gorton (PO. 309485)</t>
  </si>
  <si>
    <t>Mida Trade Ventures Indonesia, PT</t>
  </si>
  <si>
    <t>Sion Vannamei Raharja, CV</t>
  </si>
  <si>
    <t>704</t>
  </si>
  <si>
    <t>738</t>
  </si>
  <si>
    <t>739</t>
  </si>
  <si>
    <t>743</t>
  </si>
  <si>
    <t>744</t>
  </si>
  <si>
    <t>747</t>
  </si>
  <si>
    <t>748</t>
  </si>
  <si>
    <t>760</t>
  </si>
  <si>
    <t>866</t>
  </si>
  <si>
    <t>867</t>
  </si>
  <si>
    <t>868</t>
  </si>
  <si>
    <t>869</t>
  </si>
  <si>
    <t>870</t>
  </si>
  <si>
    <t>871</t>
  </si>
  <si>
    <t>939</t>
  </si>
  <si>
    <t>940</t>
  </si>
  <si>
    <t>941</t>
  </si>
  <si>
    <t>810</t>
  </si>
  <si>
    <t>746</t>
  </si>
  <si>
    <t>793</t>
  </si>
  <si>
    <t>818</t>
  </si>
  <si>
    <t>834</t>
  </si>
  <si>
    <t>835</t>
  </si>
  <si>
    <t>841</t>
  </si>
  <si>
    <t>842</t>
  </si>
  <si>
    <t>844</t>
  </si>
  <si>
    <t>892</t>
  </si>
  <si>
    <t>915</t>
  </si>
  <si>
    <t>927</t>
  </si>
  <si>
    <t>TBC</t>
  </si>
  <si>
    <t>831</t>
  </si>
  <si>
    <t>832</t>
  </si>
  <si>
    <t>843</t>
  </si>
  <si>
    <t>904</t>
  </si>
  <si>
    <t>912</t>
  </si>
  <si>
    <t>Alpha Trading Co. Ltd</t>
  </si>
  <si>
    <t>Ael Seafood Enterprises, LLC</t>
  </si>
  <si>
    <t>CENSEA PO 71246</t>
  </si>
  <si>
    <t>CENSEA PO 71857</t>
  </si>
  <si>
    <t>CENSEA PO 71468</t>
  </si>
  <si>
    <t>CENSEA 72082</t>
  </si>
  <si>
    <t>084/IAS-EXP</t>
  </si>
  <si>
    <t>085/IAS - EXP</t>
  </si>
  <si>
    <t>086/IAS - EXP</t>
  </si>
  <si>
    <t>089/IAS - EXP</t>
  </si>
  <si>
    <t>090/IAS - EXP</t>
  </si>
  <si>
    <t>ALPHA TRADING PO IAS ALT/005</t>
  </si>
  <si>
    <t>087/IAS-EXP</t>
  </si>
  <si>
    <t>088/IAS-EXP</t>
  </si>
  <si>
    <t>Suranto</t>
  </si>
  <si>
    <t>Delos Rantai Maritim PT</t>
  </si>
  <si>
    <t>518</t>
  </si>
  <si>
    <t>529</t>
  </si>
  <si>
    <t>540</t>
  </si>
  <si>
    <t>603</t>
  </si>
  <si>
    <t>606</t>
  </si>
  <si>
    <t>607</t>
  </si>
  <si>
    <t>610</t>
  </si>
  <si>
    <t>611</t>
  </si>
  <si>
    <t>616</t>
  </si>
  <si>
    <t>656</t>
  </si>
  <si>
    <t>657</t>
  </si>
  <si>
    <t>542</t>
  </si>
  <si>
    <t>583</t>
  </si>
  <si>
    <t>584</t>
  </si>
  <si>
    <t>Ssc Inc Sunnyvale Seafood,</t>
  </si>
  <si>
    <t>CENSEA PO 72073 &amp; 72075</t>
  </si>
  <si>
    <t>PO 11161</t>
  </si>
  <si>
    <t>PO 11162</t>
  </si>
  <si>
    <t>PO 11160</t>
  </si>
  <si>
    <t xml:space="preserve">NEW PO </t>
  </si>
  <si>
    <t>PO 001-2025</t>
  </si>
  <si>
    <t>063/ISP-EXP</t>
  </si>
  <si>
    <t>PO 30977</t>
  </si>
  <si>
    <t>053/ISP - EXP</t>
  </si>
  <si>
    <t>065/ISP-EXP</t>
  </si>
  <si>
    <t>PO. 71255</t>
  </si>
  <si>
    <t>PO. 72074</t>
  </si>
  <si>
    <t>064/ISP-EXP</t>
  </si>
  <si>
    <t>PO. 012-2024</t>
  </si>
  <si>
    <t>PO. 013-2024</t>
  </si>
  <si>
    <t>PO. 001-2025</t>
  </si>
  <si>
    <t>PO. ISP-011/2024</t>
  </si>
  <si>
    <t>PO. ISP-010/2024</t>
  </si>
  <si>
    <t>062/ISP-EXP</t>
  </si>
  <si>
    <t>066/ISP-EXP</t>
  </si>
  <si>
    <t>PO. ISP-NISSUI 012</t>
  </si>
  <si>
    <t>PO. ISP-NISSUI 014</t>
  </si>
  <si>
    <t>ISP-NISSUI 015</t>
  </si>
  <si>
    <t>ISP-NISSUI 016</t>
  </si>
  <si>
    <t>067/ISP-EXP</t>
  </si>
  <si>
    <t>PO. 2024-197</t>
  </si>
  <si>
    <t>2259</t>
  </si>
  <si>
    <t>2261</t>
  </si>
  <si>
    <t>2265</t>
  </si>
  <si>
    <t>2266</t>
  </si>
  <si>
    <t>2271</t>
  </si>
  <si>
    <t>2302</t>
  </si>
  <si>
    <t>2339</t>
  </si>
  <si>
    <t>PO 67610</t>
  </si>
  <si>
    <t>PO 67592</t>
  </si>
  <si>
    <t>PO 67591</t>
  </si>
  <si>
    <t>PO 67807</t>
  </si>
  <si>
    <t>PO 67736</t>
  </si>
  <si>
    <t>PO 67751</t>
  </si>
  <si>
    <t>ISP</t>
  </si>
  <si>
    <t>106</t>
  </si>
  <si>
    <t>132</t>
  </si>
  <si>
    <t>133</t>
  </si>
  <si>
    <t>142</t>
  </si>
  <si>
    <t>165</t>
  </si>
  <si>
    <t>171</t>
  </si>
  <si>
    <t>178</t>
  </si>
  <si>
    <t>541</t>
  </si>
  <si>
    <t>545</t>
  </si>
  <si>
    <t>573</t>
  </si>
  <si>
    <t>589</t>
  </si>
  <si>
    <t>635</t>
  </si>
  <si>
    <t>682</t>
  </si>
  <si>
    <t>711</t>
  </si>
  <si>
    <t>729</t>
  </si>
  <si>
    <t>732</t>
  </si>
  <si>
    <t>750</t>
  </si>
  <si>
    <t>751</t>
  </si>
  <si>
    <t>752</t>
  </si>
  <si>
    <t>756</t>
  </si>
  <si>
    <t>783</t>
  </si>
  <si>
    <t>796</t>
  </si>
  <si>
    <t>797</t>
  </si>
  <si>
    <t>808</t>
  </si>
  <si>
    <t>830</t>
  </si>
  <si>
    <t>853</t>
  </si>
  <si>
    <t>859</t>
  </si>
  <si>
    <t>861</t>
  </si>
  <si>
    <t>883</t>
  </si>
  <si>
    <t>887</t>
  </si>
  <si>
    <t>889</t>
  </si>
  <si>
    <t>Tanpa ISP</t>
  </si>
  <si>
    <t>Dengan ISP</t>
  </si>
  <si>
    <t>Rincian ISP blm ditemukan</t>
  </si>
  <si>
    <t>Info Manajemen angka ini sudah sesuai untuk LK 24 (04.02.2025)</t>
  </si>
  <si>
    <t>Info Manajemen angka ini sudah sesuai untuk LK 24 - per 2025 sudah mulai dicicil dan akan selesai (04.02.2025)</t>
  </si>
  <si>
    <t>PO. 71482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</si>
</sst>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  <numFmt numFmtId="166" formatCode="&quot;&quot;#,000"/>
    <numFmt numFmtId="167" formatCode="_-* #,##0.00000_-;\-* #,##0.00000_-;_-* &quot;-&quot;_-;_-@_-"/>
    <numFmt numFmtId="168" formatCode="_-* #,##0.000000_-;\-* #,##0.000000_-;_-* &quot;-&quot;_-;_-@_-"/>
    <numFmt numFmtId="169" formatCode="_-* #,##0.0000000_-;\-* #,##0.0000000_-;_-* &quot;-&quot;_-;_-@_-"/>
    <numFmt numFmtId="170" formatCode="_-* #,##0.0_-;\-* #,##0.0_-;_-* &quot;-&quot;_-;_-@_-"/>
    <numFmt numFmtId="171" formatCode="#,##0\ &quot;F&quot;;[Red]\-#,##0\ &quot;F&quot;"/>
    <numFmt numFmtId="172" formatCode="_(* #,##0_);_(* \(#,##0\);_(* \-_);_(@_)"/>
    <numFmt numFmtId="173" formatCode="_(&quot;$&quot;* #,##0_);_(&quot;$&quot;* \(#,##0\);_(&quot;$&quot;* &quot;-&quot;_);_(@_)"/>
    <numFmt numFmtId="174" formatCode="_(&quot;$&quot;* #,##0.00_);_(&quot;$&quot;* \(#,##0.00\);_(&quot;$&quot;* &quot;-&quot;??_);_(@_)"/>
    <numFmt numFmtId="175" formatCode="_(* #,##0_);_(* \(#,##0\);_(* &quot;-&quot;??_);_(@_)"/>
    <numFmt numFmtId="176" formatCode="_(* #,##0.00_);_(* \(#,##0.00\);_(* &quot;-&quot;_);_(@_)"/>
    <numFmt numFmtId="177" formatCode="_(* #,##0.00_);_(* \(#,##0.00\);_(* &quot;-&quot;???_);_(@_)"/>
    <numFmt numFmtId="178" formatCode="_(* #,##0.0000000_);_(* \(#,##0.0000000\);_(* &quot;-&quot;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ABAB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  <charset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Times New Roman"/>
      <family val="1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indexed="8"/>
      <name val="Arial Narrow"/>
      <family val="2"/>
      <charset val="1"/>
    </font>
    <font>
      <sz val="11"/>
      <color theme="1"/>
      <name val="Arial Narrow"/>
      <family val="2"/>
      <charset val="1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E0BAC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9D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6B3F4"/>
        <bgColor indexed="64"/>
      </patternFill>
    </fill>
    <fill>
      <patternFill patternType="solid">
        <fgColor rgb="FFD7A6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6D77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17" fillId="0" borderId="0"/>
    <xf numFmtId="165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" fontId="26" fillId="0" borderId="0">
      <alignment horizontal="left" vertical="top"/>
    </xf>
    <xf numFmtId="0" fontId="1" fillId="0" borderId="0"/>
    <xf numFmtId="41" fontId="5" fillId="0" borderId="0" applyFont="0" applyFill="0" applyBorder="0" applyAlignment="0" applyProtection="0"/>
    <xf numFmtId="0" fontId="19" fillId="0" borderId="0"/>
    <xf numFmtId="0" fontId="7" fillId="0" borderId="0"/>
    <xf numFmtId="41" fontId="27" fillId="0" borderId="0" applyFont="0" applyFill="0" applyBorder="0" applyAlignment="0" applyProtection="0"/>
    <xf numFmtId="0" fontId="28" fillId="0" borderId="0"/>
    <xf numFmtId="0" fontId="19" fillId="0" borderId="0"/>
    <xf numFmtId="41" fontId="19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9" fillId="0" borderId="0"/>
    <xf numFmtId="171" fontId="19" fillId="0" borderId="0" applyFill="0" applyBorder="0" applyAlignment="0" applyProtection="0"/>
    <xf numFmtId="172" fontId="19" fillId="0" borderId="0" applyFill="0" applyBorder="0" applyAlignment="0" applyProtection="0"/>
    <xf numFmtId="0" fontId="1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41" fontId="27" fillId="0" borderId="0" applyFont="0" applyFill="0" applyBorder="0" applyAlignment="0" applyProtection="0"/>
    <xf numFmtId="0" fontId="19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30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01">
    <xf numFmtId="0" fontId="0" fillId="0" borderId="0" xfId="0"/>
    <xf numFmtId="0" fontId="0" fillId="0" borderId="1" xfId="0" applyBorder="1"/>
    <xf numFmtId="0" fontId="2" fillId="0" borderId="1" xfId="0" applyFont="1" applyBorder="1"/>
    <xf numFmtId="43" fontId="0" fillId="0" borderId="1" xfId="1" applyFont="1" applyBorder="1"/>
    <xf numFmtId="14" fontId="0" fillId="0" borderId="1" xfId="0" applyNumberFormat="1" applyBorder="1"/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4" fontId="0" fillId="0" borderId="1" xfId="1" applyNumberFormat="1" applyFont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43" fontId="0" fillId="6" borderId="1" xfId="1" applyFont="1" applyFill="1" applyBorder="1"/>
    <xf numFmtId="0" fontId="2" fillId="0" borderId="6" xfId="0" applyFont="1" applyBorder="1"/>
    <xf numFmtId="0" fontId="0" fillId="7" borderId="0" xfId="0" applyFill="1"/>
    <xf numFmtId="41" fontId="0" fillId="0" borderId="0" xfId="3" applyFont="1"/>
    <xf numFmtId="14" fontId="0" fillId="0" borderId="0" xfId="0" applyNumberFormat="1"/>
    <xf numFmtId="41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41" fontId="2" fillId="0" borderId="0" xfId="0" applyNumberFormat="1" applyFont="1"/>
    <xf numFmtId="3" fontId="0" fillId="0" borderId="0" xfId="0" applyNumberFormat="1"/>
    <xf numFmtId="164" fontId="2" fillId="10" borderId="1" xfId="1" applyNumberFormat="1" applyFont="1" applyFill="1" applyBorder="1"/>
    <xf numFmtId="164" fontId="0" fillId="0" borderId="1" xfId="1" applyNumberFormat="1" applyFont="1" applyBorder="1"/>
    <xf numFmtId="164" fontId="0" fillId="0" borderId="1" xfId="0" applyNumberFormat="1" applyBorder="1"/>
    <xf numFmtId="164" fontId="0" fillId="2" borderId="1" xfId="1" applyNumberFormat="1" applyFont="1" applyFill="1" applyBorder="1"/>
    <xf numFmtId="164" fontId="2" fillId="0" borderId="1" xfId="1" applyNumberFormat="1" applyFont="1" applyFill="1" applyBorder="1"/>
    <xf numFmtId="164" fontId="2" fillId="0" borderId="1" xfId="1" applyNumberFormat="1" applyFont="1" applyBorder="1"/>
    <xf numFmtId="164" fontId="0" fillId="4" borderId="1" xfId="1" applyNumberFormat="1" applyFont="1" applyFill="1" applyBorder="1"/>
    <xf numFmtId="14" fontId="0" fillId="0" borderId="1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12" borderId="1" xfId="0" applyFont="1" applyFill="1" applyBorder="1" applyAlignment="1">
      <alignment horizontal="center"/>
    </xf>
    <xf numFmtId="0" fontId="0" fillId="0" borderId="0" xfId="1" applyNumberFormat="1" applyFont="1" applyFill="1" applyBorder="1"/>
    <xf numFmtId="41" fontId="0" fillId="0" borderId="1" xfId="3" applyFont="1" applyBorder="1"/>
    <xf numFmtId="14" fontId="0" fillId="0" borderId="1" xfId="3" applyNumberFormat="1" applyFont="1" applyBorder="1"/>
    <xf numFmtId="41" fontId="0" fillId="0" borderId="7" xfId="0" applyNumberFormat="1" applyBorder="1"/>
    <xf numFmtId="41" fontId="2" fillId="0" borderId="8" xfId="0" applyNumberFormat="1" applyFont="1" applyBorder="1"/>
    <xf numFmtId="0" fontId="9" fillId="0" borderId="0" xfId="0" applyFont="1"/>
    <xf numFmtId="41" fontId="0" fillId="0" borderId="0" xfId="3" applyFont="1" applyBorder="1"/>
    <xf numFmtId="14" fontId="0" fillId="0" borderId="0" xfId="3" applyNumberFormat="1" applyFont="1" applyBorder="1"/>
    <xf numFmtId="14" fontId="0" fillId="9" borderId="0" xfId="0" applyNumberFormat="1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4" xfId="0" applyBorder="1"/>
    <xf numFmtId="0" fontId="2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41" fontId="0" fillId="0" borderId="1" xfId="0" applyNumberFormat="1" applyBorder="1"/>
    <xf numFmtId="3" fontId="0" fillId="0" borderId="1" xfId="3" applyNumberFormat="1" applyFont="1" applyBorder="1"/>
    <xf numFmtId="14" fontId="3" fillId="0" borderId="1" xfId="0" applyNumberFormat="1" applyFont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43" fontId="0" fillId="0" borderId="1" xfId="0" applyNumberFormat="1" applyBorder="1"/>
    <xf numFmtId="164" fontId="0" fillId="1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41" fontId="0" fillId="0" borderId="1" xfId="3" applyFont="1" applyBorder="1" applyAlignment="1">
      <alignment horizontal="center" vertical="center"/>
    </xf>
    <xf numFmtId="164" fontId="0" fillId="0" borderId="1" xfId="3" applyNumberFormat="1" applyFont="1" applyBorder="1"/>
    <xf numFmtId="164" fontId="0" fillId="0" borderId="1" xfId="1" applyNumberFormat="1" applyFont="1" applyFill="1" applyBorder="1" applyAlignment="1">
      <alignment horizontal="right" vertical="top"/>
    </xf>
    <xf numFmtId="164" fontId="0" fillId="13" borderId="1" xfId="1" applyNumberFormat="1" applyFont="1" applyFill="1" applyBorder="1" applyAlignment="1">
      <alignment horizontal="right" vertical="top"/>
    </xf>
    <xf numFmtId="164" fontId="2" fillId="0" borderId="1" xfId="0" applyNumberFormat="1" applyFont="1" applyBorder="1"/>
    <xf numFmtId="41" fontId="2" fillId="0" borderId="1" xfId="3" applyFont="1" applyBorder="1"/>
    <xf numFmtId="164" fontId="0" fillId="0" borderId="1" xfId="3" applyNumberFormat="1" applyFont="1" applyFill="1" applyBorder="1"/>
    <xf numFmtId="0" fontId="2" fillId="14" borderId="1" xfId="0" applyFont="1" applyFill="1" applyBorder="1" applyAlignment="1">
      <alignment horizontal="center"/>
    </xf>
    <xf numFmtId="41" fontId="2" fillId="15" borderId="1" xfId="3" applyFont="1" applyFill="1" applyBorder="1" applyAlignment="1">
      <alignment horizontal="center"/>
    </xf>
    <xf numFmtId="0" fontId="2" fillId="15" borderId="1" xfId="5" applyFont="1" applyFill="1" applyBorder="1" applyAlignment="1">
      <alignment horizontal="center"/>
    </xf>
    <xf numFmtId="14" fontId="7" fillId="0" borderId="0" xfId="0" applyNumberFormat="1" applyFont="1" applyAlignment="1">
      <alignment horizontal="right" vertical="top"/>
    </xf>
    <xf numFmtId="14" fontId="7" fillId="0" borderId="1" xfId="0" applyNumberFormat="1" applyFont="1" applyBorder="1" applyAlignment="1">
      <alignment horizontal="right" vertical="top"/>
    </xf>
    <xf numFmtId="164" fontId="0" fillId="3" borderId="1" xfId="1" applyNumberFormat="1" applyFont="1" applyFill="1" applyBorder="1"/>
    <xf numFmtId="164" fontId="0" fillId="0" borderId="1" xfId="1" applyNumberFormat="1" applyFont="1" applyBorder="1" applyAlignment="1">
      <alignment vertical="center"/>
    </xf>
    <xf numFmtId="164" fontId="0" fillId="5" borderId="1" xfId="1" applyNumberFormat="1" applyFont="1" applyFill="1" applyBorder="1"/>
    <xf numFmtId="0" fontId="0" fillId="0" borderId="0" xfId="0" applyAlignment="1">
      <alignment horizontal="left" indent="2"/>
    </xf>
    <xf numFmtId="164" fontId="0" fillId="0" borderId="0" xfId="1" applyNumberFormat="1" applyFont="1" applyFill="1" applyBorder="1" applyAlignment="1">
      <alignment horizontal="left" indent="3"/>
    </xf>
    <xf numFmtId="164" fontId="2" fillId="0" borderId="0" xfId="0" applyNumberFormat="1" applyFont="1" applyAlignment="1">
      <alignment horizontal="left" indent="3"/>
    </xf>
    <xf numFmtId="164" fontId="2" fillId="0" borderId="0" xfId="3" applyNumberFormat="1" applyFont="1" applyAlignment="1">
      <alignment horizontal="left" indent="3"/>
    </xf>
    <xf numFmtId="164" fontId="0" fillId="16" borderId="1" xfId="1" applyNumberFormat="1" applyFont="1" applyFill="1" applyBorder="1"/>
    <xf numFmtId="41" fontId="0" fillId="0" borderId="0" xfId="0" applyNumberFormat="1" applyAlignment="1">
      <alignment horizontal="left" indent="2"/>
    </xf>
    <xf numFmtId="164" fontId="0" fillId="9" borderId="1" xfId="1" applyNumberFormat="1" applyFont="1" applyFill="1" applyBorder="1"/>
    <xf numFmtId="164" fontId="0" fillId="7" borderId="1" xfId="1" applyNumberFormat="1" applyFont="1" applyFill="1" applyBorder="1"/>
    <xf numFmtId="164" fontId="0" fillId="0" borderId="1" xfId="1" applyNumberFormat="1" applyFont="1" applyFill="1" applyBorder="1"/>
    <xf numFmtId="14" fontId="0" fillId="0" borderId="1" xfId="1" applyNumberFormat="1" applyFont="1" applyFill="1" applyBorder="1"/>
    <xf numFmtId="164" fontId="2" fillId="17" borderId="0" xfId="0" applyNumberFormat="1" applyFont="1" applyFill="1"/>
    <xf numFmtId="0" fontId="0" fillId="0" borderId="5" xfId="0" applyBorder="1"/>
    <xf numFmtId="43" fontId="0" fillId="0" borderId="5" xfId="1" applyFont="1" applyBorder="1"/>
    <xf numFmtId="14" fontId="0" fillId="0" borderId="5" xfId="0" applyNumberFormat="1" applyBorder="1"/>
    <xf numFmtId="0" fontId="0" fillId="12" borderId="1" xfId="0" applyFill="1" applyBorder="1" applyAlignment="1">
      <alignment horizontal="center"/>
    </xf>
    <xf numFmtId="41" fontId="4" fillId="8" borderId="1" xfId="3" applyFont="1" applyFill="1" applyBorder="1" applyAlignment="1">
      <alignment horizontal="center"/>
    </xf>
    <xf numFmtId="41" fontId="4" fillId="8" borderId="1" xfId="4" applyFont="1" applyFill="1" applyBorder="1" applyAlignment="1">
      <alignment horizontal="center"/>
    </xf>
    <xf numFmtId="0" fontId="4" fillId="8" borderId="1" xfId="5" applyFont="1" applyFill="1" applyBorder="1" applyAlignment="1">
      <alignment horizontal="center"/>
    </xf>
    <xf numFmtId="164" fontId="0" fillId="10" borderId="1" xfId="0" applyNumberFormat="1" applyFill="1" applyBorder="1" applyAlignment="1">
      <alignment horizontal="left" indent="3"/>
    </xf>
    <xf numFmtId="164" fontId="0" fillId="0" borderId="1" xfId="0" applyNumberFormat="1" applyBorder="1" applyAlignment="1">
      <alignment horizontal="left" indent="3"/>
    </xf>
    <xf numFmtId="41" fontId="6" fillId="0" borderId="1" xfId="3" applyFont="1" applyBorder="1"/>
    <xf numFmtId="14" fontId="6" fillId="0" borderId="1" xfId="2" applyNumberFormat="1" applyFont="1" applyBorder="1"/>
    <xf numFmtId="0" fontId="6" fillId="0" borderId="1" xfId="2" applyFont="1" applyBorder="1" applyAlignment="1">
      <alignment vertical="center"/>
    </xf>
    <xf numFmtId="0" fontId="6" fillId="0" borderId="1" xfId="2" applyFont="1" applyBorder="1"/>
    <xf numFmtId="164" fontId="0" fillId="0" borderId="1" xfId="1" applyNumberFormat="1" applyFont="1" applyBorder="1" applyAlignment="1">
      <alignment horizontal="center" vertical="center"/>
    </xf>
    <xf numFmtId="41" fontId="6" fillId="0" borderId="1" xfId="3" applyFont="1" applyBorder="1" applyAlignment="1">
      <alignment vertical="center" wrapText="1"/>
    </xf>
    <xf numFmtId="14" fontId="6" fillId="0" borderId="1" xfId="2" applyNumberFormat="1" applyFont="1" applyBorder="1" applyAlignment="1">
      <alignment vertical="center" wrapText="1"/>
    </xf>
    <xf numFmtId="0" fontId="0" fillId="0" borderId="1" xfId="1" applyNumberFormat="1" applyFont="1" applyFill="1" applyBorder="1"/>
    <xf numFmtId="164" fontId="0" fillId="0" borderId="1" xfId="1" applyNumberFormat="1" applyFont="1" applyFill="1" applyBorder="1" applyAlignment="1">
      <alignment horizontal="left" indent="3"/>
    </xf>
    <xf numFmtId="0" fontId="0" fillId="10" borderId="1" xfId="0" applyFill="1" applyBorder="1"/>
    <xf numFmtId="0" fontId="0" fillId="7" borderId="1" xfId="0" applyFill="1" applyBorder="1"/>
    <xf numFmtId="0" fontId="2" fillId="11" borderId="1" xfId="0" applyFont="1" applyFill="1" applyBorder="1" applyAlignment="1">
      <alignment horizontal="center"/>
    </xf>
    <xf numFmtId="41" fontId="8" fillId="0" borderId="0" xfId="0" applyNumberFormat="1" applyFont="1"/>
    <xf numFmtId="14" fontId="0" fillId="0" borderId="4" xfId="0" applyNumberFormat="1" applyBorder="1" applyAlignment="1">
      <alignment horizontal="center" vertical="center"/>
    </xf>
    <xf numFmtId="43" fontId="0" fillId="0" borderId="1" xfId="1" applyFont="1" applyFill="1" applyBorder="1"/>
    <xf numFmtId="43" fontId="1" fillId="0" borderId="1" xfId="1" applyFont="1" applyFill="1" applyBorder="1"/>
    <xf numFmtId="41" fontId="2" fillId="14" borderId="1" xfId="3" applyFont="1" applyFill="1" applyBorder="1" applyAlignment="1">
      <alignment horizontal="center"/>
    </xf>
    <xf numFmtId="41" fontId="2" fillId="0" borderId="1" xfId="3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1" xfId="3" applyNumberFormat="1" applyFont="1" applyFill="1" applyBorder="1" applyAlignment="1">
      <alignment horizontal="center"/>
    </xf>
    <xf numFmtId="3" fontId="0" fillId="0" borderId="7" xfId="0" applyNumberFormat="1" applyBorder="1"/>
    <xf numFmtId="41" fontId="0" fillId="0" borderId="7" xfId="3" applyFont="1" applyBorder="1"/>
    <xf numFmtId="0" fontId="0" fillId="13" borderId="1" xfId="0" applyFill="1" applyBorder="1"/>
    <xf numFmtId="14" fontId="0" fillId="13" borderId="1" xfId="0" applyNumberFormat="1" applyFill="1" applyBorder="1"/>
    <xf numFmtId="0" fontId="0" fillId="13" borderId="1" xfId="0" applyFill="1" applyBorder="1" applyAlignment="1">
      <alignment vertical="center"/>
    </xf>
    <xf numFmtId="164" fontId="0" fillId="13" borderId="1" xfId="0" applyNumberFormat="1" applyFill="1" applyBorder="1" applyAlignment="1">
      <alignment horizontal="left" indent="3"/>
    </xf>
    <xf numFmtId="41" fontId="6" fillId="13" borderId="1" xfId="3" applyFont="1" applyFill="1" applyBorder="1" applyAlignment="1">
      <alignment vertical="center" wrapText="1"/>
    </xf>
    <xf numFmtId="14" fontId="6" fillId="13" borderId="1" xfId="2" applyNumberFormat="1" applyFont="1" applyFill="1" applyBorder="1" applyAlignment="1">
      <alignment vertical="center" wrapText="1"/>
    </xf>
    <xf numFmtId="0" fontId="0" fillId="13" borderId="0" xfId="0" applyFill="1"/>
    <xf numFmtId="43" fontId="0" fillId="13" borderId="1" xfId="1" applyFont="1" applyFill="1" applyBorder="1"/>
    <xf numFmtId="0" fontId="0" fillId="13" borderId="1" xfId="1" applyNumberFormat="1" applyFont="1" applyFill="1" applyBorder="1"/>
    <xf numFmtId="164" fontId="0" fillId="13" borderId="1" xfId="1" applyNumberFormat="1" applyFont="1" applyFill="1" applyBorder="1" applyAlignment="1">
      <alignment horizontal="left" indent="3"/>
    </xf>
    <xf numFmtId="41" fontId="7" fillId="0" borderId="1" xfId="3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1" fontId="0" fillId="0" borderId="0" xfId="0" applyNumberFormat="1"/>
    <xf numFmtId="16" fontId="0" fillId="0" borderId="1" xfId="0" applyNumberFormat="1" applyBorder="1"/>
    <xf numFmtId="41" fontId="1" fillId="0" borderId="1" xfId="3" applyFont="1" applyFill="1" applyBorder="1"/>
    <xf numFmtId="14" fontId="1" fillId="0" borderId="1" xfId="3" applyNumberFormat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8" borderId="1" xfId="0" applyFill="1" applyBorder="1" applyAlignment="1">
      <alignment horizontal="left"/>
    </xf>
    <xf numFmtId="43" fontId="1" fillId="8" borderId="1" xfId="1" applyFont="1" applyFill="1" applyBorder="1"/>
    <xf numFmtId="0" fontId="0" fillId="8" borderId="1" xfId="0" applyFill="1" applyBorder="1"/>
    <xf numFmtId="0" fontId="0" fillId="8" borderId="0" xfId="0" applyFill="1"/>
    <xf numFmtId="1" fontId="0" fillId="0" borderId="1" xfId="0" applyNumberFormat="1" applyBorder="1"/>
    <xf numFmtId="1" fontId="0" fillId="8" borderId="1" xfId="0" applyNumberFormat="1" applyFill="1" applyBorder="1"/>
    <xf numFmtId="1" fontId="1" fillId="0" borderId="1" xfId="3" applyNumberFormat="1" applyFont="1" applyFill="1" applyBorder="1"/>
    <xf numFmtId="0" fontId="12" fillId="18" borderId="1" xfId="0" applyFont="1" applyFill="1" applyBorder="1" applyAlignment="1">
      <alignment horizontal="center"/>
    </xf>
    <xf numFmtId="1" fontId="12" fillId="18" borderId="1" xfId="0" applyNumberFormat="1" applyFont="1" applyFill="1" applyBorder="1" applyAlignment="1">
      <alignment horizontal="center"/>
    </xf>
    <xf numFmtId="0" fontId="13" fillId="0" borderId="0" xfId="0" applyFont="1"/>
    <xf numFmtId="0" fontId="2" fillId="19" borderId="0" xfId="0" applyFont="1" applyFill="1" applyAlignment="1">
      <alignment horizontal="right"/>
    </xf>
    <xf numFmtId="164" fontId="2" fillId="19" borderId="0" xfId="1" applyNumberFormat="1" applyFont="1" applyFill="1"/>
    <xf numFmtId="0" fontId="2" fillId="19" borderId="0" xfId="0" applyFont="1" applyFill="1"/>
    <xf numFmtId="1" fontId="2" fillId="19" borderId="0" xfId="0" applyNumberFormat="1" applyFont="1" applyFill="1"/>
    <xf numFmtId="41" fontId="2" fillId="19" borderId="0" xfId="3" applyFont="1" applyFill="1"/>
    <xf numFmtId="0" fontId="4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center"/>
    </xf>
    <xf numFmtId="41" fontId="14" fillId="18" borderId="1" xfId="3" applyFont="1" applyFill="1" applyBorder="1" applyAlignment="1">
      <alignment horizontal="center"/>
    </xf>
    <xf numFmtId="41" fontId="4" fillId="0" borderId="0" xfId="3" applyFont="1"/>
    <xf numFmtId="0" fontId="15" fillId="0" borderId="1" xfId="2" applyFont="1" applyBorder="1" applyAlignment="1">
      <alignment horizontal="left" vertical="center"/>
    </xf>
    <xf numFmtId="0" fontId="6" fillId="0" borderId="1" xfId="0" applyFont="1" applyBorder="1"/>
    <xf numFmtId="14" fontId="6" fillId="0" borderId="1" xfId="0" applyNumberFormat="1" applyFont="1" applyBorder="1"/>
    <xf numFmtId="41" fontId="6" fillId="0" borderId="1" xfId="0" applyNumberFormat="1" applyFont="1" applyBorder="1"/>
    <xf numFmtId="41" fontId="4" fillId="0" borderId="1" xfId="3" applyFont="1" applyBorder="1"/>
    <xf numFmtId="41" fontId="16" fillId="0" borderId="1" xfId="3" applyFont="1" applyBorder="1"/>
    <xf numFmtId="0" fontId="6" fillId="2" borderId="1" xfId="0" applyFont="1" applyFill="1" applyBorder="1"/>
    <xf numFmtId="41" fontId="6" fillId="2" borderId="1" xfId="3" applyFont="1" applyFill="1" applyBorder="1"/>
    <xf numFmtId="41" fontId="6" fillId="20" borderId="1" xfId="3" applyFont="1" applyFill="1" applyBorder="1"/>
    <xf numFmtId="0" fontId="6" fillId="4" borderId="1" xfId="0" applyFont="1" applyFill="1" applyBorder="1"/>
    <xf numFmtId="166" fontId="6" fillId="0" borderId="1" xfId="0" applyNumberFormat="1" applyFont="1" applyBorder="1" applyAlignment="1">
      <alignment horizontal="right" vertical="top"/>
    </xf>
    <xf numFmtId="1" fontId="6" fillId="0" borderId="1" xfId="0" applyNumberFormat="1" applyFont="1" applyBorder="1" applyAlignment="1">
      <alignment horizontal="right" vertical="top"/>
    </xf>
    <xf numFmtId="166" fontId="6" fillId="9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right"/>
    </xf>
    <xf numFmtId="41" fontId="4" fillId="0" borderId="0" xfId="0" applyNumberFormat="1" applyFont="1"/>
    <xf numFmtId="0" fontId="6" fillId="0" borderId="0" xfId="0" applyFont="1" applyAlignment="1">
      <alignment horizontal="right"/>
    </xf>
    <xf numFmtId="3" fontId="6" fillId="0" borderId="0" xfId="0" applyNumberFormat="1" applyFont="1"/>
    <xf numFmtId="41" fontId="6" fillId="0" borderId="0" xfId="0" applyNumberFormat="1" applyFont="1"/>
    <xf numFmtId="14" fontId="2" fillId="0" borderId="0" xfId="0" applyNumberFormat="1" applyFont="1"/>
    <xf numFmtId="0" fontId="0" fillId="0" borderId="1" xfId="0" applyBorder="1" applyAlignment="1">
      <alignment horizontal="right"/>
    </xf>
    <xf numFmtId="43" fontId="0" fillId="2" borderId="1" xfId="1" applyFont="1" applyFill="1" applyBorder="1"/>
    <xf numFmtId="0" fontId="0" fillId="2" borderId="1" xfId="0" applyFill="1" applyBorder="1" applyAlignment="1">
      <alignment horizontal="right"/>
    </xf>
    <xf numFmtId="14" fontId="0" fillId="9" borderId="1" xfId="0" applyNumberFormat="1" applyFill="1" applyBorder="1"/>
    <xf numFmtId="43" fontId="0" fillId="4" borderId="1" xfId="1" applyFont="1" applyFill="1" applyBorder="1"/>
    <xf numFmtId="0" fontId="0" fillId="4" borderId="1" xfId="0" applyFill="1" applyBorder="1" applyAlignment="1">
      <alignment horizontal="right"/>
    </xf>
    <xf numFmtId="43" fontId="0" fillId="5" borderId="1" xfId="1" applyFont="1" applyFill="1" applyBorder="1"/>
    <xf numFmtId="0" fontId="0" fillId="5" borderId="1" xfId="0" applyFill="1" applyBorder="1" applyAlignment="1">
      <alignment horizontal="right"/>
    </xf>
    <xf numFmtId="0" fontId="18" fillId="21" borderId="1" xfId="6" applyFont="1" applyFill="1" applyBorder="1" applyAlignment="1">
      <alignment horizontal="left" vertical="center" wrapText="1"/>
    </xf>
    <xf numFmtId="165" fontId="0" fillId="0" borderId="1" xfId="7" applyFont="1" applyFill="1" applyBorder="1"/>
    <xf numFmtId="14" fontId="0" fillId="0" borderId="1" xfId="6" applyNumberFormat="1" applyFont="1" applyBorder="1"/>
    <xf numFmtId="0" fontId="0" fillId="0" borderId="1" xfId="6" applyFont="1" applyBorder="1" applyAlignment="1">
      <alignment horizontal="right"/>
    </xf>
    <xf numFmtId="165" fontId="0" fillId="0" borderId="1" xfId="0" applyNumberFormat="1" applyBorder="1"/>
    <xf numFmtId="41" fontId="2" fillId="0" borderId="0" xfId="3" applyFont="1" applyAlignment="1">
      <alignment horizontal="right"/>
    </xf>
    <xf numFmtId="164" fontId="2" fillId="0" borderId="0" xfId="0" applyNumberFormat="1" applyFont="1"/>
    <xf numFmtId="41" fontId="0" fillId="0" borderId="0" xfId="3" applyFont="1" applyAlignment="1">
      <alignment horizontal="right"/>
    </xf>
    <xf numFmtId="0" fontId="20" fillId="0" borderId="0" xfId="6" applyFont="1" applyAlignment="1">
      <alignment horizontal="left"/>
    </xf>
    <xf numFmtId="14" fontId="4" fillId="0" borderId="0" xfId="6" applyNumberFormat="1" applyFont="1" applyAlignment="1">
      <alignment horizontal="center"/>
    </xf>
    <xf numFmtId="0" fontId="15" fillId="0" borderId="1" xfId="6" applyFont="1" applyBorder="1" applyAlignment="1">
      <alignment vertical="center"/>
    </xf>
    <xf numFmtId="41" fontId="15" fillId="0" borderId="1" xfId="3" applyFont="1" applyBorder="1" applyAlignment="1">
      <alignment horizontal="center"/>
    </xf>
    <xf numFmtId="41" fontId="6" fillId="0" borderId="1" xfId="3" applyFont="1" applyBorder="1" applyAlignment="1">
      <alignment horizontal="center"/>
    </xf>
    <xf numFmtId="43" fontId="0" fillId="0" borderId="0" xfId="0" applyNumberFormat="1"/>
    <xf numFmtId="0" fontId="15" fillId="0" borderId="0" xfId="6" applyFont="1" applyAlignment="1">
      <alignment vertical="center"/>
    </xf>
    <xf numFmtId="164" fontId="0" fillId="0" borderId="7" xfId="0" applyNumberFormat="1" applyBorder="1"/>
    <xf numFmtId="9" fontId="6" fillId="0" borderId="0" xfId="8" applyFont="1"/>
    <xf numFmtId="9" fontId="0" fillId="0" borderId="0" xfId="8" applyFont="1"/>
    <xf numFmtId="0" fontId="21" fillId="0" borderId="12" xfId="0" applyFont="1" applyBorder="1"/>
    <xf numFmtId="164" fontId="0" fillId="0" borderId="5" xfId="1" applyNumberFormat="1" applyFont="1" applyBorder="1"/>
    <xf numFmtId="41" fontId="0" fillId="0" borderId="5" xfId="3" applyFont="1" applyBorder="1"/>
    <xf numFmtId="164" fontId="15" fillId="0" borderId="1" xfId="3" applyNumberFormat="1" applyFont="1" applyBorder="1" applyAlignment="1">
      <alignment horizontal="center"/>
    </xf>
    <xf numFmtId="41" fontId="6" fillId="0" borderId="0" xfId="3" applyFont="1"/>
    <xf numFmtId="0" fontId="15" fillId="0" borderId="1" xfId="2" applyFont="1" applyBorder="1" applyAlignment="1">
      <alignment vertical="center"/>
    </xf>
    <xf numFmtId="41" fontId="6" fillId="22" borderId="1" xfId="3" applyFont="1" applyFill="1" applyBorder="1"/>
    <xf numFmtId="14" fontId="6" fillId="9" borderId="1" xfId="0" applyNumberFormat="1" applyFont="1" applyFill="1" applyBorder="1"/>
    <xf numFmtId="41" fontId="6" fillId="0" borderId="1" xfId="3" applyFont="1" applyFill="1" applyBorder="1"/>
    <xf numFmtId="0" fontId="6" fillId="0" borderId="1" xfId="0" applyFont="1" applyBorder="1" applyAlignment="1">
      <alignment horizontal="right"/>
    </xf>
    <xf numFmtId="0" fontId="1" fillId="0" borderId="1" xfId="2" applyBorder="1" applyAlignment="1">
      <alignment horizontal="left" vertical="center"/>
    </xf>
    <xf numFmtId="41" fontId="15" fillId="0" borderId="1" xfId="9" applyFont="1" applyBorder="1" applyAlignment="1">
      <alignment horizontal="center"/>
    </xf>
    <xf numFmtId="41" fontId="6" fillId="0" borderId="1" xfId="9" applyFont="1" applyBorder="1" applyAlignment="1">
      <alignment horizontal="center"/>
    </xf>
    <xf numFmtId="41" fontId="2" fillId="0" borderId="0" xfId="0" applyNumberFormat="1" applyFont="1" applyAlignment="1">
      <alignment horizontal="right"/>
    </xf>
    <xf numFmtId="41" fontId="0" fillId="0" borderId="7" xfId="3" applyFont="1" applyBorder="1" applyAlignment="1">
      <alignment horizontal="right"/>
    </xf>
    <xf numFmtId="41" fontId="0" fillId="0" borderId="0" xfId="0" applyNumberFormat="1" applyAlignment="1">
      <alignment horizontal="right"/>
    </xf>
    <xf numFmtId="43" fontId="2" fillId="0" borderId="0" xfId="0" applyNumberFormat="1" applyFont="1"/>
    <xf numFmtId="41" fontId="2" fillId="0" borderId="7" xfId="3" applyFont="1" applyBorder="1" applyAlignment="1">
      <alignment horizontal="right"/>
    </xf>
    <xf numFmtId="41" fontId="0" fillId="0" borderId="7" xfId="0" applyNumberFormat="1" applyBorder="1" applyAlignment="1">
      <alignment horizontal="right"/>
    </xf>
    <xf numFmtId="41" fontId="1" fillId="0" borderId="0" xfId="3" applyFont="1" applyAlignment="1">
      <alignment horizontal="right"/>
    </xf>
    <xf numFmtId="41" fontId="0" fillId="8" borderId="7" xfId="0" applyNumberFormat="1" applyFill="1" applyBorder="1" applyAlignment="1">
      <alignment horizontal="right"/>
    </xf>
    <xf numFmtId="41" fontId="6" fillId="0" borderId="1" xfId="24" applyFont="1" applyBorder="1"/>
    <xf numFmtId="41" fontId="14" fillId="18" borderId="1" xfId="24" applyFont="1" applyFill="1" applyBorder="1" applyAlignment="1">
      <alignment horizontal="center"/>
    </xf>
    <xf numFmtId="14" fontId="15" fillId="0" borderId="1" xfId="2" applyNumberFormat="1" applyFont="1" applyBorder="1" applyAlignment="1">
      <alignment vertical="center"/>
    </xf>
    <xf numFmtId="41" fontId="6" fillId="9" borderId="1" xfId="24" applyFont="1" applyFill="1" applyBorder="1"/>
    <xf numFmtId="41" fontId="6" fillId="0" borderId="1" xfId="24" applyFont="1" applyFill="1" applyBorder="1"/>
    <xf numFmtId="3" fontId="6" fillId="0" borderId="1" xfId="0" applyNumberFormat="1" applyFont="1" applyBorder="1" applyAlignment="1">
      <alignment horizontal="right"/>
    </xf>
    <xf numFmtId="41" fontId="6" fillId="0" borderId="0" xfId="24" applyFont="1"/>
    <xf numFmtId="41" fontId="2" fillId="0" borderId="0" xfId="3" applyFont="1"/>
    <xf numFmtId="43" fontId="11" fillId="3" borderId="1" xfId="1" applyFont="1" applyFill="1" applyBorder="1"/>
    <xf numFmtId="14" fontId="0" fillId="3" borderId="1" xfId="0" applyNumberFormat="1" applyFill="1" applyBorder="1"/>
    <xf numFmtId="1" fontId="0" fillId="3" borderId="1" xfId="0" applyNumberFormat="1" applyFill="1" applyBorder="1"/>
    <xf numFmtId="14" fontId="0" fillId="3" borderId="1" xfId="0" applyNumberFormat="1" applyFill="1" applyBorder="1" applyAlignment="1">
      <alignment horizontal="center" vertical="center"/>
    </xf>
    <xf numFmtId="43" fontId="0" fillId="3" borderId="1" xfId="0" applyNumberFormat="1" applyFill="1" applyBorder="1"/>
    <xf numFmtId="41" fontId="2" fillId="23" borderId="0" xfId="3" applyFont="1" applyFill="1"/>
    <xf numFmtId="41" fontId="0" fillId="0" borderId="1" xfId="3" applyFont="1" applyFill="1" applyBorder="1" applyAlignment="1">
      <alignment horizontal="center" vertical="center"/>
    </xf>
    <xf numFmtId="41" fontId="6" fillId="3" borderId="1" xfId="3" applyFont="1" applyFill="1" applyBorder="1"/>
    <xf numFmtId="0" fontId="6" fillId="3" borderId="1" xfId="0" applyFont="1" applyFill="1" applyBorder="1"/>
    <xf numFmtId="14" fontId="6" fillId="3" borderId="1" xfId="0" applyNumberFormat="1" applyFont="1" applyFill="1" applyBorder="1"/>
    <xf numFmtId="41" fontId="6" fillId="3" borderId="1" xfId="0" applyNumberFormat="1" applyFont="1" applyFill="1" applyBorder="1"/>
    <xf numFmtId="41" fontId="0" fillId="23" borderId="0" xfId="0" applyNumberFormat="1" applyFill="1"/>
    <xf numFmtId="3" fontId="0" fillId="23" borderId="0" xfId="0" applyNumberFormat="1" applyFill="1"/>
    <xf numFmtId="0" fontId="0" fillId="9" borderId="1" xfId="0" applyFill="1" applyBorder="1"/>
    <xf numFmtId="164" fontId="0" fillId="21" borderId="1" xfId="1" applyNumberFormat="1" applyFont="1" applyFill="1" applyBorder="1"/>
    <xf numFmtId="14" fontId="0" fillId="0" borderId="0" xfId="8" applyNumberFormat="1" applyFont="1"/>
    <xf numFmtId="3" fontId="2" fillId="0" borderId="0" xfId="0" applyNumberFormat="1" applyFont="1"/>
    <xf numFmtId="0" fontId="6" fillId="0" borderId="0" xfId="0" applyFont="1" applyAlignment="1">
      <alignment horizontal="center"/>
    </xf>
    <xf numFmtId="41" fontId="4" fillId="21" borderId="1" xfId="3" applyFont="1" applyFill="1" applyBorder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right"/>
    </xf>
    <xf numFmtId="41" fontId="4" fillId="0" borderId="1" xfId="3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9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1" fontId="1" fillId="0" borderId="7" xfId="3" applyFont="1" applyBorder="1" applyAlignment="1">
      <alignment horizontal="right"/>
    </xf>
    <xf numFmtId="41" fontId="2" fillId="11" borderId="1" xfId="3" applyFont="1" applyFill="1" applyBorder="1" applyAlignment="1">
      <alignment horizontal="center"/>
    </xf>
    <xf numFmtId="41" fontId="0" fillId="2" borderId="1" xfId="3" applyFont="1" applyFill="1" applyBorder="1"/>
    <xf numFmtId="41" fontId="0" fillId="4" borderId="1" xfId="3" applyFont="1" applyFill="1" applyBorder="1"/>
    <xf numFmtId="17" fontId="2" fillId="0" borderId="7" xfId="0" applyNumberFormat="1" applyFont="1" applyBorder="1" applyAlignment="1">
      <alignment horizontal="center"/>
    </xf>
    <xf numFmtId="0" fontId="18" fillId="0" borderId="13" xfId="2" applyFont="1" applyBorder="1" applyAlignment="1">
      <alignment horizontal="left" vertical="center"/>
    </xf>
    <xf numFmtId="165" fontId="1" fillId="0" borderId="13" xfId="2" applyNumberFormat="1" applyBorder="1" applyAlignment="1">
      <alignment horizontal="left" vertical="center"/>
    </xf>
    <xf numFmtId="0" fontId="0" fillId="0" borderId="13" xfId="0" applyBorder="1"/>
    <xf numFmtId="41" fontId="0" fillId="0" borderId="13" xfId="3" applyFont="1" applyBorder="1"/>
    <xf numFmtId="14" fontId="0" fillId="0" borderId="13" xfId="0" applyNumberFormat="1" applyBorder="1"/>
    <xf numFmtId="165" fontId="0" fillId="0" borderId="13" xfId="0" applyNumberFormat="1" applyBorder="1"/>
    <xf numFmtId="0" fontId="2" fillId="0" borderId="13" xfId="0" applyFont="1" applyBorder="1"/>
    <xf numFmtId="3" fontId="0" fillId="0" borderId="13" xfId="0" applyNumberFormat="1" applyBorder="1"/>
    <xf numFmtId="41" fontId="0" fillId="0" borderId="13" xfId="0" applyNumberFormat="1" applyBorder="1"/>
    <xf numFmtId="0" fontId="2" fillId="3" borderId="13" xfId="0" applyFont="1" applyFill="1" applyBorder="1"/>
    <xf numFmtId="0" fontId="0" fillId="3" borderId="13" xfId="0" applyFill="1" applyBorder="1"/>
    <xf numFmtId="41" fontId="0" fillId="3" borderId="13" xfId="3" applyFont="1" applyFill="1" applyBorder="1"/>
    <xf numFmtId="3" fontId="0" fillId="3" borderId="13" xfId="0" applyNumberFormat="1" applyFill="1" applyBorder="1"/>
    <xf numFmtId="41" fontId="0" fillId="3" borderId="13" xfId="0" applyNumberFormat="1" applyFill="1" applyBorder="1"/>
    <xf numFmtId="49" fontId="7" fillId="3" borderId="13" xfId="0" applyNumberFormat="1" applyFont="1" applyFill="1" applyBorder="1" applyAlignment="1">
      <alignment horizontal="right" vertical="top"/>
    </xf>
    <xf numFmtId="14" fontId="7" fillId="3" borderId="13" xfId="0" applyNumberFormat="1" applyFont="1" applyFill="1" applyBorder="1" applyAlignment="1">
      <alignment horizontal="right" vertical="top"/>
    </xf>
    <xf numFmtId="14" fontId="0" fillId="3" borderId="13" xfId="0" applyNumberFormat="1" applyFill="1" applyBorder="1"/>
    <xf numFmtId="41" fontId="14" fillId="18" borderId="5" xfId="24" applyFont="1" applyFill="1" applyBorder="1" applyAlignment="1">
      <alignment horizontal="center"/>
    </xf>
    <xf numFmtId="41" fontId="1" fillId="0" borderId="13" xfId="3" applyBorder="1" applyAlignment="1">
      <alignment horizontal="left" vertical="center"/>
    </xf>
    <xf numFmtId="41" fontId="14" fillId="18" borderId="13" xfId="24" applyFont="1" applyFill="1" applyBorder="1" applyAlignment="1">
      <alignment horizontal="center"/>
    </xf>
    <xf numFmtId="0" fontId="6" fillId="0" borderId="13" xfId="0" applyFont="1" applyBorder="1"/>
    <xf numFmtId="14" fontId="6" fillId="0" borderId="13" xfId="0" applyNumberFormat="1" applyFont="1" applyBorder="1"/>
    <xf numFmtId="0" fontId="0" fillId="0" borderId="13" xfId="0" applyBorder="1" applyAlignment="1">
      <alignment horizontal="right"/>
    </xf>
    <xf numFmtId="41" fontId="0" fillId="0" borderId="13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41" fontId="2" fillId="0" borderId="13" xfId="0" applyNumberFormat="1" applyFont="1" applyBorder="1"/>
    <xf numFmtId="43" fontId="0" fillId="0" borderId="0" xfId="0" applyNumberFormat="1" applyAlignment="1">
      <alignment horizontal="right"/>
    </xf>
    <xf numFmtId="43" fontId="0" fillId="0" borderId="7" xfId="0" applyNumberFormat="1" applyBorder="1" applyAlignment="1">
      <alignment horizontal="right"/>
    </xf>
    <xf numFmtId="41" fontId="14" fillId="18" borderId="4" xfId="3" applyFont="1" applyFill="1" applyBorder="1" applyAlignment="1">
      <alignment horizontal="center"/>
    </xf>
    <xf numFmtId="0" fontId="21" fillId="0" borderId="13" xfId="0" applyFont="1" applyBorder="1"/>
    <xf numFmtId="41" fontId="21" fillId="0" borderId="13" xfId="3" applyFont="1" applyBorder="1"/>
    <xf numFmtId="41" fontId="0" fillId="0" borderId="13" xfId="3" applyFont="1" applyBorder="1" applyAlignment="1">
      <alignment horizontal="left"/>
    </xf>
    <xf numFmtId="49" fontId="7" fillId="0" borderId="13" xfId="0" applyNumberFormat="1" applyFont="1" applyBorder="1" applyAlignment="1">
      <alignment horizontal="right" vertical="top"/>
    </xf>
    <xf numFmtId="14" fontId="7" fillId="0" borderId="13" xfId="0" applyNumberFormat="1" applyFont="1" applyBorder="1" applyAlignment="1">
      <alignment horizontal="right" vertical="top"/>
    </xf>
    <xf numFmtId="0" fontId="7" fillId="0" borderId="0" xfId="0" applyFont="1"/>
    <xf numFmtId="41" fontId="23" fillId="18" borderId="4" xfId="3" applyFont="1" applyFill="1" applyBorder="1" applyAlignment="1">
      <alignment horizontal="center"/>
    </xf>
    <xf numFmtId="0" fontId="7" fillId="0" borderId="13" xfId="0" applyFont="1" applyBorder="1"/>
    <xf numFmtId="14" fontId="7" fillId="0" borderId="13" xfId="0" applyNumberFormat="1" applyFont="1" applyBorder="1"/>
    <xf numFmtId="41" fontId="6" fillId="23" borderId="1" xfId="3" applyFont="1" applyFill="1" applyBorder="1"/>
    <xf numFmtId="0" fontId="6" fillId="0" borderId="13" xfId="0" applyFont="1" applyBorder="1" applyAlignment="1">
      <alignment horizontal="right"/>
    </xf>
    <xf numFmtId="14" fontId="6" fillId="0" borderId="12" xfId="0" applyNumberFormat="1" applyFont="1" applyBorder="1"/>
    <xf numFmtId="14" fontId="24" fillId="0" borderId="0" xfId="0" applyNumberFormat="1" applyFont="1" applyAlignment="1">
      <alignment horizontal="right" vertical="top"/>
    </xf>
    <xf numFmtId="41" fontId="2" fillId="0" borderId="7" xfId="0" applyNumberFormat="1" applyFont="1" applyBorder="1" applyAlignment="1">
      <alignment horizontal="right"/>
    </xf>
    <xf numFmtId="41" fontId="6" fillId="0" borderId="0" xfId="3" applyFont="1" applyAlignment="1">
      <alignment horizontal="center"/>
    </xf>
    <xf numFmtId="41" fontId="7" fillId="0" borderId="0" xfId="3" applyFont="1"/>
    <xf numFmtId="41" fontId="0" fillId="9" borderId="13" xfId="3" applyFont="1" applyFill="1" applyBorder="1"/>
    <xf numFmtId="0" fontId="24" fillId="0" borderId="0" xfId="0" applyFont="1"/>
    <xf numFmtId="41" fontId="7" fillId="0" borderId="0" xfId="3" applyFont="1" applyAlignment="1">
      <alignment horizontal="center"/>
    </xf>
    <xf numFmtId="3" fontId="7" fillId="0" borderId="0" xfId="0" applyNumberFormat="1" applyFont="1"/>
    <xf numFmtId="14" fontId="24" fillId="0" borderId="0" xfId="0" applyNumberFormat="1" applyFont="1" applyAlignment="1">
      <alignment horizontal="center"/>
    </xf>
    <xf numFmtId="41" fontId="7" fillId="0" borderId="0" xfId="0" applyNumberFormat="1" applyFont="1"/>
    <xf numFmtId="41" fontId="7" fillId="0" borderId="13" xfId="3" applyFont="1" applyBorder="1"/>
    <xf numFmtId="41" fontId="7" fillId="0" borderId="13" xfId="0" applyNumberFormat="1" applyFont="1" applyBorder="1"/>
    <xf numFmtId="0" fontId="7" fillId="0" borderId="13" xfId="0" applyFont="1" applyBorder="1" applyAlignment="1">
      <alignment horizontal="right"/>
    </xf>
    <xf numFmtId="3" fontId="7" fillId="0" borderId="13" xfId="0" applyNumberFormat="1" applyFont="1" applyBorder="1"/>
    <xf numFmtId="3" fontId="7" fillId="0" borderId="13" xfId="0" applyNumberFormat="1" applyFont="1" applyBorder="1" applyAlignment="1">
      <alignment horizontal="right"/>
    </xf>
    <xf numFmtId="0" fontId="25" fillId="0" borderId="14" xfId="2" applyFont="1" applyBorder="1" applyAlignment="1">
      <alignment horizontal="left" vertical="center"/>
    </xf>
    <xf numFmtId="0" fontId="18" fillId="0" borderId="14" xfId="2" applyFont="1" applyBorder="1" applyAlignment="1">
      <alignment horizontal="left" vertical="center"/>
    </xf>
    <xf numFmtId="165" fontId="25" fillId="0" borderId="14" xfId="3" applyNumberFormat="1" applyFont="1" applyBorder="1" applyAlignment="1">
      <alignment horizontal="left" vertical="center"/>
    </xf>
    <xf numFmtId="165" fontId="18" fillId="0" borderId="14" xfId="3" applyNumberFormat="1" applyFont="1" applyBorder="1" applyAlignment="1">
      <alignment horizontal="left" vertical="center"/>
    </xf>
    <xf numFmtId="165" fontId="18" fillId="0" borderId="14" xfId="3" applyNumberFormat="1" applyFont="1" applyFill="1" applyBorder="1" applyAlignment="1">
      <alignment horizontal="left" vertical="center"/>
    </xf>
    <xf numFmtId="165" fontId="0" fillId="0" borderId="0" xfId="0" applyNumberFormat="1"/>
    <xf numFmtId="165" fontId="18" fillId="0" borderId="14" xfId="2" applyNumberFormat="1" applyFont="1" applyBorder="1" applyAlignment="1">
      <alignment horizontal="left" vertical="center"/>
    </xf>
    <xf numFmtId="165" fontId="18" fillId="0" borderId="15" xfId="3" applyNumberFormat="1" applyFont="1" applyFill="1" applyBorder="1" applyAlignment="1">
      <alignment horizontal="left" vertical="center"/>
    </xf>
    <xf numFmtId="0" fontId="25" fillId="0" borderId="13" xfId="2" applyFont="1" applyBorder="1" applyAlignment="1">
      <alignment horizontal="left" vertical="center"/>
    </xf>
    <xf numFmtId="0" fontId="0" fillId="0" borderId="6" xfId="0" applyBorder="1"/>
    <xf numFmtId="0" fontId="0" fillId="0" borderId="12" xfId="0" applyBorder="1"/>
    <xf numFmtId="14" fontId="0" fillId="0" borderId="13" xfId="0" applyNumberFormat="1" applyBorder="1" applyAlignment="1">
      <alignment horizontal="right"/>
    </xf>
    <xf numFmtId="167" fontId="0" fillId="0" borderId="0" xfId="0" applyNumberFormat="1"/>
    <xf numFmtId="168" fontId="0" fillId="0" borderId="0" xfId="0" applyNumberFormat="1"/>
    <xf numFmtId="0" fontId="2" fillId="0" borderId="7" xfId="0" applyFont="1" applyBorder="1" applyAlignment="1">
      <alignment horizontal="right"/>
    </xf>
    <xf numFmtId="169" fontId="0" fillId="0" borderId="0" xfId="0" applyNumberFormat="1"/>
    <xf numFmtId="41" fontId="14" fillId="18" borderId="17" xfId="24" applyFont="1" applyFill="1" applyBorder="1" applyAlignment="1">
      <alignment horizontal="center"/>
    </xf>
    <xf numFmtId="41" fontId="24" fillId="0" borderId="13" xfId="3" applyFont="1" applyBorder="1"/>
    <xf numFmtId="0" fontId="2" fillId="12" borderId="4" xfId="0" applyFont="1" applyFill="1" applyBorder="1" applyAlignment="1">
      <alignment horizontal="center"/>
    </xf>
    <xf numFmtId="170" fontId="0" fillId="0" borderId="0" xfId="0" applyNumberFormat="1"/>
    <xf numFmtId="0" fontId="2" fillId="0" borderId="2" xfId="0" applyFont="1" applyBorder="1" applyAlignment="1">
      <alignment horizontal="center"/>
    </xf>
    <xf numFmtId="165" fontId="25" fillId="0" borderId="15" xfId="3" applyNumberFormat="1" applyFont="1" applyBorder="1" applyAlignment="1">
      <alignment horizontal="left" vertical="center"/>
    </xf>
    <xf numFmtId="165" fontId="18" fillId="0" borderId="15" xfId="3" applyNumberFormat="1" applyFont="1" applyBorder="1" applyAlignment="1">
      <alignment horizontal="left" vertical="center"/>
    </xf>
    <xf numFmtId="0" fontId="2" fillId="11" borderId="4" xfId="0" applyFont="1" applyFill="1" applyBorder="1" applyAlignment="1">
      <alignment horizontal="center"/>
    </xf>
    <xf numFmtId="41" fontId="2" fillId="9" borderId="0" xfId="3" applyFont="1" applyFill="1" applyBorder="1" applyAlignment="1">
      <alignment horizontal="right" vertical="center"/>
    </xf>
    <xf numFmtId="41" fontId="1" fillId="0" borderId="0" xfId="2" applyNumberFormat="1" applyAlignment="1">
      <alignment horizontal="left" vertical="center"/>
    </xf>
    <xf numFmtId="41" fontId="1" fillId="0" borderId="13" xfId="2" applyNumberFormat="1" applyBorder="1" applyAlignment="1">
      <alignment horizontal="left" vertical="center"/>
    </xf>
    <xf numFmtId="49" fontId="7" fillId="0" borderId="0" xfId="0" applyNumberFormat="1" applyFont="1" applyAlignment="1">
      <alignment horizontal="right" vertical="top"/>
    </xf>
    <xf numFmtId="14" fontId="0" fillId="9" borderId="13" xfId="0" applyNumberFormat="1" applyFill="1" applyBorder="1"/>
    <xf numFmtId="14" fontId="0" fillId="9" borderId="13" xfId="0" applyNumberFormat="1" applyFill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41" fontId="0" fillId="0" borderId="4" xfId="3" applyFont="1" applyBorder="1"/>
    <xf numFmtId="41" fontId="2" fillId="0" borderId="1" xfId="3" applyFont="1" applyBorder="1" applyAlignment="1">
      <alignment horizontal="center"/>
    </xf>
    <xf numFmtId="41" fontId="1" fillId="9" borderId="13" xfId="3" applyFill="1" applyBorder="1" applyAlignment="1">
      <alignment horizontal="left" vertical="center"/>
    </xf>
    <xf numFmtId="41" fontId="5" fillId="0" borderId="13" xfId="3" applyFont="1" applyBorder="1"/>
    <xf numFmtId="41" fontId="2" fillId="24" borderId="13" xfId="3" applyFont="1" applyFill="1" applyBorder="1"/>
    <xf numFmtId="41" fontId="9" fillId="0" borderId="0" xfId="0" applyNumberFormat="1" applyFont="1"/>
    <xf numFmtId="41" fontId="2" fillId="0" borderId="13" xfId="3" applyFont="1" applyBorder="1"/>
    <xf numFmtId="3" fontId="2" fillId="15" borderId="13" xfId="0" applyNumberFormat="1" applyFont="1" applyFill="1" applyBorder="1"/>
    <xf numFmtId="0" fontId="0" fillId="24" borderId="13" xfId="0" applyFill="1" applyBorder="1"/>
    <xf numFmtId="41" fontId="0" fillId="24" borderId="13" xfId="3" applyFont="1" applyFill="1" applyBorder="1"/>
    <xf numFmtId="0" fontId="0" fillId="24" borderId="13" xfId="0" applyFill="1" applyBorder="1" applyAlignment="1">
      <alignment horizontal="left"/>
    </xf>
    <xf numFmtId="14" fontId="7" fillId="24" borderId="13" xfId="0" applyNumberFormat="1" applyFont="1" applyFill="1" applyBorder="1" applyAlignment="1">
      <alignment horizontal="right" vertical="top"/>
    </xf>
    <xf numFmtId="41" fontId="14" fillId="0" borderId="0" xfId="24" applyFont="1" applyFill="1" applyBorder="1" applyAlignment="1">
      <alignment horizontal="center"/>
    </xf>
    <xf numFmtId="41" fontId="14" fillId="0" borderId="13" xfId="24" applyFont="1" applyFill="1" applyBorder="1" applyAlignment="1">
      <alignment horizontal="center"/>
    </xf>
    <xf numFmtId="41" fontId="0" fillId="25" borderId="13" xfId="3" applyFont="1" applyFill="1" applyBorder="1"/>
    <xf numFmtId="41" fontId="2" fillId="11" borderId="13" xfId="3" applyFont="1" applyFill="1" applyBorder="1" applyAlignment="1">
      <alignment horizontal="left" vertical="center"/>
    </xf>
    <xf numFmtId="175" fontId="18" fillId="0" borderId="15" xfId="3" applyNumberFormat="1" applyFont="1" applyFill="1" applyBorder="1" applyAlignment="1">
      <alignment horizontal="left" vertical="center"/>
    </xf>
    <xf numFmtId="41" fontId="0" fillId="0" borderId="13" xfId="3" applyFont="1" applyFill="1" applyBorder="1"/>
    <xf numFmtId="0" fontId="2" fillId="12" borderId="4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15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64" fontId="0" fillId="1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1" fontId="2" fillId="14" borderId="7" xfId="3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41" fontId="2" fillId="15" borderId="7" xfId="3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5" xfId="0" applyBorder="1" applyAlignment="1">
      <alignment horizontal="left"/>
    </xf>
    <xf numFmtId="14" fontId="7" fillId="0" borderId="5" xfId="0" applyNumberFormat="1" applyFont="1" applyBorder="1" applyAlignment="1">
      <alignment horizontal="right" vertical="top"/>
    </xf>
    <xf numFmtId="41" fontId="0" fillId="0" borderId="5" xfId="0" applyNumberFormat="1" applyBorder="1"/>
    <xf numFmtId="41" fontId="2" fillId="9" borderId="1" xfId="0" applyNumberFormat="1" applyFont="1" applyFill="1" applyBorder="1"/>
  </cellXfs>
  <cellStyles count="132">
    <cellStyle name="Comma" xfId="1" builtinId="3"/>
    <cellStyle name="Comma [0]" xfId="3" builtinId="6"/>
    <cellStyle name="Comma [0] 10 4 2" xfId="33" xr:uid="{DA7F327F-60CF-4FC7-B22F-363130397F71}"/>
    <cellStyle name="Comma [0] 11 2 4 2" xfId="36" xr:uid="{168B8D3F-ABE2-43B4-96E8-0BE5701E6591}"/>
    <cellStyle name="Comma [0] 12" xfId="50" xr:uid="{2D157668-0773-4E70-8A30-BF59F1E4FD80}"/>
    <cellStyle name="Comma [0] 12 20" xfId="39" xr:uid="{BBCF1BB2-C8C5-4C01-9DD6-BF97381AEBB8}"/>
    <cellStyle name="Comma [0] 2" xfId="15" xr:uid="{B20AFEBB-2233-4CD2-A87A-F7DF84A9DA5F}"/>
    <cellStyle name="Comma [0] 2 2" xfId="28" xr:uid="{E8208AA4-29F1-431B-9AB4-5428DE6303FD}"/>
    <cellStyle name="Comma [0] 2 2 2" xfId="61" xr:uid="{27DE7035-3FE3-49DF-BD91-C3B7C54459B3}"/>
    <cellStyle name="Comma [0] 2 2 2 2" xfId="62" xr:uid="{2CB6DB0E-678A-417B-BC9E-5050AAEA94A8}"/>
    <cellStyle name="Comma [0] 2 2 2 2 2" xfId="63" xr:uid="{DE139318-670B-421B-B55D-6A868E2CBFCF}"/>
    <cellStyle name="Comma [0] 2 2 2 3" xfId="64" xr:uid="{02F42094-80E6-429D-8FCA-6D1FCD8C1EB6}"/>
    <cellStyle name="Comma [0] 2 2 3" xfId="65" xr:uid="{9E717A5F-B096-479E-971A-4B60DE634618}"/>
    <cellStyle name="Comma [0] 2 2 4" xfId="60" xr:uid="{706373A7-B17B-47A3-ABC6-23D4849E2EEE}"/>
    <cellStyle name="Comma [0] 2 3" xfId="21" xr:uid="{DAC6FE22-2F70-4D24-B889-2DC017DE9AE8}"/>
    <cellStyle name="Comma [0] 2 3 2" xfId="66" xr:uid="{C15867D8-B3EF-4762-9A40-E844F026F18C}"/>
    <cellStyle name="Comma [0] 2 4" xfId="40" xr:uid="{2097CD02-959F-4563-AEE1-A712B33A3817}"/>
    <cellStyle name="Comma [0] 2 4 2" xfId="67" xr:uid="{56A03A1F-A4D2-432F-979D-358D490B5C08}"/>
    <cellStyle name="Comma [0] 2 5" xfId="59" xr:uid="{AB92E2FB-AEBC-410D-A808-0B601C0653EE}"/>
    <cellStyle name="Comma [0] 3" xfId="4" xr:uid="{79059155-50DC-4C89-85A4-678439EDCF01}"/>
    <cellStyle name="Comma [0] 3 2" xfId="25" xr:uid="{74BF3451-2831-4B7F-8388-2CB99A482EE0}"/>
    <cellStyle name="Comma [0] 3 2 2 2" xfId="44" xr:uid="{B365C7D8-3359-41DE-A3B1-1C98F2B6CB92}"/>
    <cellStyle name="Comma [0] 3 2 3" xfId="43" xr:uid="{78A3F406-35D9-4FB8-9ED7-BC10B3CFBF96}"/>
    <cellStyle name="Comma [0] 3 3" xfId="19" xr:uid="{D3DA158D-87CA-4565-AC54-0885D144977A}"/>
    <cellStyle name="Comma [0] 3 4" xfId="12" xr:uid="{180800B3-AD04-4540-AC4E-D2F12A59177A}"/>
    <cellStyle name="Comma [0] 3 5" xfId="30" xr:uid="{D7C657E4-E47C-466E-8A58-C4BF5C223AA6}"/>
    <cellStyle name="Comma [0] 4" xfId="16" xr:uid="{C29C430A-3483-40E8-8815-2F58D16C4DB0}"/>
    <cellStyle name="Comma [0] 4 2" xfId="29" xr:uid="{ABD7AE85-64BD-43E6-9E6B-E3A9E98C7A5B}"/>
    <cellStyle name="Comma [0] 4 3" xfId="22" xr:uid="{71576435-324D-4E9B-886A-1D6CEED89934}"/>
    <cellStyle name="Comma [0] 4 4" xfId="53" xr:uid="{2E3A2F12-984E-4CFA-B5AA-454A2BD6A771}"/>
    <cellStyle name="Comma [0] 4 5" xfId="56" xr:uid="{36FEA8EE-23D3-4186-8E78-C8012201B265}"/>
    <cellStyle name="Comma [0] 5" xfId="7" xr:uid="{CD4ED648-8ADD-4FB2-B98E-E6F77A4A7F8C}"/>
    <cellStyle name="Comma [0] 5 2" xfId="27" xr:uid="{97B52E35-453E-4787-8CD3-90632C6190F1}"/>
    <cellStyle name="Comma [0] 5 3" xfId="20" xr:uid="{E2AFDF93-61CD-4C00-8E96-1CA31D48C34B}"/>
    <cellStyle name="Comma [0] 5 4" xfId="14" xr:uid="{243D1E0F-7B09-4D11-AAB7-6FC7A7AD5DCD}"/>
    <cellStyle name="Comma [0] 6" xfId="9" xr:uid="{9733D409-9D81-4A8B-9251-96F1042C62FC}"/>
    <cellStyle name="Comma [0] 6 2" xfId="24" xr:uid="{ED70470D-83C7-435F-BBAE-2AE779513388}"/>
    <cellStyle name="Comma [0] 7" xfId="18" xr:uid="{BDCC1491-79BA-40A3-A4BF-A7D5AC3CE33A}"/>
    <cellStyle name="Comma [0] 8" xfId="11" xr:uid="{CDAEB4C6-BCF1-49E8-BDA7-04016D79905B}"/>
    <cellStyle name="Comma [0] 9" xfId="68" xr:uid="{07A94EBF-D950-4806-9DA5-73FE7041B583}"/>
    <cellStyle name="Comma [0] 9 2" xfId="69" xr:uid="{6A8ECEA8-79E4-445C-AF6A-6E86E7BBDB6F}"/>
    <cellStyle name="Comma [0] 9 3" xfId="70" xr:uid="{3D3F774B-C083-4E85-9520-69C4D373F847}"/>
    <cellStyle name="Comma [0] 9 4" xfId="71" xr:uid="{F2A79396-1113-46DB-BC21-556A1702ACA8}"/>
    <cellStyle name="Comma [0] 9 5" xfId="72" xr:uid="{F20F0F9B-BD2F-48DD-8D06-DD4638742F65}"/>
    <cellStyle name="Comma [0] 9 6" xfId="73" xr:uid="{82AA317C-BFE1-48D8-8FB3-55B56D707D4F}"/>
    <cellStyle name="Comma [0] 9 6 2" xfId="74" xr:uid="{708691E8-AFED-4CB5-8045-2521B502C59C}"/>
    <cellStyle name="Comma [0] 9 7" xfId="75" xr:uid="{6EEECF8A-F660-4A02-8D1C-C274C7962FE3}"/>
    <cellStyle name="Comma [0] 9 7 2" xfId="76" xr:uid="{2AA33393-C6DD-4519-8B6D-19C9A269E2A1}"/>
    <cellStyle name="Comma [0] 9 7 3" xfId="77" xr:uid="{9C983AC8-6C2F-42B6-AE81-A0A17EAF283A}"/>
    <cellStyle name="Comma [0] 9 7 4" xfId="78" xr:uid="{B9C58313-B748-4E5D-B2E2-D83729409D5E}"/>
    <cellStyle name="Comma 10" xfId="131" xr:uid="{EB66819E-10F3-4D89-A0E1-4B769ED837D4}"/>
    <cellStyle name="Comma 2" xfId="23" xr:uid="{8AC5C429-D6F4-47A4-8500-22E35B67D3F4}"/>
    <cellStyle name="Comma 2 2" xfId="41" xr:uid="{D9501F41-9C94-4C2B-8C4C-64219CCF05DF}"/>
    <cellStyle name="Comma 2 2 2" xfId="81" xr:uid="{E3A24437-AE21-46D6-BDC6-4939FDC5A918}"/>
    <cellStyle name="Comma 2 2 2 2" xfId="82" xr:uid="{9F2D3675-81D9-4230-815C-CB299FDBA014}"/>
    <cellStyle name="Comma 2 2 2 2 2" xfId="83" xr:uid="{5D342900-B002-40F2-A270-81DC85F934AE}"/>
    <cellStyle name="Comma 2 2 2 3" xfId="84" xr:uid="{5C160813-3D20-49A6-865D-8F17F1D66828}"/>
    <cellStyle name="Comma 2 2 3" xfId="85" xr:uid="{84431A50-D922-4708-B533-391ACFF2A0F0}"/>
    <cellStyle name="Comma 2 2 4" xfId="80" xr:uid="{895B333B-6846-4A59-A113-1D5B434B9682}"/>
    <cellStyle name="Comma 2 3" xfId="86" xr:uid="{2B6CCDB7-6F32-49AA-B452-515079CD94F7}"/>
    <cellStyle name="Comma 2 4" xfId="87" xr:uid="{1D53B63E-DA0E-4D62-9FB6-1EDE5A5A5F33}"/>
    <cellStyle name="Comma 2 5" xfId="79" xr:uid="{AA973532-8779-4064-AF71-3E00659261C8}"/>
    <cellStyle name="Comma 3" xfId="26" xr:uid="{978E070E-E711-4AEF-827D-563C72C30E7B}"/>
    <cellStyle name="Comma 3 2" xfId="89" xr:uid="{611767FA-D7BC-49EC-BBE6-DD85AE412C3E}"/>
    <cellStyle name="Comma 3 3" xfId="88" xr:uid="{EEB2CBD6-4D7F-42D8-BC67-5D966417E86A}"/>
    <cellStyle name="Comma 4" xfId="17" xr:uid="{4E872619-AB96-429E-BF96-BFE1E14DF16F}"/>
    <cellStyle name="Comma 4 2" xfId="52" xr:uid="{76CF3AD6-BC54-4891-8AD2-EC78F059BA0D}"/>
    <cellStyle name="Comma 4 3" xfId="55" xr:uid="{6CD91148-F3DA-4D69-A1E3-4B166E80958E}"/>
    <cellStyle name="Comma 4 4" xfId="90" xr:uid="{8566B380-9359-46F9-8606-306F492412AC}"/>
    <cellStyle name="Comma 5" xfId="10" xr:uid="{82927B50-9BDE-4B6B-9523-EC1A324B5C8C}"/>
    <cellStyle name="Comma 5 2" xfId="54" xr:uid="{B3B7E108-58D4-4F87-B517-D09A413CC4BF}"/>
    <cellStyle name="Comma 5 3" xfId="57" xr:uid="{DC94A777-5716-49B1-96D9-221D7E2A9FC7}"/>
    <cellStyle name="Comma 5 4" xfId="91" xr:uid="{9E7BB996-5F49-4C37-BD79-43EC4938D1EE}"/>
    <cellStyle name="Comma 6" xfId="13" xr:uid="{E710105B-993E-4211-A4F0-C22C84B3FFFE}"/>
    <cellStyle name="Comma 6 2" xfId="92" xr:uid="{5B0D8DC1-8D6F-4512-AC4E-CF3BB82CF32C}"/>
    <cellStyle name="Comma 7" xfId="93" xr:uid="{9504E340-AEB9-4E84-A9F0-ECD20B4A79D2}"/>
    <cellStyle name="Comma 8" xfId="58" xr:uid="{4540A1BA-0283-4773-BFA9-4509DA91C735}"/>
    <cellStyle name="Comma 9" xfId="130" xr:uid="{77A219B0-E5DD-4FF8-AD7E-206AE5E9B57A}"/>
    <cellStyle name="Currency [0] 2" xfId="95" xr:uid="{31238E63-BD83-495E-A97C-A1DAD954B6C1}"/>
    <cellStyle name="Currency 2" xfId="96" xr:uid="{91F8BBE4-8C0A-4763-9FB9-FA762A0EC274}"/>
    <cellStyle name="Currency 3" xfId="97" xr:uid="{6075E45F-DF01-49A0-A1C1-B24DDD9A258B}"/>
    <cellStyle name="Currency 4" xfId="98" xr:uid="{E32B63D5-20E8-45F7-886C-38A10EFC5F45}"/>
    <cellStyle name="Currency 4 2 3" xfId="99" xr:uid="{5C21413D-EF98-4C0B-8B5A-5A522FB898B8}"/>
    <cellStyle name="Currency 5" xfId="100" xr:uid="{F6569676-6C8D-4800-AEFC-85FB2A2EAB41}"/>
    <cellStyle name="Currency 6" xfId="101" xr:uid="{92EC4B5E-B775-4E84-8388-1D2546D64D6F}"/>
    <cellStyle name="Currency 7" xfId="94" xr:uid="{8F05F40F-5A0B-4381-A1AE-12213B054FED}"/>
    <cellStyle name="Normal" xfId="0" builtinId="0"/>
    <cellStyle name="Normal 10" xfId="102" xr:uid="{D88F850F-0BE4-412B-A3B6-474C9B2E02B1}"/>
    <cellStyle name="Normal 10 1" xfId="38" xr:uid="{0701D7A3-9135-4DFF-8069-3B3AA68E9F3C}"/>
    <cellStyle name="Normal 12" xfId="46" xr:uid="{CDCFA7DC-9FDD-4A64-B6D0-27A38DC4756C}"/>
    <cellStyle name="Normal 176" xfId="51" xr:uid="{8A4A24D0-097D-47E8-A1AF-74CC8C142E10}"/>
    <cellStyle name="Normal 2" xfId="37" xr:uid="{67A6B9C5-DB9C-4DDF-9BCF-5BF0CC9028F9}"/>
    <cellStyle name="Normal 2 1" xfId="34" xr:uid="{6A136BB6-D2EC-419B-9313-9E4D64A86F55}"/>
    <cellStyle name="Normal 2 2" xfId="48" xr:uid="{AE865A55-E792-4164-8D18-022D81481F5F}"/>
    <cellStyle name="Normal 2 2 2" xfId="104" xr:uid="{0527A7C0-7AA0-49D4-B723-77FCCBC3AD77}"/>
    <cellStyle name="Normal 2 2 2 2" xfId="105" xr:uid="{9A7C74B0-9F16-4EE1-8856-F35F57A537C1}"/>
    <cellStyle name="Normal 2 2 2 2 2" xfId="106" xr:uid="{3496AE3C-9163-4D79-A64F-B800283C047B}"/>
    <cellStyle name="Normal 2 2 2 3" xfId="107" xr:uid="{550E5084-B2BE-4AAA-8A19-717EEECE5092}"/>
    <cellStyle name="Normal 2 2 3" xfId="108" xr:uid="{A53850AF-E26B-4F3D-AF41-BF95635187AB}"/>
    <cellStyle name="Normal 2 2 4" xfId="109" xr:uid="{D005099F-1C48-4A1B-B98E-517FA78D3202}"/>
    <cellStyle name="Normal 2 2 5" xfId="103" xr:uid="{ED69B2C5-F972-4CE0-B05C-FE0D48881BE0}"/>
    <cellStyle name="Normal 2 3" xfId="110" xr:uid="{84765E92-51D0-42CF-BDA5-A6EE011FDA5F}"/>
    <cellStyle name="Normal 2 3 2" xfId="111" xr:uid="{F0C3FAEA-3B63-4B7B-AA3D-126BC5468FEE}"/>
    <cellStyle name="Normal 2 3 2 2" xfId="112" xr:uid="{C24B5005-0FE9-43EF-A728-56E0A0BD61B2}"/>
    <cellStyle name="Normal 2 3 3" xfId="113" xr:uid="{66EE76DE-EE8A-4581-97C6-ACBEC6C87326}"/>
    <cellStyle name="Normal 2 4" xfId="114" xr:uid="{73866155-554E-40AF-8A51-EDFA7AEC9FF6}"/>
    <cellStyle name="Normal 3" xfId="2" xr:uid="{00000000-0005-0000-0000-000002000000}"/>
    <cellStyle name="Normal 3 2" xfId="6" xr:uid="{3AA74F9E-BF6D-4C8C-90C5-FACBB7F6952B}"/>
    <cellStyle name="Normal 3 2 2 2" xfId="45" xr:uid="{17538D19-0BA0-4BF2-BBA1-C6AF6659CE25}"/>
    <cellStyle name="Normal 3 3" xfId="116" xr:uid="{DC9442CC-2E4A-4B1F-8EC9-45027D3BDC41}"/>
    <cellStyle name="Normal 3 3 2" xfId="32" xr:uid="{F4DC5A2D-0250-473E-BDF2-D0EE97B735A4}"/>
    <cellStyle name="Normal 3 4" xfId="115" xr:uid="{0D4FF7A3-CA05-4B9F-825C-A748013F81B8}"/>
    <cellStyle name="Normal 33 2" xfId="35" xr:uid="{73DB2504-6E82-4D31-8F9F-122597B356CA}"/>
    <cellStyle name="Normal 4" xfId="5" xr:uid="{9C4C4820-42E4-4EA5-9FE7-BE21F0D6C42F}"/>
    <cellStyle name="Normal 4 2" xfId="118" xr:uid="{B8368B36-2388-4207-9D2D-5A6FB6DC717A}"/>
    <cellStyle name="Normal 4 2 2" xfId="42" xr:uid="{F87C2394-AF27-467A-A3AB-EA8B9695DA26}"/>
    <cellStyle name="Normal 4 3" xfId="117" xr:uid="{F945AB47-331B-4E18-9FEF-9C599C0428E1}"/>
    <cellStyle name="Normal 5" xfId="119" xr:uid="{CAC3A17F-6FC5-41EA-B2D2-85376AF35A1E}"/>
    <cellStyle name="Normal 5 2" xfId="49" xr:uid="{B415295E-52F9-46D7-A3B2-F2E571F6BA5E}"/>
    <cellStyle name="Normal 5 2 2" xfId="120" xr:uid="{852A413C-7E12-473C-A09C-8EE791505519}"/>
    <cellStyle name="Normal 7" xfId="47" xr:uid="{4326A90E-DBE5-4047-8887-EAE9E4A35A9E}"/>
    <cellStyle name="Normal 7 2" xfId="121" xr:uid="{736F9089-DC14-481F-B22C-C0432941B6FA}"/>
    <cellStyle name="Normal 9" xfId="122" xr:uid="{72D0C077-76D5-40E8-AC30-62DBDEEA1903}"/>
    <cellStyle name="Percent" xfId="8" builtinId="5"/>
    <cellStyle name="Percent 2" xfId="123" xr:uid="{F7E6E4F5-A0D8-4DB5-8354-D75E400E0B72}"/>
    <cellStyle name="Percent 2 2" xfId="124" xr:uid="{9352E761-292A-43E8-B6F8-E3FC69A77B29}"/>
    <cellStyle name="Percent 2 2 2" xfId="125" xr:uid="{F87E9AF3-6604-4039-9D38-7AE7D7B26994}"/>
    <cellStyle name="Percent 2 2 2 2" xfId="126" xr:uid="{CFE2A7F1-7B16-445B-B2D2-83F149CC1F0F}"/>
    <cellStyle name="Percent 2 2 3" xfId="127" xr:uid="{4575177A-ADA9-41FC-998D-35F1B0D32089}"/>
    <cellStyle name="Percent 2 3" xfId="128" xr:uid="{4E9D0F67-82AB-4F5D-A74F-077017E02067}"/>
    <cellStyle name="Percent 2 4" xfId="129" xr:uid="{FC03D7C8-917D-4ED7-8E1E-03B779F13AEF}"/>
    <cellStyle name="S7" xfId="31" xr:uid="{0B05D830-D7A1-46B9-818C-D7DA0493DAA2}"/>
  </cellStyles>
  <dxfs count="0"/>
  <tableStyles count="0" defaultTableStyle="TableStyleMedium2" defaultPivotStyle="PivotStyleLight16"/>
  <colors>
    <mruColors>
      <color rgb="FFE6D77A"/>
      <color rgb="FFFFABAB"/>
      <color rgb="FFD7A6F0"/>
      <color rgb="FFA6B3F4"/>
      <color rgb="FFFC92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externalLink" Target="externalLinks/externalLink43.xml"/><Relationship Id="rId84" Type="http://schemas.openxmlformats.org/officeDocument/2006/relationships/externalLink" Target="externalLinks/externalLink5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74" Type="http://schemas.openxmlformats.org/officeDocument/2006/relationships/externalLink" Target="externalLinks/externalLink49.xml"/><Relationship Id="rId79" Type="http://schemas.openxmlformats.org/officeDocument/2006/relationships/externalLink" Target="externalLinks/externalLink5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5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80" Type="http://schemas.openxmlformats.org/officeDocument/2006/relationships/externalLink" Target="externalLinks/externalLink55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70" Type="http://schemas.openxmlformats.org/officeDocument/2006/relationships/externalLink" Target="externalLinks/externalLink45.xml"/><Relationship Id="rId75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58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81" Type="http://schemas.openxmlformats.org/officeDocument/2006/relationships/externalLink" Target="externalLinks/externalLink56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5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8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5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9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0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2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5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2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4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6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9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3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5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C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etary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C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lance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itory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7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9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1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3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5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6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7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9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0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3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7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9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1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2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5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6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9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0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3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5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7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9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PT%20ISP\SQS\Hutang%20Piutang%20Usaha\Hutang%20Usaha%202021%20byr%202022\Hutang%20Afiliasi%20IAS\Piutang%20Afiliasi%20IAS%202022-Pakan.xls" TargetMode="External"/><Relationship Id="rId1" Type="http://schemas.openxmlformats.org/officeDocument/2006/relationships/externalLinkPath" Target="/Users/user/Downloads/RIA/KONSOLIDASI%20IAS-ISP/PT%20ISP/SQS/Hutang%20Piutang%20Usaha/Hutang%20Usaha%202021%20byr%202022/Hutang%20Afiliasi%20IAS/Piutang%20Afiliasi%20IAS%202022-Pak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A Addition"/>
      <sheetName val="POT-0601"/>
      <sheetName val="data06"/>
      <sheetName val="rincian 2"/>
      <sheetName val="TOKO"/>
      <sheetName val="TWM"/>
      <sheetName val="BLK"/>
      <sheetName val="Sheet1"/>
      <sheetName val="NURSAHID"/>
      <sheetName val="R-L"/>
      <sheetName val="NC"/>
      <sheetName val="Nermut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R"/>
      <sheetName val="DAF-ISI"/>
      <sheetName val="ULAS"/>
      <sheetName val="01"/>
      <sheetName val="01a"/>
      <sheetName val="11"/>
      <sheetName val="12"/>
      <sheetName val="31"/>
      <sheetName val="32"/>
      <sheetName val="44"/>
      <sheetName val="45"/>
      <sheetName val="46"/>
      <sheetName val="47"/>
      <sheetName val="48"/>
      <sheetName val="49"/>
      <sheetName val="50"/>
      <sheetName val="51"/>
      <sheetName val="52"/>
      <sheetName val="POT-0601"/>
      <sheetName val="data06"/>
      <sheetName val="rincian 2"/>
      <sheetName val="TOKO"/>
      <sheetName val="TWM"/>
      <sheetName val="BLK"/>
      <sheetName val="Sheet1"/>
      <sheetName val="NURSAHI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  <sheetName val="POT-0601"/>
      <sheetName val="data06"/>
      <sheetName val="rincian 2"/>
      <sheetName val="TOKO"/>
      <sheetName val="TWM"/>
      <sheetName val="BLK"/>
      <sheetName val="Sheet1"/>
      <sheetName val="NURSAHID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Sheet2"/>
      <sheetName val="summary"/>
      <sheetName val="ANALYZE"/>
      <sheetName val="car"/>
      <sheetName val="POT-0601"/>
      <sheetName val="data06"/>
      <sheetName val="rincian 2"/>
      <sheetName val="TOKO"/>
      <sheetName val="TWM"/>
      <sheetName val="BLK"/>
      <sheetName val="Sheet1"/>
      <sheetName val="NURSA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PT.SIP (2)"/>
      <sheetName val="aaf"/>
      <sheetName val="TONI"/>
      <sheetName val="SIP"/>
      <sheetName val="GJ-OA SMART 08"/>
      <sheetName val="coa"/>
      <sheetName val="ADJ"/>
      <sheetName val="neracasaldo"/>
      <sheetName val="L-R"/>
      <sheetName val="B-S"/>
      <sheetName val="adj LD &amp; aset audit"/>
      <sheetName val="B-S (2)"/>
      <sheetName val="RINCIAN NERACA"/>
      <sheetName val="BY PENJUALAN"/>
      <sheetName val="BY ADM"/>
      <sheetName val="PDPTN &amp; BIAYA EKSPEDISI"/>
      <sheetName val="PDPTN &amp; BY LAIN-LAIN"/>
      <sheetName val="PTKP"/>
      <sheetName val="PPh"/>
      <sheetName val="PPh Jan"/>
      <sheetName val="PPh Feb"/>
      <sheetName val="PPh Mar"/>
      <sheetName val="PPh April"/>
      <sheetName val="PPh Mei"/>
      <sheetName val="PPh Juni"/>
      <sheetName val="PPh Juli"/>
      <sheetName val="PPh Agst"/>
      <sheetName val="PPh Spt"/>
      <sheetName val="PPh Okt"/>
      <sheetName val="PPh Nop"/>
      <sheetName val="PPh Des"/>
      <sheetName val="gaji&amp;Tunjang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A Addition"/>
      <sheetName val="Cover"/>
      <sheetName val="Daftar Isi"/>
      <sheetName val="NERACA"/>
      <sheetName val="SHU"/>
      <sheetName val="KEKAYAAN"/>
      <sheetName val="ARUS KAS"/>
      <sheetName val="info manajemen"/>
      <sheetName val="info auditor"/>
      <sheetName val="pos LK"/>
      <sheetName val="Lampiran"/>
      <sheetName val="AT Lampung"/>
      <sheetName val="AT Palembang"/>
      <sheetName val="AT Bengkulu"/>
      <sheetName val="NR LMPUNG"/>
      <sheetName val="NR PER WIL1"/>
      <sheetName val="NR WIL2"/>
      <sheetName val="NR WIL3"/>
      <sheetName val="NR WIL4"/>
      <sheetName val="NR WIL5"/>
      <sheetName val="NR Penj L 1"/>
      <sheetName val="NR Penj L 2"/>
      <sheetName val="NR Penj L 3"/>
      <sheetName val="NR Penj L 4"/>
      <sheetName val="NR Penj L 5"/>
      <sheetName val="SHU LMPUNG"/>
      <sheetName val="SHU LPG1"/>
      <sheetName val="SHU LPG2"/>
      <sheetName val="SHU LPG3"/>
      <sheetName val="SHU LPG4"/>
      <sheetName val="Sheet1"/>
      <sheetName val="SHU P1"/>
      <sheetName val="SHU P2"/>
      <sheetName val="SHU P3"/>
      <sheetName val="SHU P4"/>
      <sheetName val="NR SUMSEL"/>
      <sheetName val="NR PL1"/>
      <sheetName val="NR PL2"/>
      <sheetName val="NR PL3"/>
      <sheetName val="NR PL4"/>
      <sheetName val="NR PL5"/>
      <sheetName val="PNJLSN NR1"/>
      <sheetName val="NR2"/>
      <sheetName val="NR3"/>
      <sheetName val="NR4"/>
      <sheetName val="NR5"/>
      <sheetName val="SHU SUMSEL"/>
      <sheetName val="SHU PL1"/>
      <sheetName val="SHU PL2"/>
      <sheetName val="SHU PL3"/>
      <sheetName val="SHU PL4"/>
      <sheetName val="PL SHU"/>
      <sheetName val="PL SHU1"/>
      <sheetName val="PL SHU2"/>
      <sheetName val="PL SHU3"/>
      <sheetName val="PL SHU4"/>
      <sheetName val="NR BENGKLU"/>
      <sheetName val="NR BNGKL1"/>
      <sheetName val="NR Penj BNGKL 1"/>
      <sheetName val="SHU BNGKLU"/>
      <sheetName val="SHU BKL1"/>
      <sheetName val="Sheet3"/>
      <sheetName val="pjls SHU bkl"/>
    </sheetNames>
    <sheetDataSet>
      <sheetData sheetId="0"/>
      <sheetData sheetId="1"/>
      <sheetData sheetId="2"/>
      <sheetData sheetId="3"/>
      <sheetData sheetId="4">
        <row r="16">
          <cell r="D16">
            <v>-110574264309.01801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grafrev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  <sheetName val="% Lbr vs 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  <sheetName val="PK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PT.SIP (2)"/>
      <sheetName val="aaf"/>
      <sheetName val="TONI"/>
      <sheetName val="SIP"/>
      <sheetName val="GJ-OA SMART 08"/>
      <sheetName val="coa"/>
      <sheetName val="ADJ"/>
      <sheetName val="neracasaldo"/>
      <sheetName val="L-R"/>
      <sheetName val="B-S"/>
      <sheetName val="adj LD &amp; aset audit"/>
      <sheetName val="B-S (2)"/>
      <sheetName val="RINCIAN NERACA"/>
      <sheetName val="BY PENJUALAN"/>
      <sheetName val="BY ADM"/>
      <sheetName val="PDPTN &amp; BIAYA EKSPEDISI"/>
      <sheetName val="PDPTN &amp; BY LAIN-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KKP _2006 _INTERN _Final"/>
      <sheetName val="CLK_ANUGERAH_06_Final"/>
      <sheetName val="NERACA_ANUGERAH _06_Final"/>
      <sheetName val="LABA RUGI_ANUGERAH_06_Final"/>
      <sheetName val="Statement Of Capital_06 FINAL"/>
      <sheetName val="JK ANUGERAH_2006_Final"/>
      <sheetName val="Arus Kas_ANUGERAH_06_Final"/>
      <sheetName val="DAT_ANUGERAH_2006_Final"/>
      <sheetName val="Persed. Obat_Final"/>
      <sheetName val="PENDAPATAN PERAWATAN_06_final"/>
      <sheetName val="KKP _ANUGERAH_2006 _INTERN"/>
      <sheetName val="PENDPTN PRWTN_PER RUANGAN_06"/>
      <sheetName val="DAFTAR PENDAPATAN_ANUGERAH 06"/>
      <sheetName val="Lam"/>
      <sheetName val="COVER"/>
      <sheetName val="Daftar Hutang (2)"/>
      <sheetName val="Pasien via Bank_ANUGERAH_06"/>
      <sheetName val="Tanah_ANUGERAH_06"/>
      <sheetName val="Daftar_AT_Lain-Lain_Final"/>
      <sheetName val="Rawat_Inap_Final"/>
      <sheetName val="Rawat_Jalan_Final"/>
      <sheetName val="Jurnal Koreksi_04_Final"/>
      <sheetName val="CF_Oprasi"/>
      <sheetName val="CF_Pra_Oprasi"/>
      <sheetName val="CF_Pra_Oprasi_Asli"/>
      <sheetName val="cf"/>
      <sheetName val="LR_Fiskal"/>
      <sheetName val="LR_Komersial"/>
      <sheetName val="Daftar_Aktiva_Total"/>
      <sheetName val="Cash_Flow"/>
      <sheetName val="Rawat_Inap_Asli"/>
      <sheetName val="CF_Oprasi_Asli"/>
      <sheetName val="Perhit_Persd akhir"/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BBM-03"/>
      <sheetName val="BBM-03 (2)"/>
      <sheetName val="F"/>
      <sheetName val="WBS-1"/>
      <sheetName val="WBS-2"/>
      <sheetName val="WPL"/>
      <sheetName val="PAJE&amp;CAJE"/>
      <sheetName val="Cash Flow"/>
      <sheetName val="Taxes"/>
      <sheetName val="Taxes-111"/>
      <sheetName val="Taxes (2)"/>
      <sheetName val="Cash"/>
      <sheetName val="AR-Trade"/>
      <sheetName val="AR-Employees"/>
      <sheetName val="AR-Other"/>
      <sheetName val="Claim for tax refund"/>
      <sheetName val="Prepaid-Exp"/>
      <sheetName val="Prepaid-Tax"/>
      <sheetName val="Defered Tax Assets"/>
      <sheetName val="Investment"/>
      <sheetName val="FA"/>
      <sheetName val="Refundable-Dep"/>
      <sheetName val="MI for Disp"/>
      <sheetName val="AP Yimm"/>
      <sheetName val="Other payable"/>
      <sheetName val="LeasePayable"/>
      <sheetName val="TaxesPayable"/>
      <sheetName val="Est.Liab.Empl.Ben"/>
      <sheetName val="Accrued Exp"/>
      <sheetName val="CS"/>
      <sheetName val="Misc Dep Rec"/>
      <sheetName val="Sales"/>
      <sheetName val="OpEx"/>
      <sheetName val="OtherIncome"/>
      <sheetName val="Other Expense"/>
      <sheetName val="OtherIncome (Expense)-report"/>
      <sheetName val="Notes"/>
      <sheetName val="Perhit, PPh 21 bulnan 07"/>
      <sheetName val="TB-WP"/>
      <sheetName val="FS"/>
      <sheetName val="Checker"/>
      <sheetName val="0000"/>
      <sheetName val="0000000"/>
      <sheetName val="00000000"/>
      <sheetName val="000000000"/>
      <sheetName val="Cross Check data Aktuari-PNP"/>
      <sheetName val="P-1.1"/>
      <sheetName val="LK 2002"/>
      <sheetName val="Movement of Hutang Leasing"/>
      <sheetName val="PAJE-CAJE-PRJE"/>
      <sheetName val="BS-PL Komersil and Fiskal"/>
      <sheetName val="Deferred Tax Calculation"/>
      <sheetName val="List of Disposal"/>
      <sheetName val="Predictive Depreciation Exp."/>
      <sheetName val="K-Mutation PNP"/>
      <sheetName val="FA Fiscal 2003"/>
      <sheetName val="AR Subsequent Collection"/>
      <sheetName val="AP Subsequent Payment"/>
      <sheetName val="C"/>
      <sheetName val="CC"/>
      <sheetName val="D"/>
      <sheetName val="DD"/>
      <sheetName val="E"/>
      <sheetName val="E-3"/>
      <sheetName val="G"/>
      <sheetName val="G-1"/>
      <sheetName val="G-2"/>
      <sheetName val="G-3"/>
      <sheetName val="I"/>
      <sheetName val="L"/>
      <sheetName val="J.1"/>
      <sheetName val="K"/>
      <sheetName val="M"/>
      <sheetName val="N"/>
      <sheetName val="N-1"/>
      <sheetName val="Pred. by APBMI N -1-1"/>
      <sheetName val="O"/>
      <sheetName val="P-1"/>
      <sheetName val="P-2"/>
      <sheetName val="Q"/>
      <sheetName val="R"/>
      <sheetName val="Perhit. def tax R-1"/>
      <sheetName val="T"/>
      <sheetName val="TT"/>
      <sheetName val="U-1"/>
      <sheetName val="U-2"/>
      <sheetName val="U-3"/>
      <sheetName val="U-4"/>
      <sheetName val="U-5"/>
      <sheetName val="Materiality and TE"/>
      <sheetName val="Fiskal"/>
      <sheetName val="CF Calculation"/>
      <sheetName val="Reclassification"/>
      <sheetName val="Hut-Piut Afiliasi"/>
      <sheetName val="NAV000"/>
      <sheetName val="pldt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Materiality &amp; TE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E-1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EE"/>
      <sheetName val="F-1"/>
      <sheetName val="Stock take result F-1.1"/>
      <sheetName val="H"/>
      <sheetName val="II"/>
      <sheetName val="J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trial K-3"/>
      <sheetName val="K-1"/>
      <sheetName val="NN-3"/>
      <sheetName val="N-4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TT-1"/>
      <sheetName val="T-1"/>
      <sheetName val="Penjelasan Net"/>
      <sheetName val="U-4.1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REPORT"/>
      <sheetName val="TOTAL"/>
      <sheetName val="HP Bangunan"/>
      <sheetName val="HP Inventaris"/>
      <sheetName val="HP Kendaraan"/>
      <sheetName val="Ak. Peny. Bangunan"/>
      <sheetName val="Ak. Peny. Inventaris"/>
      <sheetName val="Ak. Peny. Kendaraan"/>
      <sheetName val="Sheet3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CAR"/>
      <sheetName val="NRC"/>
      <sheetName val="PL"/>
      <sheetName val="EQ"/>
      <sheetName val="DEFFERED TAX"/>
      <sheetName val="AYD"/>
      <sheetName val="KYD Terkait"/>
      <sheetName val="WS"/>
      <sheetName val="CAJE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tickmark"/>
      <sheetName val="K1"/>
      <sheetName val="rekap report"/>
      <sheetName val="K2"/>
      <sheetName val="K3"/>
      <sheetName val="K4"/>
      <sheetName val="K5"/>
      <sheetName val="K6"/>
      <sheetName val="K7"/>
      <sheetName val="K8"/>
      <sheetName val="K8.1"/>
      <sheetName val="K9"/>
      <sheetName val="K10"/>
      <sheetName val="K11"/>
      <sheetName val="K11.1"/>
      <sheetName val="budget per type"/>
      <sheetName val="A1_ Income Statement Projection"/>
      <sheetName val="PjkTgghn"/>
      <sheetName val="Rekap"/>
      <sheetName val="Lamp_AT"/>
      <sheetName val="AT &amp; Depr (GL)"/>
      <sheetName val="Sst02BBng&lt;95 (Dep123)"/>
      <sheetName val="Sst02Bng&lt;95"/>
      <sheetName val="Sst02&gt;=95 (Dep123)"/>
      <sheetName val="Sst02&gt;=95 (Dep456)"/>
      <sheetName val="Sst02Bng&gt;=95"/>
      <sheetName val="Car_Jkt&gt;=2003"/>
      <sheetName val="Car_Ckp&gt;=2003"/>
      <sheetName val="dbgFIRNA"/>
      <sheetName val="adj"/>
      <sheetName val="DBG"/>
      <sheetName val="Planning Materiality "/>
      <sheetName val="Subsequent event"/>
      <sheetName val="WBS1"/>
      <sheetName val="WBS2"/>
      <sheetName val="WPL Detail"/>
      <sheetName val="CashFlow"/>
      <sheetName val="CashFlow (2)"/>
      <sheetName val="Deferred"/>
      <sheetName val="SPT 1721"/>
      <sheetName val="PAJE-PRJE-07"/>
      <sheetName val="CAJE-CRJE-07"/>
      <sheetName val="Tax"/>
      <sheetName val="SKP"/>
      <sheetName val="transaksi Istimewa"/>
      <sheetName val="Aging"/>
      <sheetName val="Test of detail - Purchase"/>
      <sheetName val="Jaminan"/>
      <sheetName val="ass kend."/>
      <sheetName val="ass_ stock_gdg"/>
      <sheetName val="temuan"/>
      <sheetName val="pending"/>
      <sheetName val="3"/>
      <sheetName val="4"/>
      <sheetName val="5"/>
      <sheetName val="7"/>
      <sheetName val="8"/>
      <sheetName val="9"/>
      <sheetName val="10"/>
      <sheetName val="11"/>
      <sheetName val="12"/>
      <sheetName val="13"/>
      <sheetName val="14"/>
      <sheetName val="14 (2)"/>
      <sheetName val="15"/>
      <sheetName val="16"/>
      <sheetName val="17"/>
      <sheetName val="18"/>
      <sheetName val="19"/>
      <sheetName val="TB_WP"/>
      <sheetName val="Rates"/>
      <sheetName val="IS"/>
      <sheetName val="BS"/>
      <sheetName val="Engagement Memorandum"/>
      <sheetName val="NOTE"/>
      <sheetName val="FISCOM"/>
      <sheetName val="ADJ'09"/>
      <sheetName val="tb_01122009"/>
      <sheetName val="Persediaan"/>
      <sheetName val="Aset Tetap"/>
      <sheetName val="Fixed Asset"/>
      <sheetName val="Vouch Fixed Asset"/>
      <sheetName val="Penjualan"/>
      <sheetName val="Sales_2009"/>
      <sheetName val="Harga Pokok"/>
      <sheetName val="HPP!"/>
      <sheetName val="Conf. Control"/>
      <sheetName val="PPN"/>
      <sheetName val="PPH 21"/>
      <sheetName val="PPH 23"/>
      <sheetName val="PPh 4 (2) Penjualan"/>
      <sheetName val="PPh 4 (2)"/>
      <sheetName val="Sheet4"/>
      <sheetName val="Petunjuk"/>
      <sheetName val="Summary-Customer"/>
      <sheetName val="LTLGroup-Trans"/>
      <sheetName val="LTLGroup-Rent"/>
      <sheetName val="LTLGroup-SD"/>
      <sheetName val="LTLGroup-Oth"/>
      <sheetName val="NONLTL-Trans"/>
      <sheetName val="NONLTL-Rent"/>
      <sheetName val="NONLTL-SD"/>
      <sheetName val="NONLTL-OTH"/>
      <sheetName val="PL monthly analysis"/>
      <sheetName val="EM"/>
      <sheetName val="NERACA"/>
      <sheetName val="LABA-RUGI"/>
      <sheetName val="RE"/>
      <sheetName val="PRJE"/>
      <sheetName val="ARUS-KAS"/>
      <sheetName val="TAX 1"/>
      <sheetName val="Kas &amp; Setara Kas"/>
      <sheetName val="Piutang Dagang"/>
      <sheetName val="Piutang Lain-lain"/>
      <sheetName val="Deposito"/>
      <sheetName val="Piutang Pemborong"/>
      <sheetName val="Pinjaman"/>
      <sheetName val="Persekot"/>
      <sheetName val="FA Komersial"/>
      <sheetName val="HGU-09 e SPT X"/>
      <sheetName val="REKAP-FIS09 HGU TERPISAH S.D'09"/>
      <sheetName val="Hutang Dagang"/>
      <sheetName val="Hutang Lain-lain"/>
      <sheetName val="Hutang Pajak"/>
      <sheetName val="Hutang Gaji"/>
      <sheetName val="Uang Muka Pelanggan."/>
      <sheetName val="Accrued"/>
      <sheetName val="Biaya"/>
      <sheetName val="Pendapatan"/>
      <sheetName val="Selisih kurs"/>
      <sheetName val="PPh 22"/>
      <sheetName val="Preapid 23"/>
      <sheetName val="PPh 21 Medan"/>
      <sheetName val="deviden"/>
      <sheetName val="Asuransi"/>
      <sheetName val="Mutasi FA"/>
      <sheetName val="Pndp Bunga"/>
      <sheetName val="Barang impor"/>
      <sheetName val="PPN (2)"/>
      <sheetName val="IF add"/>
      <sheetName val="BARANG-GUDANG"/>
      <sheetName val="DAT-1"/>
      <sheetName val="DAT-2"/>
      <sheetName val="DAT-3"/>
      <sheetName val="DAT-4"/>
      <sheetName val="DAT-5"/>
      <sheetName val="ARPs 1"/>
      <sheetName val="ARPs 2"/>
      <sheetName val="Ket"/>
      <sheetName val="AR lain"/>
      <sheetName val="Blog"/>
      <sheetName val="Land"/>
      <sheetName val="DBase"/>
      <sheetName val="PPh Final"/>
      <sheetName val="HPS"/>
      <sheetName val="Uang Muka&amp;BYDM"/>
      <sheetName val="Aktiva Tetap"/>
      <sheetName val="Garansi"/>
      <sheetName val="Proyek Kemitraan Kokar"/>
      <sheetName val="Beban Pokok Penjualan"/>
      <sheetName val="Operating Exp"/>
      <sheetName val="Beban Lain-Lain"/>
      <sheetName val="TAX Computation"/>
      <sheetName val="Cut Off test"/>
      <sheetName val="TOC - Sales"/>
      <sheetName val="TOC - Purchases"/>
      <sheetName val="TOT - operating expenses"/>
      <sheetName val="TOT - Fixed Asset Addition"/>
      <sheetName val="Rekap Deposito"/>
      <sheetName val="REKAP PENJUALAN CANGKANG DAN MI"/>
      <sheetName val="REKAP PENJUALAN INTI DAN MINYAK"/>
      <sheetName val="PPH 21 Jakarta"/>
      <sheetName val="PPH 25 Jakarta"/>
      <sheetName val="PPh 23 Jakarta"/>
      <sheetName val="PPh 23 Medan"/>
      <sheetName val="PPh 4(2) Medan"/>
      <sheetName val="Sheet8"/>
      <sheetName val="Sheet2"/>
      <sheetName val="REKAP'09 Siddik"/>
      <sheetName val="Jakarta"/>
      <sheetName val="Medan"/>
      <sheetName val="Telda"/>
      <sheetName val="Kalsa"/>
      <sheetName val="Kalda"/>
      <sheetName val="Kokar"/>
      <sheetName val="FD-GAP09"/>
      <sheetName val="GAP09-BD"/>
      <sheetName val="Introduction"/>
      <sheetName val="Income Statement"/>
      <sheetName val="Balance Sheet"/>
      <sheetName val="Operating Cycle"/>
      <sheetName val="DuPont Analysis"/>
      <sheetName val="Sources &amp; Uses"/>
      <sheetName val="Altman Z"/>
      <sheetName val="Summary"/>
      <sheetName val="RASIO"/>
      <sheetName val="ISK 01-03"/>
      <sheetName val="ISK 01-03 (2)"/>
      <sheetName val="RATIO NEW (2)"/>
      <sheetName val="dpt 2002 Kntrk Mjn"/>
      <sheetName val="dpt Lap.UnAudited Des'02"/>
      <sheetName val="dpt 2003 Kntrk Mjn"/>
      <sheetName val="dpt 2003 RKAP"/>
      <sheetName val="Altman Z Score"/>
      <sheetName val="Finance Ratio"/>
      <sheetName val="dpt 02 kntrk man."/>
      <sheetName val="dpt 02 un-audited"/>
      <sheetName val="dpt RKAP 2003"/>
      <sheetName val="REVISI 2003 (Novetel)"/>
      <sheetName val="RASIO (2)"/>
      <sheetName val="IS Komparatif"/>
      <sheetName val="LABARUGI"/>
      <sheetName val="SB0103 (3)"/>
      <sheetName val="GAB JUL0102"/>
      <sheetName val="Sheet1 (2)"/>
      <sheetName val="PLTELKOM"/>
      <sheetName val="ALL-FA"/>
      <sheetName val="Instructions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K"/>
      <sheetName val="CMA Addition"/>
      <sheetName val="XXXXXX"/>
      <sheetName val="XXXX"/>
      <sheetName val="1000"/>
      <sheetName val="lb-rugi"/>
      <sheetName val="ADJ 2003"/>
      <sheetName val="worksheet"/>
      <sheetName val="nrcaktv"/>
      <sheetName val="Neraca psv"/>
      <sheetName val="laba rugi"/>
      <sheetName val="Equitas"/>
      <sheetName val="ArusKas"/>
      <sheetName val="PABRIK (2)"/>
      <sheetName val="Jurnal"/>
      <sheetName val="NM"/>
      <sheetName val="BY8"/>
      <sheetName val="BY6"/>
      <sheetName val="ahp"/>
      <sheetName val="LMK"/>
      <sheetName val="LR"/>
      <sheetName val="gby"/>
      <sheetName val="gpp"/>
      <sheetName val="grl"/>
      <sheetName val="gpen"/>
      <sheetName val="AT"/>
      <sheetName val="INV"/>
      <sheetName val="LPDSH"/>
      <sheetName val="MARGM"/>
      <sheetName val="KBLN"/>
      <sheetName val="piut.kry&amp;phkIII"/>
      <sheetName val="UM. PEMB"/>
      <sheetName val="R-L"/>
      <sheetName val="XL4Test5"/>
      <sheetName val="STOCK DO (3)"/>
      <sheetName val="STOCK DO (2)"/>
      <sheetName val="STOCK DO"/>
      <sheetName val="XXXXX"/>
      <sheetName val="XXXX0"/>
      <sheetName val="XXXX1"/>
      <sheetName val="00000"/>
      <sheetName val="XXXX2"/>
      <sheetName val="XXXX3"/>
      <sheetName val="Rugi"/>
      <sheetName val="Kashplo"/>
      <sheetName val="nrc."/>
      <sheetName val="wS sAP"/>
      <sheetName val="Piutang"/>
      <sheetName val="Hutang Usaha."/>
      <sheetName val="Hutang Usaha"/>
      <sheetName val="BLS"/>
      <sheetName val="DFTR KUANTITAS"/>
      <sheetName val="DFTR KUANTITAS (2)"/>
      <sheetName val="Harga"/>
      <sheetName val="MAT"/>
      <sheetName val="REKAP MAT"/>
      <sheetName val="SUB KON"/>
      <sheetName val="SCHE"/>
      <sheetName val="SUBKON"/>
      <sheetName val="Informasi-oke"/>
      <sheetName val="Mobilisasi (2)"/>
      <sheetName val="RUTIN"/>
      <sheetName val="STEEL"/>
      <sheetName val="hbaup"/>
      <sheetName val="DIV.2"/>
      <sheetName val="Dft MPU"/>
      <sheetName val="analat"/>
      <sheetName val="DIV.3"/>
      <sheetName val="DIV.4"/>
      <sheetName val="DIV.5"/>
      <sheetName val="DIV.6"/>
      <sheetName val="DIV.7 Batch"/>
      <sheetName val="DIV.7"/>
      <sheetName val="Besi"/>
      <sheetName val="7.9"/>
      <sheetName val="8.4 (1)"/>
      <sheetName val="8.1. (5)"/>
      <sheetName val="agr hls ksr"/>
      <sheetName val="A"/>
      <sheetName val="LPA"/>
      <sheetName val="LPB"/>
      <sheetName val="timb biasa"/>
      <sheetName val="NP"/>
      <sheetName val="Additional"/>
      <sheetName val="Gal_Cold Milling"/>
      <sheetName val="Gal_Jack Hammer"/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SHEET6"/>
      <sheetName val="Informasi"/>
      <sheetName val="Post"/>
      <sheetName val="RAP"/>
      <sheetName val="BILL (2)"/>
      <sheetName val="BILL"/>
      <sheetName val="Time"/>
      <sheetName val="Daft.NP"/>
      <sheetName val="Basic Price"/>
      <sheetName val="Div1"/>
      <sheetName val="Div3"/>
      <sheetName val="Div7"/>
      <sheetName val="Peralatan"/>
      <sheetName val="Kap.Alat"/>
      <sheetName val="Analisa Quarry"/>
      <sheetName val="sub "/>
      <sheetName val="asli"/>
      <sheetName val="kol"/>
      <sheetName val="Labul"/>
      <sheetName val="Sandi"/>
      <sheetName val="Denda"/>
      <sheetName val="konfirm"/>
      <sheetName val="perhit hrg tanah"/>
      <sheetName val="HPP"/>
      <sheetName val="Hutang Tanah up date"/>
      <sheetName val="Kop-97"/>
      <sheetName val="Dafis"/>
      <sheetName val="Bab"/>
      <sheetName val="Opini"/>
      <sheetName val="Ongko"/>
      <sheetName val="COST+EXP"/>
      <sheetName val="Annual-Plan-1998-A-US$-Rupiah-F"/>
      <sheetName val="master supplier"/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MENU"/>
      <sheetName val="KASUS1"/>
      <sheetName val="LATIH1"/>
      <sheetName val="KASUS2"/>
      <sheetName val="LATIH2"/>
      <sheetName val="KASUS3"/>
      <sheetName val="LATIH3"/>
      <sheetName val="KASUS4"/>
      <sheetName val="LATIH4"/>
      <sheetName val="KASUS5"/>
      <sheetName val="LATIH5"/>
      <sheetName val="KASUS6"/>
      <sheetName val="LATIH6"/>
      <sheetName val="Srt-Perm"/>
      <sheetName val="MPK1"/>
      <sheetName val="MPK2"/>
      <sheetName val="MPK3"/>
      <sheetName val="Jadual Angsuran"/>
      <sheetName val="SKK "/>
      <sheetName val="PPK"/>
      <sheetName val="Sirkulasi PAK"/>
      <sheetName val="Uji Kepatuhan"/>
      <sheetName val="Surat Pernyataan"/>
      <sheetName val="SRT-PENG"/>
      <sheetName val="PP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SKK-PERP "/>
      <sheetName val="FRP Tab"/>
      <sheetName val="FRP BCA"/>
      <sheetName val="FRP Ta"/>
      <sheetName val="FRP"/>
      <sheetName val="FAK"/>
      <sheetName val="RL-1"/>
      <sheetName val="NRC-1"/>
      <sheetName val="siap"/>
      <sheetName val="RL-2"/>
      <sheetName val="NRC-2"/>
      <sheetName val="RL-sem"/>
      <sheetName val="NRC-sem"/>
      <sheetName val="Call"/>
      <sheetName val="Call (2)"/>
      <sheetName val="Call Tri &amp; Sem"/>
      <sheetName val="FPHP"/>
      <sheetName val="FPHP Sem"/>
      <sheetName val="lampJMN"/>
      <sheetName val="Struktur KMK"/>
      <sheetName val="Struktur KMK tarik jaminan"/>
      <sheetName val="SKK tarik jaminan"/>
      <sheetName val="SKK"/>
      <sheetName val="Surat Ke Cabang"/>
      <sheetName val="FPJ"/>
      <sheetName val="FPJ Sem"/>
      <sheetName val="FPJ tarik jaminan"/>
      <sheetName val="FPS"/>
      <sheetName val="FPS BARU"/>
      <sheetName val="Memo 1"/>
      <sheetName val="Memo 2"/>
      <sheetName val="RevPAK"/>
      <sheetName val="MPJ"/>
      <sheetName val="Data MPJ"/>
      <sheetName val="MPJ-2"/>
      <sheetName val="MPJ3"/>
      <sheetName val="FRH"/>
      <sheetName val="DATA"/>
      <sheetName val="hal1"/>
      <sheetName val="hal2"/>
      <sheetName val="hal3"/>
      <sheetName val="hal4"/>
      <sheetName val="hal5"/>
      <sheetName val="hal6"/>
      <sheetName val="hal"/>
      <sheetName val="KLASF"/>
      <sheetName val="MhnBG"/>
      <sheetName val="Srt Pernyataan"/>
      <sheetName val="hal-1"/>
      <sheetName val="hal-2"/>
      <sheetName val="hal-3"/>
      <sheetName val="hal-4"/>
      <sheetName val="hal-5 &amp; 6 &amp; 7"/>
      <sheetName val="riwayat"/>
      <sheetName val="verivikasi"/>
      <sheetName val="call tri"/>
      <sheetName val="LKS"/>
      <sheetName val="S-Mohon"/>
      <sheetName val="TAKSASI (2)"/>
      <sheetName val="PLOTTING"/>
      <sheetName val="Gbr-2"/>
      <sheetName val="CONTROL"/>
      <sheetName val="KeuFKS"/>
      <sheetName val="116c"/>
      <sheetName val="pak03"/>
      <sheetName val="FKS"/>
      <sheetName val="MPK(PAK01.C)"/>
      <sheetName val="c-memo"/>
      <sheetName val="Mak"/>
      <sheetName val="BAP1"/>
      <sheetName val="FBA"/>
      <sheetName val="119C"/>
      <sheetName val="mek"/>
      <sheetName val="PERMOHONAN"/>
      <sheetName val="FIP"/>
      <sheetName val="117"/>
      <sheetName val="guyan"/>
      <sheetName val="TAKSASI"/>
      <sheetName val="stock"/>
      <sheetName val="pak-03"/>
      <sheetName val="pak-03 (2)"/>
      <sheetName val="PAK01-1"/>
      <sheetName val="PAK01-2"/>
      <sheetName val="PAK01-2 (2)"/>
      <sheetName val="PAK01-3 (2)"/>
      <sheetName val="PAK01-3"/>
      <sheetName val="PAK01-4"/>
      <sheetName val="PAK01-4 (2)"/>
      <sheetName val="PAK01-5"/>
      <sheetName val="PAK05-1B"/>
      <sheetName val="PAK01-6"/>
      <sheetName val="PAK02-1"/>
      <sheetName val="PAK02-1 (2)"/>
      <sheetName val="PAK02-2"/>
      <sheetName val="PAK02-2 (2)"/>
      <sheetName val="PAK02-3"/>
      <sheetName val="PAK02-3 (2)"/>
      <sheetName val="PAK02-4"/>
      <sheetName val="PAK02-4 (2)"/>
      <sheetName val="PAK-05"/>
      <sheetName val="PAK05-1"/>
      <sheetName val="FBA (2)"/>
      <sheetName val="FRP-2"/>
      <sheetName val="FRP-1"/>
      <sheetName val="FRP-3"/>
      <sheetName val="CALL1"/>
      <sheetName val="call-s"/>
      <sheetName val="cf-1"/>
      <sheetName val="bni-136c"/>
      <sheetName val="jadwal-angs"/>
      <sheetName val="jadw-ang"/>
      <sheetName val="check-PAK"/>
      <sheetName val="pp-bcm"/>
      <sheetName val="FIP02"/>
      <sheetName val="MPK"/>
      <sheetName val="MPK-2"/>
      <sheetName val="NRC2"/>
      <sheetName val="FKS04"/>
      <sheetName val="FAK03"/>
      <sheetName val="Plott1"/>
      <sheetName val="Plott2"/>
      <sheetName val="Plott3"/>
      <sheetName val="GB-Plott2"/>
      <sheetName val="BNI-105"/>
      <sheetName val="CALL 1"/>
      <sheetName val="CALL2"/>
      <sheetName val="CALL3"/>
      <sheetName val="117C"/>
      <sheetName val="106C"/>
      <sheetName val="135C"/>
      <sheetName val="NEG02"/>
      <sheetName val="Plott"/>
      <sheetName val="GB-Plott1"/>
      <sheetName val="FCM1"/>
      <sheetName val="FCM2"/>
      <sheetName val="FCM3"/>
      <sheetName val="Plot"/>
      <sheetName val="Gbr"/>
      <sheetName val="PAK01-2 "/>
      <sheetName val="pak01-5 (2)"/>
      <sheetName val="PAK04-1"/>
      <sheetName val="PAK04-2"/>
      <sheetName val="PAK04-3"/>
      <sheetName val="bni-115C (2)"/>
      <sheetName val="daft-stock"/>
      <sheetName val="FRP "/>
      <sheetName val="data penj"/>
      <sheetName val="penj-pemb."/>
      <sheetName val="cf (3)"/>
      <sheetName val="plott-1"/>
      <sheetName val="f-plot"/>
      <sheetName val="pertanyaan"/>
      <sheetName val="check-PAK (2)"/>
      <sheetName val="PAK-05 (2)"/>
      <sheetName val="PAK05-1 (2)"/>
      <sheetName val="plot 2"/>
      <sheetName val="plot 3"/>
      <sheetName val="plot 4"/>
      <sheetName val="plot 5"/>
      <sheetName val="FRP (2)"/>
      <sheetName val="CALL1 (2)"/>
      <sheetName val="bni-117c (2)"/>
      <sheetName val="plot 1"/>
      <sheetName val="cf "/>
      <sheetName val="bendahara"/>
      <sheetName val="black-list"/>
      <sheetName val="ptp-xii kebun pancur"/>
      <sheetName val="telpon"/>
      <sheetName val="call-kukplus"/>
      <sheetName val="Checklist"/>
      <sheetName val="review"/>
      <sheetName val="MRK AKHIR"/>
      <sheetName val="MRK"/>
      <sheetName val="BNI-115"/>
      <sheetName val="BNI-116 (2)"/>
      <sheetName val="BNI-116 (3)"/>
      <sheetName val="BNI-116 (4)"/>
      <sheetName val="116-D"/>
      <sheetName val="BNI-119  (2)"/>
      <sheetName val="FBATJ"/>
      <sheetName val="UT"/>
      <sheetName val="USP"/>
      <sheetName val="UPb"/>
      <sheetName val="UPi"/>
      <sheetName val="UI"/>
      <sheetName val="Rincian Keu"/>
      <sheetName val="LapKeu-FAK"/>
      <sheetName val="FAK1"/>
      <sheetName val="FAK2"/>
      <sheetName val="FAK3"/>
      <sheetName val="FAK4"/>
      <sheetName val="asumsi (2)"/>
      <sheetName val="CF1"/>
      <sheetName val="CF2"/>
      <sheetName val="batas file"/>
      <sheetName val=" Rincian OTS"/>
      <sheetName val="FAK awal"/>
      <sheetName val="LIST KUR"/>
      <sheetName val="Lamp. BTU tes"/>
      <sheetName val="Uji-Kepatuhan"/>
      <sheetName val="C-List"/>
      <sheetName val="Lamp. BTU baru"/>
      <sheetName val="ploting "/>
      <sheetName val="denah"/>
      <sheetName val="BATA"/>
      <sheetName val="Call Memo"/>
      <sheetName val="Hal-01"/>
      <sheetName val="Hal-02"/>
      <sheetName val="Pendapat KPK WK I"/>
      <sheetName val="Pendapat KPK Pemp"/>
      <sheetName val="PAK01-1 (2)"/>
      <sheetName val="daftar persd"/>
      <sheetName val="plott-1 (2)"/>
      <sheetName val="plott-1 (3)"/>
      <sheetName val="call-tri"/>
      <sheetName val="bni-119c (2)"/>
      <sheetName val="BNI-105 (2)"/>
      <sheetName val="PAK 03"/>
      <sheetName val="hitungan"/>
      <sheetName val="hitungan (2)"/>
      <sheetName val="plot-1"/>
      <sheetName val="plot-2"/>
      <sheetName val="plot-3"/>
      <sheetName val="plot-4"/>
      <sheetName val="plot-5"/>
      <sheetName val="FRP (3)"/>
      <sheetName val="S33"/>
      <sheetName val="S40"/>
      <sheetName val="S29"/>
      <sheetName val="S22"/>
      <sheetName val="PAK"/>
      <sheetName val="Bab I"/>
      <sheetName val="Bab II"/>
      <sheetName val="Bab III"/>
      <sheetName val="Bab IV"/>
      <sheetName val="Ratio"/>
      <sheetName val="Lampiran"/>
      <sheetName val="ekuitasx"/>
      <sheetName val="Gam.Um."/>
      <sheetName val="TARIF"/>
      <sheetName val="isi"/>
      <sheetName val="cv"/>
      <sheetName val="Laba(rugi)"/>
      <sheetName val="ekui"/>
      <sheetName val="Arus Kas"/>
      <sheetName val="CTT"/>
      <sheetName val="GIRO 1"/>
      <sheetName val="PU 2"/>
      <sheetName val="PL 3"/>
      <sheetName val="aktap 4"/>
      <sheetName val="Hutang Usaha 5"/>
      <sheetName val="Rekap B.Besar"/>
      <sheetName val="Pembelian"/>
      <sheetName val="penjelasan"/>
      <sheetName val="All"/>
      <sheetName val="Monthly2"/>
      <sheetName val="Month"/>
      <sheetName val="top adm &amp; umum1"/>
      <sheetName val="General-Journal"/>
      <sheetName val="JPA-F"/>
      <sheetName val="KKP (2)"/>
      <sheetName val="LAI"/>
      <sheetName val="LK"/>
      <sheetName val="ArK"/>
      <sheetName val="CALK"/>
      <sheetName val="Gabum"/>
      <sheetName val="Lamp"/>
      <sheetName val="Beban usaha"/>
      <sheetName val="lap bulanan 2012"/>
      <sheetName val="lap bulanan 2013"/>
      <sheetName val="lap bulanan 2011"/>
      <sheetName val="itung pajak"/>
      <sheetName val="BIaya Bunga"/>
      <sheetName val="GIRO"/>
      <sheetName val="bunga 2013"/>
      <sheetName val="data 2"/>
      <sheetName val="MESIN"/>
      <sheetName val="ÀùÕ_x0004_ö10_x0000_"/>
      <sheetName val=""/>
      <sheetName val="FAK "/>
      <sheetName val="CF-00"/>
      <sheetName val="CF-00 (2)"/>
      <sheetName val="LPP"/>
      <sheetName val="Stok"/>
      <sheetName val="FPFKTL"/>
      <sheetName val="CF_00"/>
      <sheetName val="BNI-116C"/>
      <sheetName val="PAK-04C"/>
      <sheetName val="BRT-PLOT"/>
      <sheetName val="BAP"/>
      <sheetName val="PROD-PENJ"/>
      <sheetName val="PAK-01C5"/>
      <sheetName val="PAK-01C1-4"/>
      <sheetName val="PAK-01C1-2"/>
      <sheetName val="PAK-01C1-1"/>
      <sheetName val="PAK-01C1-3"/>
      <sheetName val="PAK-01C2"/>
      <sheetName val="Surat"/>
      <sheetName val="Chasflow"/>
      <sheetName val="Parameter"/>
      <sheetName val="HPS Paket 3 RJKB"/>
      <sheetName val="HPS-Shd 1"/>
      <sheetName val="HPS-Shd 2"/>
      <sheetName val="HPS-Shd 3"/>
      <sheetName val="HPS-Shd 4"/>
      <sheetName val="Berat Tower"/>
      <sheetName val="SCH 1 - TRW"/>
      <sheetName val="PARAM"/>
      <sheetName val="Dari P3B H_S_Versi 1"/>
      <sheetName val="HPS Paket 3 RJKB (2)"/>
      <sheetName val="KKP LR"/>
      <sheetName val="KKP NERACA"/>
      <sheetName val="SEKRETARIAT"/>
      <sheetName val="KAS_OPNAME"/>
      <sheetName val="SEKRETARIAT (2)"/>
      <sheetName val="daftar peminjam per KSM  "/>
      <sheetName val="lead schedule"/>
      <sheetName val="Std_Industri"/>
      <sheetName val="Tab"/>
      <sheetName val="NrcFKS"/>
      <sheetName val="Struktur1"/>
      <sheetName val="Struktur1 (2)"/>
      <sheetName val="usul"/>
      <sheetName val="Memo 1 (2)"/>
      <sheetName val="Memo 2 (2)"/>
      <sheetName val="MemFas"/>
      <sheetName val="hal3dst"/>
      <sheetName val="FAK EDIT"/>
      <sheetName val="FAK AKHIR"/>
      <sheetName val="DATA UMUM"/>
      <sheetName val="rek giro"/>
      <sheetName val="TABLE CUST"/>
      <sheetName val="CUSTOMER"/>
      <sheetName val="SALES JUNK"/>
      <sheetName val="ASSET"/>
      <sheetName val="PP-NVR-IRR"/>
      <sheetName val="PROYEKSI KI (2)"/>
      <sheetName val="2009 2010"/>
      <sheetName val="2011"/>
      <sheetName val="HUTANG PIUTANG"/>
      <sheetName val="PROYEKSI KI"/>
      <sheetName val="BNI-116"/>
      <sheetName val="BNI-117"/>
      <sheetName val="BNI-119"/>
      <sheetName val="BNI-138"/>
      <sheetName val="Rincian"/>
      <sheetName val="108C"/>
      <sheetName val="115C"/>
      <sheetName val="Srt Mohon"/>
      <sheetName val="Surat OTS"/>
      <sheetName val="138C"/>
      <sheetName val="FOTOW"/>
      <sheetName val="Sketsa"/>
      <sheetName val="LapKeu"/>
      <sheetName val="RL"/>
      <sheetName val="Kalkulasi"/>
      <sheetName val="Neraca OTS1"/>
      <sheetName val="Neraca OTS2"/>
      <sheetName val="Neraca OTS3"/>
      <sheetName val="Dftr. Persediaan"/>
      <sheetName val="105C"/>
      <sheetName val="Pemantauan"/>
      <sheetName val="PAK-01C"/>
      <sheetName val="CEV"/>
      <sheetName val="STRUK"/>
      <sheetName val="KPK (2)"/>
      <sheetName val="FRH "/>
      <sheetName val="P04"/>
      <sheetName val="AK"/>
      <sheetName val="Fill this out first___"/>
      <sheetName val="PAK 41"/>
      <sheetName val="PAK 42"/>
      <sheetName val="Rumus"/>
      <sheetName val="Sales,Hut,Piut,Persediaan"/>
      <sheetName val="Penyusutan"/>
      <sheetName val="Angsuran"/>
      <sheetName val="Sensitivitas"/>
      <sheetName val="MU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bhn"/>
      <sheetName val="spek"/>
      <sheetName val="altok"/>
      <sheetName val="bumok"/>
      <sheetName val="altprec"/>
      <sheetName val="bumprec"/>
      <sheetName val="Draft Neraca"/>
      <sheetName val="PAK 04-1"/>
      <sheetName val="RESUME"/>
      <sheetName val="ASUMSI CF"/>
      <sheetName val="NERACA PROYEKSI"/>
      <sheetName val="HPP "/>
      <sheetName val="UPAH LANGSUNG "/>
      <sheetName val="PEMBELIAN "/>
      <sheetName val="BIAYA UMUM &amp; ADFMINISTRASI"/>
      <sheetName val="BIAYA PRODUKSI LANGSUNG"/>
      <sheetName val="Jadwal Angsuran"/>
      <sheetName val="DEPRESIASI"/>
      <sheetName val="ASUMSI CASHFLOW"/>
      <sheetName val="projectcost"/>
      <sheetName val="BUNGA"/>
      <sheetName val="Tabel Penyusutan"/>
      <sheetName val="BANK UMUM KOPERASI"/>
      <sheetName val="BANK NIAGA"/>
      <sheetName val="BANK DANAMON (2)"/>
      <sheetName val="BANK DANAMON"/>
      <sheetName val="BANK BNI II"/>
      <sheetName val="BANK BNI I"/>
      <sheetName val="REKAP ELEKTRIKAL"/>
      <sheetName val="LISTRIK"/>
      <sheetName val="TELEPON"/>
      <sheetName val="SOUND"/>
      <sheetName val="F ALARM"/>
      <sheetName val="BAS"/>
      <sheetName val="CCTV"/>
      <sheetName val="GENSET"/>
      <sheetName val="TRAFO"/>
      <sheetName val="REKAP MEKANIKAL"/>
      <sheetName val="AC"/>
      <sheetName val="ELEVATOR"/>
      <sheetName val="PLUMBING"/>
      <sheetName val="HYDRANT"/>
      <sheetName val="SPRINKLER"/>
      <sheetName val="UIR"/>
      <sheetName val="CRR"/>
      <sheetName val="CCR"/>
      <sheetName val="Reporting"/>
      <sheetName val="Std-Industri"/>
      <sheetName val="ANGGARAN"/>
      <sheetName val="PIUTANG1"/>
      <sheetName val="PIUTANG2"/>
      <sheetName val="PIUTANG3"/>
      <sheetName val="HUTANG"/>
      <sheetName val="HANDPHONE-1"/>
      <sheetName val="HANDPHONE-2"/>
      <sheetName val="KARYAWAN"/>
      <sheetName val="FREKUENSI"/>
      <sheetName val="PRODUK"/>
      <sheetName val="MARJIN"/>
      <sheetName val="BEP-G"/>
      <sheetName val="BEP-S"/>
      <sheetName val="SK1226"/>
      <sheetName val="SK1227"/>
      <sheetName val="RUMUS BEKISTING"/>
      <sheetName val="HIT BEKISTING"/>
      <sheetName val="Hari"/>
      <sheetName val="CallScd"/>
      <sheetName val="ACB"/>
      <sheetName val="130503"/>
      <sheetName val="Jan03"/>
      <sheetName val="Feb03"/>
      <sheetName val="Mar03"/>
      <sheetName val="Apr03"/>
      <sheetName val="Voucher"/>
      <sheetName val="Pejabat"/>
      <sheetName val="Logbook"/>
      <sheetName val="Relasi"/>
      <sheetName val="Daft1"/>
      <sheetName val="Daft1M"/>
      <sheetName val="Daft2"/>
      <sheetName val="Daft2M"/>
      <sheetName val="Afil"/>
      <sheetName val="AfilM"/>
      <sheetName val="Solist"/>
      <sheetName val="SolistM"/>
      <sheetName val="Inti"/>
      <sheetName val="Kartu"/>
      <sheetName val="Instansi"/>
      <sheetName val="KU"/>
      <sheetName val="SPI"/>
      <sheetName val="BNI-114C"/>
      <sheetName val="JASAMARGA"/>
      <sheetName val="PAK 5"/>
      <sheetName val="Past"/>
      <sheetName val="As"/>
      <sheetName val="PInv"/>
      <sheetName val="FInv"/>
      <sheetName val="PB"/>
      <sheetName val="BII"/>
      <sheetName val="BTK"/>
      <sheetName val="Kap"/>
      <sheetName val="MK"/>
      <sheetName val="Jad"/>
      <sheetName val="AP(1)"/>
      <sheetName val="AP(2)"/>
      <sheetName val="AP(3)"/>
      <sheetName val="Oth"/>
      <sheetName val="Stand"/>
      <sheetName val="Rot"/>
      <sheetName val="Renc"/>
      <sheetName val="SProd"/>
      <sheetName val="DHSB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PAK-01"/>
      <sheetName val="PAK-04"/>
      <sheetName val="PAK-061-ssw"/>
      <sheetName val="PAK-062-ssw"/>
      <sheetName val="PAK-061-msp"/>
      <sheetName val="PAK-062-msp1"/>
      <sheetName val="PAK-062-msp"/>
      <sheetName val="PAK-061-bss"/>
      <sheetName val="PAK-062-bss1"/>
      <sheetName val="PAK-062-bss"/>
      <sheetName val="PAK-061-ssp"/>
      <sheetName val="PAK-062-ssp1"/>
      <sheetName val="PAK-062-ssp"/>
      <sheetName val="PAK-062-bbs1"/>
      <sheetName val="PAK-062-bbs"/>
      <sheetName val="PAK-061-ssj"/>
      <sheetName val="PAK-062-ssj1"/>
      <sheetName val="PAK-062-SSJ"/>
      <sheetName val="PAK-061-bssh"/>
      <sheetName val="PAK-062-bssh1"/>
      <sheetName val="PAK-062-bssh"/>
      <sheetName val="PAK-062-ssw1"/>
      <sheetName val="Preliminaries"/>
      <sheetName val="An-Prelim"/>
      <sheetName val="HS"/>
      <sheetName val="Kusen"/>
      <sheetName val="Bill of Quantity"/>
      <sheetName val="PileCap"/>
      <sheetName val="Tie Beam"/>
      <sheetName val="Balok"/>
      <sheetName val="Kolom"/>
      <sheetName val="Tangga"/>
      <sheetName val="BQEL"/>
      <sheetName val="BQPL"/>
      <sheetName val="BQAC&amp;ESCALATOR"/>
      <sheetName val="Gross"/>
      <sheetName val="TB"/>
      <sheetName val="DdgBeton"/>
      <sheetName val="Plat"/>
      <sheetName val="Analisa Tend (3)"/>
      <sheetName val="Analisa Tend (2)"/>
      <sheetName val="Analisa "/>
      <sheetName val="Analisa Tend"/>
      <sheetName val="Lantai"/>
      <sheetName val="Dinding (2)"/>
      <sheetName val="DINDING"/>
      <sheetName val="Pintu &amp; Jendela"/>
      <sheetName val="Daf-C"/>
      <sheetName val="Balok L.1"/>
      <sheetName val="Balok L.2"/>
      <sheetName val="Balok L.3"/>
      <sheetName val="Balok L.4"/>
      <sheetName val="Balok L.5"/>
      <sheetName val="Balok L.Atap"/>
      <sheetName val="coa"/>
      <sheetName val="AWL2002 KIE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sulsel"/>
      <sheetName val="rekap_sulsel"/>
      <sheetName val="rkp_sulsel_baru"/>
      <sheetName val="ar_all"/>
      <sheetName val="dec03 (2)"/>
      <sheetName val="sulsel (2)"/>
      <sheetName val="lama_sulsel"/>
      <sheetName val="sulsel (3)"/>
      <sheetName val="#REF"/>
      <sheetName val="nonbti"/>
      <sheetName val="Lead Sch"/>
      <sheetName val="Ws Jul-2004"/>
      <sheetName val="AJE (2)"/>
      <sheetName val="Neraca "/>
      <sheetName val="Neraca  (2)"/>
      <sheetName val="Laba Rugi "/>
      <sheetName val="NOTE7"/>
      <sheetName val="NOTE8"/>
      <sheetName val="Ringkasan"/>
      <sheetName val="Account (2)"/>
      <sheetName val="Buku Besar 1"/>
      <sheetName val="Buku Besar 2"/>
      <sheetName val="Rekap SPT Masa PPh 21"/>
      <sheetName val="RIgkasan Koreksi"/>
      <sheetName val="Koreksi Objek PPh 21"/>
      <sheetName val="Koreksi Objek PPh 23"/>
      <sheetName val="Koreksi Objek PPh 4 Ayat 2"/>
      <sheetName val="RIngkasan Koreksi Biaya"/>
      <sheetName val="Koreksi Biaya"/>
      <sheetName val="Sisa 1"/>
      <sheetName val="Sisa 2"/>
      <sheetName val="WBS &amp; WPL"/>
      <sheetName val="PAJE FIXED ASSET"/>
      <sheetName val="MATERIALITY - PL"/>
      <sheetName val="MATERIALITY - BS"/>
      <sheetName val="PREPAID ADJUSTMENT"/>
      <sheetName val="Adjustment"/>
      <sheetName val="AR"/>
      <sheetName val="AR -OTHER"/>
      <sheetName val="OTHER ASSET"/>
      <sheetName val="AP"/>
      <sheetName val="ACCRUED EXPENSE"/>
      <sheetName val="DEFFERED TAXES"/>
      <sheetName val="COGS"/>
      <sheetName val="TAXATION"/>
      <sheetName val="NONOPEX"/>
      <sheetName val="PROGRESS"/>
      <sheetName val="AWP "/>
      <sheetName val="MATERIALITY "/>
      <sheetName val="Financial Ratios"/>
      <sheetName val="TEST FOR UNRECORDED AR"/>
      <sheetName val="STOT FIXED ASSET"/>
      <sheetName val="FA LISTING (PBC)"/>
      <sheetName val="REASONABLESS TEST"/>
      <sheetName val="SUBSTANTIF FIXED ASSET"/>
      <sheetName val="Asuransi kendaraan"/>
      <sheetName val="TEST FOR UNRECORDED AP"/>
      <sheetName val="PAYROLL DATA"/>
      <sheetName val="PAYROLL FLUCS"/>
      <sheetName val="SSP"/>
      <sheetName val="sample 1"/>
      <sheetName val="SUBSTANTIV SALES"/>
      <sheetName val="PENGHASILAN DEPOSIT"/>
      <sheetName val="LEASING"/>
      <sheetName val="ANLS"/>
      <sheetName val="vouching"/>
      <sheetName val="REKALKULASI U. PEND. JASA GIRO"/>
      <sheetName val="manfaat"/>
      <sheetName val="perhitungan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  <sheetName val="details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  <sheetName val="May"/>
      <sheetName val="YTD"/>
      <sheetName val="CASHFLOW "/>
      <sheetName val="DETAILBS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SPLIT9907"/>
      <sheetName val="SPLIT9906"/>
      <sheetName val="Resin in Tank"/>
      <sheetName val="FA 06"/>
      <sheetName val="ASSETS05"/>
      <sheetName val="FA 06 OKE"/>
      <sheetName val="asset 2005"/>
      <sheetName val="ngitung akum. toniji"/>
      <sheetName val="FA 06 (2)"/>
      <sheetName val="AA"/>
      <sheetName val="OPsample"/>
      <sheetName val="TPsample"/>
      <sheetName val="AA.1"/>
      <sheetName val="AA.2"/>
      <sheetName val="AA.3"/>
      <sheetName val="AA.3.2"/>
      <sheetName val="AP ACCRUED"/>
      <sheetName val="OTHER ACCOUNT CLAIM"/>
      <sheetName val="BB"/>
      <sheetName val="BB.1"/>
      <sheetName val="BB.1.1"/>
      <sheetName val="BB.1.2"/>
      <sheetName val="BB.2"/>
      <sheetName val="BB-2.1"/>
      <sheetName val="BB.2.1.1"/>
      <sheetName val="BB.2.2"/>
      <sheetName val="BB.2.3"/>
      <sheetName val="BB.3"/>
      <sheetName val="CC-1"/>
      <sheetName val="CC-2"/>
      <sheetName val="EE-1"/>
      <sheetName val="invt_jun03 _2_"/>
      <sheetName val="COMPARATTIVE"/>
      <sheetName val="vendorjun04"/>
      <sheetName val="INVTJUN04"/>
      <sheetName val="invt_jun03 (2)"/>
      <sheetName val="Comperative_by_Vendor jan_may"/>
      <sheetName val="CODE"/>
      <sheetName val="Jan"/>
      <sheetName val="Feb"/>
      <sheetName val="Mar"/>
      <sheetName val="Apr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RM_COST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deprec"/>
      <sheetName val="Details in Rp"/>
      <sheetName val="By Dept"/>
      <sheetName val="By Dept in Rp"/>
      <sheetName val="by_type in USD"/>
      <sheetName val="by_type in Rp"/>
      <sheetName val="Depr&amp;Amort"/>
      <sheetName val="62404"/>
      <sheetName val="budget idr"/>
      <sheetName val="Grafik"/>
      <sheetName val="daftar"/>
      <sheetName val="Pack"/>
      <sheetName val="Lainnya"/>
      <sheetName val="Roaster"/>
      <sheetName val="F.Drying"/>
      <sheetName val="Molen"/>
      <sheetName val="hitung"/>
      <sheetName val="Selisih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40 Memo"/>
      <sheetName val="40 Lead"/>
      <sheetName val="40.1Freight Expense"/>
      <sheetName val="Biaya Air (2)"/>
      <sheetName val="40.2Biaya Listrik"/>
      <sheetName val="40.3 ARP"/>
      <sheetName val="F Lead"/>
      <sheetName val="Purchase Cutoff"/>
      <sheetName val="DNR_Sep"/>
      <sheetName val="Other_Sep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1"/>
      <sheetName val="C2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srg"/>
      <sheetName val="tgr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Print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DATA2"/>
      <sheetName val="JUALLAN"/>
      <sheetName val="MAS"/>
      <sheetName val="BALI"/>
      <sheetName val="JBR"/>
      <sheetName val="KDR"/>
      <sheetName val="MDN"/>
      <sheetName val="MDR"/>
      <sheetName val="MLG"/>
      <sheetName val="PRB"/>
      <sheetName val="NGELOM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Balance end 2002"/>
      <sheetName val="Balance 30-06-03"/>
      <sheetName val="Ecr"/>
      <sheetName val="Exchange Rate"/>
      <sheetName val="Compta X - 2"/>
      <sheetName val="sept"/>
      <sheetName val="okt"/>
      <sheetName val="WBS"/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EQ "/>
      <sheetName val="WS 2007"/>
      <sheetName val="AJE 2007"/>
      <sheetName val="TAX 07 "/>
      <sheetName val="DEPR07"/>
      <sheetName val="WSCF07"/>
      <sheetName val="WSBS 05-ok"/>
      <sheetName val="BS-Pro WBS"/>
      <sheetName val="PL-Pro WSIS06"/>
      <sheetName val="WSIS 04"/>
      <sheetName val="WSBS 04"/>
      <sheetName val="WS 2005"/>
      <sheetName val="WS 2006"/>
      <sheetName val="AJE 2006"/>
      <sheetName val="TAX 06"/>
      <sheetName val="TAX05"/>
      <sheetName val="DEPR05"/>
      <sheetName val="DEPR06"/>
      <sheetName val="WSCF06"/>
      <sheetName val="WSCF05"/>
      <sheetName val="WSBS 05_ok"/>
      <sheetName val="BS_Pro WBS"/>
      <sheetName val="PL_Pro WSIS06"/>
      <sheetName val="PAJE"/>
      <sheetName val="AREA 1"/>
      <sheetName val="AREA 2"/>
      <sheetName val="AREA 3"/>
      <sheetName val="DATA KPI"/>
      <sheetName val="REGION"/>
      <sheetName val="PERUMUSAN MSL "/>
      <sheetName val="DATA UNIT"/>
      <sheetName val="DATA VALUE"/>
      <sheetName val="AKUM-TB (2)"/>
      <sheetName val="AKUM-TB"/>
      <sheetName val="BTL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ELIMINASI"/>
      <sheetName val="Investasi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P&amp;L"/>
      <sheetName val="Kas&amp;Bank"/>
      <sheetName val="Inv JP"/>
      <sheetName val="Piutang Usaha"/>
      <sheetName val="Perikatan"/>
      <sheetName val="HutangBank"/>
      <sheetName val="Hut Obligasi"/>
      <sheetName val="Hut Usaha"/>
      <sheetName val="Pajak"/>
      <sheetName val="BMHD"/>
      <sheetName val="HSGU"/>
      <sheetName val="Pinj Jk Panjang"/>
      <sheetName val="Modal Saham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Current"/>
      <sheetName val="NOV03"/>
      <sheetName val="OCT03"/>
      <sheetName val="SEP03"/>
      <sheetName val="AUG03"/>
      <sheetName val="DEC02"/>
      <sheetName val="NOV02"/>
      <sheetName val="OCT02"/>
      <sheetName val="Input_tables"/>
      <sheetName val="Benefit_Tab"/>
      <sheetName val="cALC"/>
      <sheetName val="PSC_Calc"/>
      <sheetName val="output"/>
      <sheetName val="summary_frm_output"/>
      <sheetName val="decr_table"/>
      <sheetName val="Data Karyawan"/>
      <sheetName val="JHT"/>
      <sheetName val="Payments"/>
      <sheetName val="Presentation1"/>
      <sheetName val="Lap Akturia 2004"/>
      <sheetName val="discl_present_gab"/>
      <sheetName val="AG_presntn"/>
      <sheetName val="GraphBen"/>
      <sheetName val="worksheet Actual"/>
      <sheetName val="worksheet Budget"/>
      <sheetName val="Analysis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"/>
      <sheetName val="Salary"/>
      <sheetName val="Material @"/>
      <sheetName val="Material"/>
      <sheetName val="Maintenance"/>
      <sheetName val="Rent"/>
      <sheetName val="Royalty"/>
      <sheetName val="Fin Stat"/>
      <sheetName val="Fin Pro 1"/>
      <sheetName val="Loan"/>
      <sheetName val="Fin Pro - HTP"/>
      <sheetName val="FA-HTP (Fiskal) (2)"/>
      <sheetName val="Depr - HTP (inl. cap interest)"/>
      <sheetName val="Depr Forex"/>
      <sheetName val="8_1 Bill_Collect Monthly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LN"/>
      <sheetName val="gedung"/>
      <sheetName val="sipil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oret2an"/>
      <sheetName val="map"/>
      <sheetName val="rab"/>
      <sheetName val="railing"/>
      <sheetName val="anal-1-4"/>
      <sheetName val="anal-5"/>
      <sheetName val="anal-6"/>
      <sheetName val="61004"/>
      <sheetName val="61005"/>
      <sheetName val="61006"/>
      <sheetName val="61007"/>
      <sheetName val="61008"/>
      <sheetName val="mapp"/>
      <sheetName val="opow"/>
      <sheetName val="anal-1"/>
      <sheetName val="antek"/>
      <sheetName val="oret"/>
      <sheetName val="RKP-DKH"/>
      <sheetName val="DKH-BP07"/>
      <sheetName val="RKP-DKH-UPRT"/>
      <sheetName val="DKH-BP07-UPRT"/>
      <sheetName val="DKH-BP07C"/>
      <sheetName val="ANAL-2"/>
      <sheetName val="MOS"/>
      <sheetName val="PLANT"/>
      <sheetName val="MPU"/>
      <sheetName val="DAKON"/>
      <sheetName val="ap-12a"/>
      <sheetName val="ap-12b"/>
      <sheetName val="ap-12c"/>
      <sheetName val="DB"/>
      <sheetName val="RKPANAL"/>
      <sheetName val="TANYA"/>
      <sheetName val="BREAKSTRUKTUR"/>
      <sheetName val="TEST"/>
      <sheetName val="ANALBETON"/>
      <sheetName val="teknis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ekap Biaya"/>
      <sheetName val="Kuantitas &amp; Harga"/>
      <sheetName val="%"/>
      <sheetName val="Ranking %"/>
      <sheetName val="rkp-map"/>
      <sheetName val="map-jo-koreksi"/>
      <sheetName val="evaluasi"/>
      <sheetName val="map-jo"/>
      <sheetName val="sepakat"/>
      <sheetName val="rkp2"/>
      <sheetName val="LAIN"/>
      <sheetName val="ANTEK-1"/>
      <sheetName val="ANTEK-2"/>
      <sheetName val="ANTEK3"/>
      <sheetName val="IDC"/>
      <sheetName val="RIGID"/>
      <sheetName val="RKP-DB"/>
      <sheetName val="DASBOARD"/>
      <sheetName val="ANAL-MPU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RKP-BOQ"/>
      <sheetName val="DAFT-MPU"/>
      <sheetName val="SUBKONT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RKP"/>
      <sheetName val="ANAL"/>
      <sheetName val="RKP-ANAL"/>
      <sheetName val="SKDL"/>
      <sheetName val="basic"/>
      <sheetName val="ALAT"/>
      <sheetName val="data-1"/>
      <sheetName val="data-2"/>
      <sheetName val="simak"/>
      <sheetName val="RECORD"/>
      <sheetName val="anal-mob"/>
      <sheetName val="div7-1"/>
      <sheetName val="div7-2"/>
      <sheetName val="dt-1"/>
      <sheetName val="dt-2"/>
      <sheetName val="dt-3"/>
      <sheetName val="dt-5"/>
      <sheetName val="RAB-HUSEIN"/>
      <sheetName val="DKH"/>
      <sheetName val="APP-12"/>
      <sheetName val="APP-12b"/>
      <sheetName val="APP-12c"/>
      <sheetName val="GANTI"/>
      <sheetName val="coba"/>
      <sheetName val="DASHBOARD"/>
      <sheetName val="Penawaran"/>
      <sheetName val="JO"/>
      <sheetName val="Kuant&amp;Harga"/>
      <sheetName val="Har Sat"/>
      <sheetName val="lamp1"/>
      <sheetName val="lamp2"/>
      <sheetName val="lamp3a"/>
      <sheetName val="lamp4ae"/>
      <sheetName val="Lamp5"/>
      <sheetName val="LAMP7"/>
      <sheetName val="Metoda"/>
      <sheetName val="CV Teknik"/>
      <sheetName val="Struk Org Proy"/>
      <sheetName val="DafPerson"/>
      <sheetName val="604"/>
      <sheetName val="605"/>
      <sheetName val="606"/>
      <sheetName val="H-SAT"/>
      <sheetName val="610.04"/>
      <sheetName val="610.05"/>
      <sheetName val="610.06"/>
      <sheetName val="610.07A"/>
      <sheetName val="610.08"/>
      <sheetName val="Angkut material"/>
      <sheetName val="Metode"/>
      <sheetName val="BAU"/>
      <sheetName val="Rupa2"/>
      <sheetName val="Bank"/>
      <sheetName val="Gaji"/>
      <sheetName val="Allowance"/>
      <sheetName val="SPJ"/>
      <sheetName val="Galian Biasa"/>
      <sheetName val="Galian batu"/>
      <sheetName val="Urugan biasa"/>
      <sheetName val="stripping"/>
      <sheetName val="Urugan pilihan"/>
      <sheetName val="Trans Agg"/>
      <sheetName val="Hotmix 4 cm"/>
      <sheetName val="Hotmix 5 cm"/>
      <sheetName val="Hotmix 6 cm"/>
      <sheetName val="ANA-ALAT"/>
      <sheetName val="DBoard"/>
      <sheetName val="BD_Alat"/>
      <sheetName val="An_Alat"/>
      <sheetName val="EFGH"/>
      <sheetName val="610.07B"/>
      <sheetName val="Rekapitulasi"/>
      <sheetName val="Mobilisasi"/>
      <sheetName val="LAB"/>
      <sheetName val="An Teknis"/>
      <sheetName val="Detour"/>
      <sheetName val="Rambu"/>
      <sheetName val="Major"/>
      <sheetName val="SCH"/>
      <sheetName val="Alat2"/>
      <sheetName val="PP2"/>
      <sheetName val="BAU2"/>
      <sheetName val="Rupa22"/>
      <sheetName val="Bank2"/>
      <sheetName val="Rekap Volume"/>
      <sheetName val="2ktr"/>
      <sheetName val="4ktr"/>
      <sheetName val="5ktr"/>
      <sheetName val="6ktr"/>
      <sheetName val="7ktr"/>
      <sheetName val="2A"/>
      <sheetName val="3A"/>
      <sheetName val="4A"/>
      <sheetName val="5A"/>
      <sheetName val="6A"/>
      <sheetName val="7A"/>
      <sheetName val="2B"/>
      <sheetName val="4B"/>
      <sheetName val="5B"/>
      <sheetName val="6B"/>
      <sheetName val="7B"/>
      <sheetName val="2C"/>
      <sheetName val="4C"/>
      <sheetName val="5C"/>
      <sheetName val="6C"/>
      <sheetName val="7C"/>
      <sheetName val="PriceList"/>
      <sheetName val="AnaBahan"/>
      <sheetName val="DEDI"/>
      <sheetName val="Catatan"/>
      <sheetName val="Jadwal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CIREBON"/>
      <sheetName val="Bandung"/>
      <sheetName val="BS BPKP"/>
      <sheetName val="PL BPKP"/>
      <sheetName val="ACC_CODE"/>
      <sheetName val="Saldo Awal"/>
      <sheetName val="Nop"/>
      <sheetName val="Des"/>
      <sheetName val="Jurnal 2005"/>
      <sheetName val="Subtotal Akun"/>
      <sheetName val="Worksheet 2005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Rekap % 1"/>
      <sheetName val="% PaK Hsn"/>
      <sheetName val="Rkap (2)"/>
      <sheetName val="Rekap Piut"/>
      <sheetName val="Rekap2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JAKARTA setelah di ajust"/>
      <sheetName val="DENPASAR"/>
      <sheetName val="SALES 04"/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mm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MH CIVIL"/>
      <sheetName val="20"/>
      <sheetName val="22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_1"/>
      <sheetName val="36_2"/>
      <sheetName val="36_3"/>
      <sheetName val="36_4"/>
      <sheetName val="37"/>
      <sheetName val="38"/>
      <sheetName val="41"/>
      <sheetName val="42"/>
      <sheetName val="43"/>
      <sheetName val="44"/>
      <sheetName val="45"/>
      <sheetName val="46"/>
      <sheetName val="49"/>
      <sheetName val="51"/>
      <sheetName val="52"/>
      <sheetName val="53 "/>
      <sheetName val="54"/>
      <sheetName val="61"/>
      <sheetName val="62"/>
      <sheetName val="63"/>
      <sheetName val="64_1"/>
      <sheetName val="64_2"/>
      <sheetName val="64_3"/>
      <sheetName val="64_4"/>
      <sheetName val="64_5"/>
      <sheetName val="64_6"/>
      <sheetName val="64_14"/>
      <sheetName val="CRA-Detail"/>
      <sheetName val="Control Risk Aspects"/>
      <sheetName val="Customize Work Program"/>
      <sheetName val="CRA-Det"/>
      <sheetName val="Marshal"/>
      <sheetName val="attachment"/>
      <sheetName val="Loss recap"/>
      <sheetName val="Depr"/>
      <sheetName val="Data Per 19 Mei 2005"/>
      <sheetName val="SILICATE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MASTER"/>
      <sheetName val="Nt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Target &amp; Budget 2 Year"/>
      <sheetName val="Budget Categories"/>
      <sheetName val="Budget Categories (2)"/>
      <sheetName val="Management  "/>
      <sheetName val="M &amp; E"/>
      <sheetName val="Technical Assistant  "/>
      <sheetName val="PSM"/>
      <sheetName val=" Central Level"/>
      <sheetName val="Unit Cost"/>
      <sheetName val="Unit Cost Advisory Team"/>
      <sheetName val="Definitions"/>
      <sheetName val="National"/>
      <sheetName val="DKI JAKARTA2 (2)"/>
      <sheetName val="SOUTH SUM2 (2)"/>
      <sheetName val="RIAU ISLAND2 (2)"/>
      <sheetName val="RIAU2 (2)"/>
      <sheetName val="NORTH SUM (2)"/>
      <sheetName val="WEST PAPUA2 (2)"/>
      <sheetName val="PAPUA2 (2)"/>
      <sheetName val="SOUTH SUL2 (2)"/>
      <sheetName val="BALI2 (2)"/>
      <sheetName val="EAST JAVA2 (2)"/>
      <sheetName val="CENTRAL JAVA2 (2)"/>
      <sheetName val="WEST JAVA2 (2)"/>
      <sheetName val="Technical Assistant"/>
      <sheetName val="Management"/>
      <sheetName val="M&amp;E"/>
      <sheetName val="Community Outreach"/>
      <sheetName val="TA"/>
      <sheetName val="Village"/>
      <sheetName val="Detail Budget Per Year"/>
      <sheetName val="bayar_04_fak"/>
      <sheetName val="bayar_04_cus"/>
      <sheetName val="Oracle"/>
      <sheetName val="EFECTIF"/>
      <sheetName val="RMS-PENSIUN"/>
      <sheetName val="RMS - STR"/>
      <sheetName val="Rekap Stru"/>
      <sheetName val="Rek Stru2"/>
      <sheetName val="struktur"/>
      <sheetName val="RMS FUNGSIONAL"/>
      <sheetName val="rek fung2"/>
      <sheetName val="fungsional"/>
      <sheetName val="rek"/>
      <sheetName val="non rek"/>
      <sheetName val="rek2"/>
      <sheetName val="non rek2"/>
      <sheetName val="rek2 (2)"/>
      <sheetName val="Lead"/>
      <sheetName val="Links"/>
      <sheetName val="Tickmarks"/>
      <sheetName val="S.26"/>
      <sheetName val="S.26.1"/>
      <sheetName val="S.26.2"/>
      <sheetName val="S.26.3"/>
      <sheetName val="S.26.4"/>
      <sheetName val="S.26.5"/>
      <sheetName val="S.26.6"/>
      <sheetName val="S.26.7"/>
      <sheetName val="Rekap SPT Pembetulan"/>
      <sheetName val="Mei"/>
      <sheetName val="Juni"/>
      <sheetName val="P.Afl0608"/>
      <sheetName val="P.Afl0508"/>
      <sheetName val="H.Ans.Kend"/>
      <sheetName val="BOQ FORM FOR INQUIRY"/>
      <sheetName val="FORM OF PROPOSAL RFP-003"/>
      <sheetName val="合成単価作成表-BLDG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合成単価作成表_BLDG"/>
      <sheetName val="GONDOLA"/>
      <sheetName val="PEK.TAMBAH KURANG"/>
      <sheetName val="BIAYA CADANGAN"/>
      <sheetName val="REKAPITULASI AKHIR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K.TambahAC"/>
      <sheetName val="FH"/>
      <sheetName val="K.TambahFH"/>
      <sheetName val="valve 16k"/>
      <sheetName val="ASS-PL"/>
      <sheetName val="Fitting"/>
      <sheetName val="ELEKTRIKAL"/>
      <sheetName val="Dafmat"/>
      <sheetName val="Pompa"/>
      <sheetName val="Ven Fan"/>
      <sheetName val="valve-20k"/>
      <sheetName val="valve-10k"/>
      <sheetName val="I_KAMAR"/>
      <sheetName val="PLB-Basement 2.8.2-R1"/>
      <sheetName val="Div2"/>
      <sheetName val="Div4"/>
      <sheetName val="Div5"/>
      <sheetName val="Div6"/>
      <sheetName val="Div8"/>
      <sheetName val="Div9"/>
      <sheetName val="CIKARANG"/>
      <sheetName val="CIBITUNG"/>
      <sheetName val="KARAWANG A&amp;B"/>
      <sheetName val="KARAWANG D&amp;E"/>
      <sheetName val="Area"/>
      <sheetName val="KAP1"/>
      <sheetName val="KAP2"/>
      <sheetName val="Ach aging"/>
      <sheetName val="Sby Aging"/>
      <sheetName val="cbt aging"/>
      <sheetName val="retensi cbt"/>
      <sheetName val="Piutang_aging"/>
      <sheetName val="Ach institusi"/>
      <sheetName val="Cbt Institusi"/>
      <sheetName val="Sby Institusi"/>
      <sheetName val="Piutang_institusi 1"/>
      <sheetName val="COLLECTION PERIOD"/>
      <sheetName val="CF Ach"/>
      <sheetName val="CF Sby"/>
      <sheetName val="CF Cbt"/>
      <sheetName val="CF Ktr Unit"/>
      <sheetName val="KONSOLIDASI CF PLANT"/>
      <sheetName val="PERFORMANCE KEU"/>
      <sheetName val="Monitoring Hutang"/>
      <sheetName val="Pemetaan piutang Aceh"/>
      <sheetName val="Pemetaan Piutang Sby"/>
      <sheetName val="Pemetaan Piutang Cbt"/>
      <sheetName val="Action plant"/>
      <sheetName val="Pemetaan Piutang"/>
      <sheetName val="Eval Piut Nrc 2010"/>
      <sheetName val="Cbt Produk"/>
      <sheetName val="Ach Product"/>
      <sheetName val="Sby Product"/>
      <sheetName val="Piutang_Product"/>
      <sheetName val="CF UNIT"/>
      <sheetName val="Piutang bermslh Ach"/>
      <sheetName val="Piutang Bermslh Sby"/>
      <sheetName val="Piutang Bermslh cbt"/>
      <sheetName val="CC PRESLAB"/>
      <sheetName val="EVA"/>
      <sheetName val="SRT PENAWARAN"/>
      <sheetName val="uraian kuantitas"/>
      <sheetName val="Jadual dok"/>
      <sheetName val="Analisa Mob"/>
      <sheetName val="Analisa Harsat"/>
      <sheetName val="DMP-Utama"/>
      <sheetName val="SubKontrak"/>
      <sheetName val="Check List"/>
      <sheetName val="Pembatas"/>
      <sheetName val="CC VOIDED"/>
      <sheetName val="R-45B"/>
      <sheetName val="REKAP RAB"/>
      <sheetName val="Rekap (2)"/>
      <sheetName val="CC SP LA CITY"/>
      <sheetName val="CC TP "/>
      <sheetName val="1. ASUMSI"/>
      <sheetName val="2. TABULASI"/>
      <sheetName val="Dashboard Sales &amp; Laba"/>
      <sheetName val="Grafik Sales"/>
      <sheetName val="Grafik Laba"/>
      <sheetName val="Kapasitas Prod. Slab"/>
      <sheetName val="Analisa Biaya"/>
      <sheetName val="INVEST ALAT"/>
      <sheetName val="SCHEDULE ALAT"/>
      <sheetName val="Siklus Prod"/>
      <sheetName val="3. B"/>
      <sheetName val="4. ASUKI"/>
      <sheetName val="5.SALES BIAYA LR"/>
      <sheetName val="6.PRC-BEAM"/>
      <sheetName val="7.PRC-PILE"/>
      <sheetName val="8.PRC- SLAB &amp; LAIN"/>
      <sheetName val="9.PRC-BATCHING PLANT"/>
      <sheetName val="9A.PRC-BATCHING PLANT"/>
      <sheetName val="9B.PRC-BATCHING PLANT"/>
      <sheetName val="10.PRC-PLANT"/>
      <sheetName val="7.Dashboard"/>
      <sheetName val="8.SIMULASI CASH IN"/>
      <sheetName val="9.CASHFLOW"/>
      <sheetName val="10.PIUTANG"/>
      <sheetName val="11.NERACA"/>
      <sheetName val="BU"/>
      <sheetName val="Sar1"/>
      <sheetName val="Sar2"/>
      <sheetName val="Sales1"/>
      <sheetName val="Sales2"/>
      <sheetName val="SDM1"/>
      <sheetName val="SDM2"/>
      <sheetName val="SDM3"/>
      <sheetName val="SDM4"/>
      <sheetName val="INV1"/>
      <sheetName val="INV2"/>
      <sheetName val="INV2a"/>
      <sheetName val="INV3"/>
      <sheetName val="INV4"/>
      <sheetName val="Biaya HSO"/>
      <sheetName val="CC GIRDER "/>
      <sheetName val="Per Kontrak"/>
      <sheetName val="Perb Rnc &amp; Real Kon"/>
      <sheetName val="Perolehan 2007"/>
      <sheetName val="Perolehan 2008 s d akhir tahun"/>
      <sheetName val="L R"/>
      <sheetName val="Komp Piut"/>
      <sheetName val="REKAP RENCANA 2010"/>
      <sheetName val="BU 2010"/>
      <sheetName val="ANALISA 2010"/>
      <sheetName val="Cash Out Proyek 2010"/>
      <sheetName val="Cash Out Carry Over 2009"/>
      <sheetName val="BU 2009"/>
      <sheetName val="KomBiproject"/>
      <sheetName val="form cf unit"/>
      <sheetName val="Sumber Dana"/>
      <sheetName val="Real CF"/>
      <sheetName val="table"/>
      <sheetName val="Plafon MK"/>
      <sheetName val="Piut 07"/>
      <sheetName val="Umur Piut"/>
      <sheetName val="FCs_dDES08"/>
      <sheetName val="reAL KONT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KOP"/>
      <sheetName val="FF"/>
      <sheetName val="MAIN"/>
      <sheetName val="BOLT-DATA"/>
      <sheetName val="BOLT"/>
      <sheetName val="Resume (2)"/>
      <sheetName val="PrelimStruktur"/>
      <sheetName val="H. Prelimstruktur"/>
      <sheetName val="Substruktur"/>
      <sheetName val="H.Struktur"/>
      <sheetName val="PrelimFinishing"/>
      <sheetName val="H. PrelimFinishing"/>
      <sheetName val="H.Finishing"/>
      <sheetName val="analisa harga satuan"/>
      <sheetName val="Floor"/>
      <sheetName val="Wall"/>
      <sheetName val="Door"/>
      <sheetName val="Plafond"/>
      <sheetName val="Roof"/>
      <sheetName val="Sanitair"/>
      <sheetName val="Luasanlantai"/>
      <sheetName val="LuasanDinding"/>
      <sheetName val="VolBeton"/>
      <sheetName val="LuasBegisting"/>
      <sheetName val="Pembesian"/>
      <sheetName val="Rekapi"/>
      <sheetName val="AHS"/>
      <sheetName val="Bul"/>
      <sheetName val="Upah1"/>
      <sheetName val="Bang A"/>
      <sheetName val="Bang B"/>
      <sheetName val="Sarana"/>
      <sheetName val="Asrama"/>
      <sheetName val="Utility"/>
      <sheetName val="Kamar"/>
      <sheetName val="WI"/>
      <sheetName val="Kuantitas"/>
      <sheetName val="Anl-Mob"/>
      <sheetName val="Analisa Sat"/>
      <sheetName val="On Site"/>
      <sheetName val="Susunan"/>
      <sheetName val="Personil"/>
      <sheetName val="Instruksi"/>
      <sheetName val="Skedul"/>
      <sheetName val="Sub-Kontrak"/>
      <sheetName val="Bahan LN"/>
      <sheetName val="S-Penawaran (2)"/>
      <sheetName val="Skedul "/>
      <sheetName val="Harga Satuan"/>
      <sheetName val="DMPU"/>
      <sheetName val="Analisa Harga"/>
      <sheetName val="Met Ag A B"/>
      <sheetName val="met Besi dan bajaPas Sal"/>
      <sheetName val="Sekat"/>
      <sheetName val="Analisa Alat"/>
      <sheetName val="Jadual"/>
      <sheetName val="Harga Satuan "/>
      <sheetName val="dt  personalia"/>
      <sheetName val="S-Penawaran"/>
      <sheetName val="cv jam"/>
      <sheetName val="2. cv srtpen (2)"/>
      <sheetName val="dafkuan"/>
      <sheetName val="Jadpel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ALAT"/>
      <sheetName val="dafper"/>
      <sheetName val="dafusul"/>
      <sheetName val="2. cv srtpen"/>
      <sheetName val="2. cv srtpen (3)"/>
      <sheetName val="Analisa Mobilisasi (3)"/>
      <sheetName val="Cover "/>
      <sheetName val="Peta"/>
      <sheetName val="Analisa Mobilisasi"/>
      <sheetName val="Analisa Mobilisasi (2)"/>
      <sheetName val="Analisa Harga MPU"/>
      <sheetName val="Kamus"/>
      <sheetName val="B _ Norelec"/>
      <sheetName val="PLB"/>
      <sheetName val="VAC "/>
      <sheetName val="LIS"/>
      <sheetName val="EF "/>
      <sheetName val="TLP&amp;DATA "/>
      <sheetName val="SS&amp;MATV"/>
      <sheetName val="AHS- AC"/>
      <sheetName val="AHS-EE"/>
      <sheetName val="AHS-EL"/>
      <sheetName val="ahs-pipa"/>
      <sheetName val="ahs-Gate Valve "/>
      <sheetName val="RekapITULASI "/>
      <sheetName val="Rekap_Persiapan"/>
      <sheetName val="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TAMBAH KURANG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SNI"/>
      <sheetName val="Analisa jalan"/>
      <sheetName val="Analisa non standar"/>
      <sheetName val="Analisa Pintu"/>
      <sheetName val="Analisa Preliminary "/>
      <sheetName val="PRELIM"/>
      <sheetName val="ASRAMA (C)"/>
      <sheetName val="REKTORAT (A)"/>
      <sheetName val="WORKSHOP (H)"/>
      <sheetName val="GENSET,POMPA &amp; GROUNDTANK (K)"/>
      <sheetName val="R.KOMPRESOR"/>
      <sheetName val="POS JAGA"/>
      <sheetName val="SITE"/>
      <sheetName val="harga sat.bhn"/>
      <sheetName val="analisa bhn&amp;upah"/>
      <sheetName val="tt-suara"/>
      <sheetName val="telp"/>
      <sheetName val="tt-udr"/>
      <sheetName val="hdrant"/>
      <sheetName val="REKAP CIVIL &amp; ME"/>
      <sheetName val="000000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ATK"/>
      <sheetName val="Perlengkapan ktr"/>
      <sheetName val="Bea Lap"/>
      <sheetName val="Lain2"/>
      <sheetName val="Safety_QC"/>
      <sheetName val="Provisi"/>
      <sheetName val="Resiko Manajemen"/>
      <sheetName val="Rekap "/>
      <sheetName val="Termin "/>
      <sheetName val="Prelim versi Fidic davis langd"/>
      <sheetName val="Penjumlahan"/>
      <sheetName val="Cover depan"/>
      <sheetName val="cover(PJML)"/>
      <sheetName val="Cover (1)"/>
      <sheetName val="Cover (2)"/>
      <sheetName val="Cover (3)"/>
      <sheetName val="COVER (4)"/>
      <sheetName val="CAT_HRG"/>
      <sheetName val="Bag_1"/>
      <sheetName val="DAF_1"/>
      <sheetName val="DAF_2 "/>
      <sheetName val="DAF_3"/>
      <sheetName val="DAF_4"/>
      <sheetName val="DAF_5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ana"/>
      <sheetName val="u"/>
      <sheetName val="b"/>
      <sheetName val="s"/>
      <sheetName val="DAF-6"/>
      <sheetName val="DAF-7"/>
      <sheetName val="DAF-8"/>
      <sheetName val="DAF-9"/>
      <sheetName val="DAF-10"/>
      <sheetName val="DAF-11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AGENDA"/>
      <sheetName val="LUAS LANTAI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Elekt"/>
      <sheetName val="SS"/>
      <sheetName val="MATV"/>
      <sheetName val="Elv"/>
      <sheetName val="Traf&amp;Gen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01A- RAB"/>
      <sheetName val="1A RKAB TTL"/>
      <sheetName val="01A- RAB (ars)"/>
      <sheetName val="Mandor"/>
      <sheetName val="HT"/>
      <sheetName val="SELASAR"/>
      <sheetName val="SELASAR-2"/>
      <sheetName val="GT-2 "/>
      <sheetName val="me"/>
      <sheetName val="REKAP UTAMA"/>
      <sheetName val="FINISHING"/>
      <sheetName val="HALAMAN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Lingkup"/>
      <sheetName val="STR-ARS"/>
      <sheetName val="Cover Daf-2"/>
      <sheetName val="Cover Daf-2 (2)"/>
      <sheetName val="BQ Daf-2"/>
      <sheetName val="MISC"/>
      <sheetName val="BLN"/>
      <sheetName val="GSK"/>
      <sheetName val="Currency Rate"/>
      <sheetName val="Cover_Luar"/>
      <sheetName val="PEKERJAAN PERSIAPAN"/>
      <sheetName val="LAIN-LAIN "/>
      <sheetName val="PENJUMLAHAN TOTAL"/>
      <sheetName val="Catatan Harga"/>
      <sheetName val="PANEL TM "/>
      <sheetName val="KABEL TM "/>
      <sheetName val="PENTANAHAN"/>
      <sheetName val="KABEL LADDER"/>
      <sheetName val="Rekap Progres"/>
      <sheetName val="Kontrak"/>
      <sheetName val="Traf_Genst"/>
      <sheetName val="D3_1"/>
      <sheetName val="Cover Daf_2"/>
      <sheetName val="DATA PROYEK"/>
      <sheetName val="DATA KEUANGAN"/>
      <sheetName val="Pekerjaan Utama"/>
      <sheetName val="Rekap Costplan"/>
      <sheetName val="Statement Bahan"/>
      <sheetName val="Statement Subkon"/>
      <sheetName val="STO"/>
      <sheetName val="Data Pesonil Inti"/>
      <sheetName val="REK PRINT"/>
      <sheetName val="RAB PRINT"/>
      <sheetName val="RAB CIMAHI"/>
      <sheetName val="8LT 12"/>
      <sheetName val="8LT PAK"/>
      <sheetName val="8LT SAR"/>
      <sheetName val="8LT TATA"/>
      <sheetName val="TNH"/>
      <sheetName val="FORM X COST"/>
      <sheetName val="SPL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Data_Data"/>
      <sheetName val="sLABcad"/>
      <sheetName val="SHEAR Wall "/>
      <sheetName val="CORE Wall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formula"/>
      <sheetName val="tumbuh"/>
      <sheetName val="atmr"/>
      <sheetName val="AMORTISASI SOL"/>
      <sheetName val="atmrnew"/>
      <sheetName val="kk.bank"/>
      <sheetName val="Kesbank"/>
      <sheetName val="Kesbank-NEW"/>
      <sheetName val="CAMEL"/>
      <sheetName val="CAPITAL"/>
      <sheetName val="4.1 Placement w.o.b"/>
      <sheetName val="4.2 Plc w.o.b Provision Movemnt"/>
      <sheetName val="5.2 Securities (commercial)"/>
      <sheetName val="5.2.1 List of Sale"/>
      <sheetName val="5.3 Bonds"/>
      <sheetName val="5.3.1 List of Sale"/>
      <sheetName val="16.1 Details of Sec Issued-GL"/>
      <sheetName val="16.2 FRN Issued"/>
      <sheetName val="16.3 Comm Papers Issued"/>
      <sheetName val="16.4 Bonds Issued"/>
      <sheetName val="17.1 Details of Fund Borrowing"/>
      <sheetName val="17.2 Call Money"/>
      <sheetName val="17.3 Time Deposit"/>
      <sheetName val="17.5 Exchange Offer"/>
      <sheetName val="17.7 Direct Offshore Loan"/>
      <sheetName val="17.9 Others"/>
      <sheetName val="22.1 Commitment Liabilities"/>
      <sheetName val="22.2 Contingencies Liabilities"/>
      <sheetName val="Front"/>
      <sheetName val="Check Sheet"/>
      <sheetName val="BSHO Report"/>
      <sheetName val="PLHO Report"/>
      <sheetName val="PLHOENG"/>
      <sheetName val="Group_Samples_STEP1"/>
      <sheetName val="GroupDebtors_STEP2"/>
      <sheetName val=" D.1 Memo"/>
      <sheetName val="D.1 Lead "/>
      <sheetName val="D.1.1 List OS"/>
      <sheetName val="D.1.1.1  EY Vouch Result"/>
      <sheetName val="D.1.2 Inc. test Resblns"/>
      <sheetName val="D.1.2.1 Avg. Placement"/>
      <sheetName val="D.1.2.2 Avg. CAWOB"/>
      <sheetName val="D.1.2.3 SL - int. income"/>
      <sheetName val="JASINDO"/>
      <sheetName val="BOSOWA"/>
      <sheetName val="ULTRA JAYA"/>
      <sheetName val="ANUGRAH PRIMA"/>
      <sheetName val="KID"/>
      <sheetName val="SAMPLE"/>
      <sheetName val="C-4 Index"/>
      <sheetName val="C-4 (LEAD)"/>
      <sheetName val="C-4 LEAD"/>
      <sheetName val="C-4.1"/>
      <sheetName val="C-4.2"/>
      <sheetName val="C-4.4"/>
      <sheetName val="C-4.3"/>
      <sheetName val="C-4.5"/>
      <sheetName val="CC-4"/>
      <sheetName val="C-4 Syariah"/>
      <sheetName val="E-2.2 int receivable"/>
      <sheetName val="U-  1.5.2"/>
      <sheetName val="U-1.5.2"/>
      <sheetName val="U-1.5.2.1"/>
      <sheetName val="U-1.5.2.2"/>
      <sheetName val="REPORT (2)"/>
      <sheetName val="OutputDoc"/>
      <sheetName val="Memo"/>
      <sheetName val="1"/>
      <sheetName val="URC Code"/>
      <sheetName val="S4-Lead All"/>
      <sheetName val="S4.1-Lead Accept Export"/>
      <sheetName val="S4.2-Lead Accept Import "/>
      <sheetName val="S4.1.1-Accept rec Ex per branch"/>
      <sheetName val="S4.2.1-Accept rec Imp per branc"/>
      <sheetName val="S4.1.1.1 Accept EXP Detail"/>
      <sheetName val="S4.2.1.1 Accept IMP Detail"/>
      <sheetName val="S4.2.1.2"/>
      <sheetName val="S4.2.1.3 GLvsDetail"/>
      <sheetName val="S4.3 Accept Pay per Branch"/>
      <sheetName val="GL KOREKSI"/>
      <sheetName val="glKA"/>
      <sheetName val="glTA"/>
      <sheetName val="MatProv"/>
      <sheetName val="S4.2.1.2 Accept UPAS Detail "/>
      <sheetName val="GLvsDetail"/>
      <sheetName val="TOC"/>
      <sheetName val="RN"/>
      <sheetName val="S4-Memo"/>
      <sheetName val="S4.2.1.2 UPAS Detail"/>
      <sheetName val="HK Branch"/>
      <sheetName val="Report Form"/>
      <sheetName val="S4.4-PPAP"/>
      <sheetName val="S4.5-MatProv"/>
      <sheetName val="S4.6-Report Form Accept"/>
      <sheetName val="S4.3-PPAP Accept"/>
      <sheetName val="S4.3.1-Accept rec detail"/>
      <sheetName val="Accept expired-Jkt"/>
      <sheetName val="Reclass to ALL"/>
      <sheetName val="Mat profile"/>
      <sheetName val="Accept exp"/>
      <sheetName val="PPAP Mov Rationale"/>
      <sheetName val="D.1.8 Unrealized Gain-Equity"/>
      <sheetName val="D.1.8.1 Test of Unrealized Gain"/>
      <sheetName val="D.1.9 Real-Unreal Gain-P&amp;L"/>
      <sheetName val="D.1.9.1 test unreal MS-tra"/>
      <sheetName val="D.1.9.2 test unreal GB-tra"/>
      <sheetName val="D.1.9.3 PBC Unrealized"/>
      <sheetName val="D.1.9.4 Realized Gain MS"/>
      <sheetName val="D.1.9.3List SaleAFS &amp; MatureHTM"/>
      <sheetName val="D.19.4 List of Sale-SBI"/>
      <sheetName val="D.1.9.5 List of Sale-Trading"/>
      <sheetName val="D.1.9.6 List of Sale-Overseas"/>
      <sheetName val="D.1.9.5List SaleAFS &amp; MatureHTM"/>
      <sheetName val="D.1.9.6 List of Sale-SBI"/>
      <sheetName val="D.1.9.7 List of Sale-Trading"/>
      <sheetName val="D.1.9.8 List of Sale-Overseas"/>
      <sheetName val="D.1.9.4 List Sale-Pak Cecep"/>
      <sheetName val="D.1.9.5 List of Sale SBI"/>
      <sheetName val="D.1.9.6 List of Sale CIB"/>
      <sheetName val="A3"/>
      <sheetName val="GL Correction"/>
      <sheetName val="C5.BO-Lead"/>
      <sheetName val="MS ARPs"/>
      <sheetName val="C5.1 Detai - SB"/>
      <sheetName val="C5.1.1BO-TRADING"/>
      <sheetName val="C5.1.2 BO-AFS"/>
      <sheetName val="C5.1.3 BO-HTM"/>
      <sheetName val="C5.2.1 BMEL"/>
      <sheetName val="C5.2.2 HK"/>
      <sheetName val="C5.2.3 CIB"/>
      <sheetName val="C5.2.4 SPORE"/>
      <sheetName val="C5.2a Summary"/>
      <sheetName val="PPAP-Rating"/>
      <sheetName val="Market Price"/>
      <sheetName val="Cover Reporting Package"/>
      <sheetName val="Exch.rate"/>
      <sheetName val="1-Cash"/>
      <sheetName val="2-Nostro"/>
      <sheetName val="2.1 Nostro Reconciliation"/>
      <sheetName val="3-Placement"/>
      <sheetName val="4-Marketable securities"/>
      <sheetName val="4.1 List of Sale - MS"/>
      <sheetName val="4.1-MS-maturity date"/>
      <sheetName val="5-Trade Document"/>
      <sheetName val="6-Reverse repo"/>
      <sheetName val="7-derivatives"/>
      <sheetName val="7.1 Additional Info"/>
      <sheetName val="8-Loan"/>
      <sheetName val="8.1-loan detail"/>
      <sheetName val="9-acceptance receivable"/>
      <sheetName val="10-Shares investment"/>
      <sheetName val="11-Fixed assets"/>
      <sheetName val="12-Other assets"/>
      <sheetName val="12.1-Deferred tax"/>
      <sheetName val="12.2-Corp.inc.tax rec.-payable"/>
      <sheetName val="13-Deposit"/>
      <sheetName val="14-Placement &amp; fund borrowing"/>
      <sheetName val="15-Securities issued"/>
      <sheetName val="16-Repo"/>
      <sheetName val="17-acceptance liability"/>
      <sheetName val="18-Accrued exp"/>
      <sheetName val="19-Other liabilities"/>
      <sheetName val="20-Commitments"/>
      <sheetName val="21-Subord.loan"/>
      <sheetName val="22-Loan capital"/>
      <sheetName val="IS_Support"/>
      <sheetName val="SoC in Equity"/>
      <sheetName val="Cash Flows"/>
      <sheetName val="Addiional Info - Avg i rate"/>
      <sheetName val="Additional_info"/>
      <sheetName val="MS portfolio all"/>
      <sheetName val="Trade Doc"/>
      <sheetName val="ATMR-SBLC"/>
      <sheetName val="ATMR BG-Credit"/>
      <sheetName val="Irrevoc. LC"/>
      <sheetName val="ATMR BG-Non CR"/>
      <sheetName val="D1 memo"/>
      <sheetName val="D1 a Lead Consol"/>
      <sheetName val="D1 b Portfolio Consol"/>
      <sheetName val="D1 b.1 Summary Portfolio"/>
      <sheetName val="D1 c Elimination"/>
      <sheetName val="D1 c.1 BMEL MS"/>
      <sheetName val="D1 c.2 Mandsek MS"/>
      <sheetName val="D1 c.3 BSM MS"/>
      <sheetName val="D1 c.4 PIM MS"/>
      <sheetName val="D1 c.5 UGBDN MS"/>
      <sheetName val="D1 d Lead Bank only"/>
      <sheetName val="D1 d.1-GL corr"/>
      <sheetName val="D1.0 ARPs Unaudited"/>
      <sheetName val="D1.0 ARPs Audited"/>
      <sheetName val="D1.1 Portfolio Bank Only"/>
      <sheetName val="D1.2 SBI portfolio"/>
      <sheetName val="D1.2.1 SBI S4"/>
      <sheetName val="D1.3 MS HO"/>
      <sheetName val="D1.4.1 MS HK"/>
      <sheetName val="D1.4.2 MS S'pore"/>
      <sheetName val="D1.4.3 MS CIB"/>
      <sheetName val="D1.5.1 HTM Movt-HO"/>
      <sheetName val="D1.5.2 HTM Movt-CIB"/>
      <sheetName val="D1.5.3 HTM Movt-Spore"/>
      <sheetName val="D.1.5.4 HTM Movt-HK"/>
      <sheetName val="D.1.5.5 HTM Movt-BMEL"/>
      <sheetName val="D1.6 Memo on PPAP"/>
      <sheetName val="D1.6a Lead PPAP"/>
      <sheetName val="D1.6b GL Cor PPAP"/>
      <sheetName val="D1.6.1 PPAP analysis scen1"/>
      <sheetName val="D1.6.1 PPAP analysis scen2"/>
      <sheetName val="PPAP Subs"/>
      <sheetName val="D1.6.7 Memo on Reksadana"/>
      <sheetName val="D1.6.8 PPAP Movt CONSOL"/>
      <sheetName val="D1.6.1 PPAP analysis"/>
      <sheetName val="D1 Report form 2005"/>
      <sheetName val="D1 Report form 2004"/>
      <sheetName val="D1 c.1-GL corr"/>
      <sheetName val="D1.6.1.1 PPAP Subs"/>
      <sheetName val="D1.6.8 Movement PPAP"/>
      <sheetName val="D1 c.4 PIM MS ok"/>
      <sheetName val="ALLOWANCE-FINAL"/>
      <sheetName val="Dec-Audited"/>
      <sheetName val="Sep-Audited"/>
      <sheetName val="Dec-Un"/>
      <sheetName val="Sep-Un"/>
      <sheetName val="KasInTransit-Dec07-Sep07-AllCur"/>
      <sheetName val="KasInTransit-Dec07-Dec06-AllCur"/>
      <sheetName val="Pivot-KasInTransit-Dec07"/>
      <sheetName val="Pivot-KasInTransit-Sep07"/>
      <sheetName val="Pivot-KasInTransit-Dec06"/>
      <sheetName val="KasInTransit-Dec07"/>
      <sheetName val="KasInTransit-Sep07"/>
      <sheetName val="KasInTransit-Dec06"/>
      <sheetName val="KasUtama-Dec07-Sep07-AllCur"/>
      <sheetName val="KasUtama-Dec07-Dec06-AllCurr"/>
      <sheetName val="KasUtama-Dec07-Dec06-PerCurr"/>
      <sheetName val="Pivot-KasUtama-Dec07"/>
      <sheetName val="KasUtama-Dec07"/>
      <sheetName val="Pivot-KasUtama-Dec06"/>
      <sheetName val="KasUtama-Dec06"/>
      <sheetName val="Pivot-KasUtama-Sep07"/>
      <sheetName val="KasUtama-Sep07"/>
      <sheetName val="Selisih ATM"/>
      <sheetName val="7.1-derivatives details"/>
      <sheetName val="Est. loss on Cont &amp; Comm"/>
      <sheetName val="BS Detail"/>
      <sheetName val="Int Acc"/>
      <sheetName val="HOASS"/>
      <sheetName val="HOLIAB"/>
      <sheetName val="J1.1"/>
      <sheetName val="J1.1.1"/>
      <sheetName val="J1.2"/>
      <sheetName val="J1.2.1"/>
      <sheetName val="J1.2.2"/>
      <sheetName val="J1.3"/>
      <sheetName val="J1.3.1"/>
      <sheetName val="J1.3.2"/>
      <sheetName val="J1.3.3"/>
      <sheetName val="J1.4"/>
      <sheetName val="J1.4.1"/>
      <sheetName val="J1.5"/>
      <sheetName val="J1.5.1"/>
      <sheetName val="J1.5.2"/>
      <sheetName val="J1.6"/>
      <sheetName val="J1.6.1"/>
      <sheetName val="J1.6.2"/>
      <sheetName val="J1.7"/>
      <sheetName val="J1.7.1"/>
      <sheetName val="J1.7.2"/>
      <sheetName val="J1.8"/>
      <sheetName val="J1.8.1"/>
      <sheetName val="J1.8.2"/>
      <sheetName val="J1.9"/>
      <sheetName val="J1.9.1"/>
      <sheetName val="J1.9.2"/>
      <sheetName val="J1.10"/>
      <sheetName val="J1.10.1"/>
      <sheetName val="J1.10.2"/>
      <sheetName val="J1.11"/>
      <sheetName val="Koreksi RAK"/>
      <sheetName val="Koreksi Audit"/>
      <sheetName val="NAktiva"/>
      <sheetName val="NPasiva"/>
      <sheetName val="Rugi Laba"/>
      <sheetName val="Ekuitas"/>
      <sheetName val="2001"/>
      <sheetName val="Aktap"/>
      <sheetName val="ADM"/>
      <sheetName val="Print-Rin.Psv"/>
      <sheetName val="Print-Rin.Akt"/>
      <sheetName val="input-Rin.Psv"/>
      <sheetName val="input-Rin.Akt"/>
      <sheetName val="input-So.AKT"/>
      <sheetName val="Input-So.PAS"/>
      <sheetName val="Input-RAK Debet"/>
      <sheetName val="Input-RAK Kredit"/>
      <sheetName val="input-Adm"/>
      <sheetName val="Data-Syariah"/>
      <sheetName val="fm13(Giro)"/>
      <sheetName val="Periode"/>
      <sheetName val="Now"/>
      <sheetName val="Old vs New"/>
      <sheetName val="D-Krd"/>
      <sheetName val="Pend Dit"/>
      <sheetName val="Krd Deb"/>
      <sheetName val="PvtValDeb"/>
      <sheetName val="PvtDeb"/>
      <sheetName val="PvtvalMU"/>
      <sheetName val="PivotMU"/>
      <sheetName val="Korporasi"/>
      <sheetName val="Komersial"/>
      <sheetName val="Lancar"/>
      <sheetName val="DPK"/>
      <sheetName val="KL"/>
      <sheetName val="Diragukan"/>
      <sheetName val="Macet"/>
      <sheetName val="Konsumen"/>
      <sheetName val="Pvt Kol"/>
      <sheetName val="Rkp1-5"/>
      <sheetName val="cek blokir"/>
      <sheetName val="__4DEB_KREDIT__FINISH_"/>
      <sheetName val="Kom1"/>
      <sheetName val="Kom2"/>
      <sheetName val="Kom3"/>
      <sheetName val="Kom5"/>
      <sheetName val="Kor1"/>
      <sheetName val="Kor2"/>
      <sheetName val="Kor3"/>
      <sheetName val="April"/>
      <sheetName val="Addition"/>
      <sheetName val="4.1 List of Sales - MS"/>
      <sheetName val="4.2-MS-maturity date"/>
      <sheetName val="7.1 Derivatives Details"/>
      <sheetName val="Comm&amp; Cont.loss est."/>
      <sheetName val="Q1.4 Memo"/>
      <sheetName val="Q1.4 Detail of BA"/>
      <sheetName val="Q1.4.1 Nature of BA Transaction"/>
      <sheetName val="17.7-Direct Offshore Loan"/>
      <sheetName val="P.Jimmy"/>
      <sheetName val="P.Jimmy (2)"/>
      <sheetName val="SW1"/>
      <sheetName val="COF-VOF"/>
      <sheetName val="TOR"/>
      <sheetName val="BIXY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Eva-bahan"/>
      <sheetName val="Progress "/>
      <sheetName val="cek sisa bahan"/>
      <sheetName val="Mntr BMP"/>
      <sheetName val="BIAYA UMUM"/>
      <sheetName val="Rekap PI"/>
      <sheetName val="Lapangan"/>
      <sheetName val="Sumda"/>
      <sheetName val="Equipment"/>
      <sheetName val="Ls"/>
      <sheetName val="AngL01B"/>
      <sheetName val="AngL03"/>
      <sheetName val="depo"/>
      <sheetName val="CASTINGYARD"/>
      <sheetName val="REKAP A BESAR"/>
      <sheetName val="Pt"/>
      <sheetName val="daftarbhn"/>
      <sheetName val="Mess"/>
      <sheetName val="By"/>
      <sheetName val="HSatuan"/>
      <sheetName val="REF_ONLY"/>
      <sheetName val="Markup"/>
      <sheetName val="REQDELTA"/>
      <sheetName val="UNIT PRICE"/>
      <sheetName val="BoQ Merak"/>
      <sheetName val="Daftar - Isi"/>
      <sheetName val="Hit Vol Str Jambi"/>
      <sheetName val="Hit Vol_PSU"/>
      <sheetName val="R A B"/>
      <sheetName val="&quot;S&quot; Curve"/>
      <sheetName val="UPAH _ ALAT"/>
      <sheetName val="BoQ "/>
      <sheetName val="B_Alat"/>
      <sheetName val="XXXXXXXXX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Pers"/>
      <sheetName val="Tunjang"/>
      <sheetName val="INDEKS"/>
      <sheetName val="JABATAN"/>
      <sheetName val="Umum"/>
      <sheetName val="A_ars"/>
      <sheetName val="str"/>
      <sheetName val="ceiling"/>
      <sheetName val="dw"/>
      <sheetName val="others"/>
      <sheetName val="index"/>
      <sheetName val="rate (3)"/>
      <sheetName val="rate"/>
      <sheetName val="rate (2)"/>
      <sheetName val="unit rate"/>
      <sheetName val="1-8"/>
      <sheetName val="rek1-8"/>
      <sheetName val="Recap"/>
      <sheetName val="B-ARS"/>
      <sheetName val="U-ARS"/>
      <sheetName val="A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AN-TANG+PLESTR"/>
      <sheetName val="Vol kusen "/>
      <sheetName val="Analisa (1)"/>
      <sheetName val="ANALISA (2)"/>
      <sheetName val="CM"/>
      <sheetName val="COST CONTROL"/>
      <sheetName val="progres"/>
      <sheetName val="EVA-R"/>
      <sheetName val="TREND RASIO"/>
      <sheetName val="PQ.PMT-003.08"/>
      <sheetName val="FORECAST FEBRUARI"/>
      <sheetName val="FORECAST MARET"/>
      <sheetName val="FORECAST APRIL"/>
      <sheetName val="FORECAST MEI"/>
      <sheetName val="Col Periode"/>
      <sheetName val="piut masalah"/>
      <sheetName val="INFO AWL THN"/>
      <sheetName val="FC AWL THN"/>
      <sheetName val="REAL KONT"/>
      <sheetName val="REALISI KONT 08"/>
      <sheetName val="ESTMSI KONT"/>
      <sheetName val="EVA PENJLN 08"/>
      <sheetName val="Rencana Kerja Readymix"/>
      <sheetName val="Size_share08"/>
      <sheetName val="grafik (2)"/>
      <sheetName val="SEGMENTASI"/>
      <sheetName val="M_AREA PSR"/>
      <sheetName val="Pert_Psar"/>
      <sheetName val="Pertm_Mrkt Size"/>
      <sheetName val="Harga rta2"/>
      <sheetName val="EVALUASI SAR 08"/>
      <sheetName val="Actn Plant"/>
      <sheetName val="RENC KONTRK 2009"/>
      <sheetName val="Pertm_Mrkt"/>
      <sheetName val="EV_SIZE"/>
      <sheetName val="Kinerja"/>
      <sheetName val="REAL JULI"/>
      <sheetName val="ANALISA PEK.UMUM"/>
      <sheetName val="INF08"/>
      <sheetName val="EVAINF08"/>
      <sheetName val="EVAINF08 (PPT)"/>
      <sheetName val="REKAPMS08 (31%) (2)"/>
      <sheetName val="RENCKTRK08"/>
      <sheetName val="RENCKTRK08 (2)"/>
      <sheetName val="IT-SDSEPT"/>
      <sheetName val="ITSDSEPT"/>
      <sheetName val="PENYERAPANKTRK"/>
      <sheetName val="BoQ1"/>
      <sheetName val="Hs_Bhn"/>
      <sheetName val="Sewa"/>
      <sheetName val="Mob"/>
      <sheetName val="Div.7.1"/>
      <sheetName val="Div.7.2"/>
      <sheetName val="L1"/>
      <sheetName val="S1"/>
      <sheetName val="s2"/>
      <sheetName val="Rbul"/>
      <sheetName val="Volume"/>
      <sheetName val="Analisa Alat Berat"/>
      <sheetName val="An_1"/>
      <sheetName val="An_2"/>
      <sheetName val="An_3"/>
      <sheetName val="1.TABULASI"/>
      <sheetName val="1.SAR JKT Rev TW 1"/>
      <sheetName val="Renc Awal Thn 2013 (slab)"/>
      <sheetName val="1.SAR JKT Rev TW 2"/>
      <sheetName val="1.SAR JKT Rev TW 3"/>
      <sheetName val="Rekap Action Plan"/>
      <sheetName val="Agu"/>
      <sheetName val="RUGI-LAB"/>
      <sheetName val="BP&amp;L"/>
      <sheetName val="NERACA-P"/>
      <sheetName val="L-TAHAN"/>
      <sheetName val="KAS-BANK"/>
      <sheetName val="P-DAGANG"/>
      <sheetName val="P-JALAN"/>
      <sheetName val="P-KEBUN"/>
      <sheetName val="P-R&amp;D"/>
      <sheetName val="P-SEPUPU"/>
      <sheetName val="P-BRG"/>
      <sheetName val="P-DINAS"/>
      <sheetName val="BY-MUKA"/>
      <sheetName val="P-LAIN"/>
      <sheetName val="PPN "/>
      <sheetName val="AK-PLUS"/>
      <sheetName val="AKTIVA"/>
      <sheetName val="AKTIVA RND"/>
      <sheetName val="TM"/>
      <sheetName val="CIP"/>
      <sheetName val="B-TANGGU"/>
      <sheetName val="H-DAGANG"/>
      <sheetName val="B-UTANG"/>
      <sheetName val="PPH-21 &amp; 23"/>
      <sheetName val="H-PPN"/>
      <sheetName val="H-PT"/>
      <sheetName val="H-LAIN"/>
      <sheetName val="H-BANK"/>
      <sheetName val="BBTL"/>
      <sheetName val="BTL-1"/>
      <sheetName val="SALES-C"/>
      <sheetName val="SALES-F"/>
      <sheetName val="OEXP BTL"/>
      <sheetName val="platts_prod(MOPS)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-Rate"/>
      <sheetName val="CODESS"/>
      <sheetName val="PPN_"/>
      <sheetName val="AKTIVA_RND"/>
      <sheetName val="PPH-21_&amp;_23"/>
      <sheetName val="OEXP_BTL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ABK.04.AWALR+CO+TAB.RUPS"/>
      <sheetName val="R-1"/>
      <sheetName val="R-14.OIL"/>
      <sheetName val="Recovered_Sheet1"/>
      <sheetName val="10000"/>
      <sheetName val="Recovered_Sheet2"/>
      <sheetName val="Recovered_Sheet3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topWBS2"/>
      <sheetName val="topWBS1"/>
      <sheetName val="Consolidated jurnal"/>
      <sheetName val="dtlE1"/>
      <sheetName val="TopPL"/>
      <sheetName val="E2"/>
      <sheetName val="N2"/>
      <sheetName val="P"/>
      <sheetName val="dtlN1"/>
      <sheetName val="E1"/>
      <sheetName val="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PM"/>
      <sheetName val="A4.1"/>
      <sheetName val="A4.2"/>
      <sheetName val="A4.3"/>
      <sheetName val="A4.4"/>
      <sheetName val="CAJE&amp;CRJE"/>
      <sheetName val="TB2012"/>
      <sheetName val="TB Oct"/>
      <sheetName val="A4"/>
      <sheetName val="A3 BS"/>
      <sheetName val="A3 IS "/>
      <sheetName val="SRM"/>
      <sheetName val="def.albert"/>
      <sheetName val="corp tax"/>
      <sheetName val="FS-oni"/>
      <sheetName val="A3-aft PPh21"/>
      <sheetName val="AJE-aft PPh21"/>
      <sheetName val="ML tax auria"/>
      <sheetName val="2-asi-00"/>
      <sheetName val="FCG, B but MF"/>
      <sheetName val="TIS Report Printscreen"/>
      <sheetName val="Gen Info"/>
      <sheetName val="Procedures"/>
      <sheetName val="Master Entries"/>
      <sheetName val="Master for Print"/>
      <sheetName val="Entries by Acct"/>
      <sheetName val="Entries for Tax"/>
      <sheetName val="Setup Sheet"/>
      <sheetName val="BS Effect"/>
      <sheetName val="IS Effect"/>
      <sheetName val="Formulas&amp;Settings"/>
      <sheetName val="Tax Formulas"/>
      <sheetName val="Done Mssg Box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K Lead"/>
      <sheetName val="K.1 FA Sum"/>
      <sheetName val="K.1.1 Predictive June'06"/>
      <sheetName val="K Lead May"/>
      <sheetName val="K.1 FA Sum May"/>
      <sheetName val="K.1.1 Predictive May'06"/>
      <sheetName val="bs_pl_mar_06_vs_jun_06"/>
      <sheetName val="WBSA report  "/>
      <sheetName val="WBSB report"/>
      <sheetName val="Adjustment "/>
      <sheetName val="CF-March'05"/>
      <sheetName val="Recon"/>
      <sheetName val="CFnot used"/>
      <sheetName val="F 001"/>
      <sheetName val="F.100 "/>
      <sheetName val="F.200"/>
      <sheetName val="F.300 TACM "/>
      <sheetName val="F 400 INV TO"/>
      <sheetName val="F 500"/>
      <sheetName val="F.501"/>
      <sheetName val="F 502"/>
      <sheetName val="mutation "/>
      <sheetName val="VB.001"/>
      <sheetName val="VB 100 June 2"/>
      <sheetName val="VB 200 June2"/>
      <sheetName val="VB 300 June 2"/>
      <sheetName val="VB 300 May"/>
      <sheetName val="VB 100 June"/>
      <sheetName val="VB 200 June"/>
      <sheetName val="VB 300 June"/>
      <sheetName val="VB 400 June"/>
      <sheetName val="VB 500 June"/>
      <sheetName val="VB 100 May"/>
      <sheetName val="VB 200 May"/>
      <sheetName val="VB 400 May"/>
      <sheetName val="VB 100 March"/>
      <sheetName val="VB 200 March"/>
      <sheetName val="VB 300 March"/>
      <sheetName val="VB 400 March"/>
      <sheetName val="K 001"/>
      <sheetName val="K 100 Mar"/>
      <sheetName val="K 100 Feb"/>
      <sheetName val="K 100 Dec"/>
      <sheetName val="Mutation FA"/>
      <sheetName val="BS_PL as of Dec '08 &amp; as of Dec"/>
      <sheetName val="Prepaid 22"/>
      <sheetName val="Prepaid 23"/>
      <sheetName val="Prepaid 25"/>
      <sheetName val="SKFLN"/>
      <sheetName val=" 2nd Q"/>
      <sheetName val="GL apr-mei"/>
      <sheetName val="GL Jun"/>
      <sheetName val="fisc depr 2nd"/>
      <sheetName val="Deferred tax-30%"/>
      <sheetName val="Allowance AP"/>
      <sheetName val="Sold Asset in 2009"/>
      <sheetName val="BS_PL Apr-Mei"/>
      <sheetName val="C Memo"/>
      <sheetName val="C Section"/>
      <sheetName val="bank CO"/>
      <sheetName val="F Memo"/>
      <sheetName val="F-Lead"/>
      <sheetName val="Ftest"/>
      <sheetName val="Frollforward"/>
      <sheetName val="Sales CO"/>
      <sheetName val="Purchase CO"/>
      <sheetName val="Frollforward (2)"/>
      <sheetName val="E.2 Lead"/>
      <sheetName val="E.2.1"/>
      <sheetName val="E.2.2"/>
      <sheetName val="E.2.2.1"/>
      <sheetName val="E.2.2.2"/>
      <sheetName val="E.2.3"/>
      <sheetName val="E.2.4"/>
      <sheetName val="E.2.4.1"/>
      <sheetName val="GL"/>
      <sheetName val="VB"/>
      <sheetName val="VB.1"/>
      <sheetName val="VB.2"/>
      <sheetName val="VC"/>
      <sheetName val="VC.1"/>
      <sheetName val="VC.2"/>
      <sheetName val="VC.3"/>
      <sheetName val="VC.4"/>
      <sheetName val="SALESDES_04"/>
      <sheetName val="DISCOUNT"/>
      <sheetName val="RETUR"/>
      <sheetName val="NET SALES"/>
      <sheetName val="SALESAGT_04"/>
      <sheetName val="SALESJAN_04"/>
      <sheetName val="SALESFEB_04"/>
      <sheetName val="SALESMRT_04"/>
      <sheetName val="SALESAPR_04"/>
      <sheetName val="SALESMEI_04"/>
      <sheetName val="SALESJUNI_04"/>
      <sheetName val="SALESJULI_04"/>
      <sheetName val="SALESSEPT_04"/>
      <sheetName val="SALESOKT_04"/>
      <sheetName val="SALES OKT06"/>
      <sheetName val="SALESNOP_04"/>
      <sheetName val="SALESJAN_03"/>
      <sheetName val="SALESFEB_03"/>
      <sheetName val="SALESMRT_03"/>
      <sheetName val="SALESAPR_03"/>
      <sheetName val="SALESMEI_03"/>
      <sheetName val="SALESJUNI_03"/>
      <sheetName val="SALESJULI_03"/>
      <sheetName val="SALESAGT_03"/>
      <sheetName val="SALESSEP_03"/>
      <sheetName val="SALESOKT_03"/>
      <sheetName val="SALESNOP_03"/>
      <sheetName val="SALESDES_03"/>
      <sheetName val="pcs_avg"/>
      <sheetName val="sum_prd"/>
      <sheetName val="sum_pack"/>
      <sheetName val="personal"/>
      <sheetName val="note_defect"/>
      <sheetName val="lat"/>
      <sheetName val="itwil"/>
      <sheetName val="bupati"/>
      <sheetName val="bappeda"/>
      <sheetName val="ah sanitary"/>
      <sheetName val="saklar"/>
      <sheetName val="lampu"/>
      <sheetName val="kabel"/>
      <sheetName val="hs inst. elektrikal"/>
      <sheetName val="pipa"/>
      <sheetName val="exhaust"/>
      <sheetName val="ducting"/>
      <sheetName val="spesifikasi mat dan type"/>
      <sheetName val="Ars"/>
      <sheetName val="LF"/>
      <sheetName val="EL"/>
      <sheetName val="TP"/>
      <sheetName val="TS"/>
      <sheetName val="ah.cp"/>
      <sheetName val="hs.cp"/>
      <sheetName val="hs me"/>
      <sheetName val="hs pipa"/>
      <sheetName val="acc pl"/>
      <sheetName val="p refr"/>
      <sheetName val="duct"/>
      <sheetName val="AN-ARS"/>
      <sheetName val="AN-STR"/>
      <sheetName val="HS-BAHAN"/>
      <sheetName val="HS-UPAH"/>
      <sheetName val="HS- ALAT"/>
      <sheetName val="refrigerant"/>
      <sheetName val="accesories pl"/>
      <sheetName val="Sheet16"/>
      <sheetName val="Sheet15"/>
      <sheetName val="Non Std Mek"/>
      <sheetName val="Non Std Elekt"/>
      <sheetName val="hs elektrikal"/>
      <sheetName val="dft peralatan"/>
      <sheetName val="schedyle"/>
      <sheetName val="dft material"/>
      <sheetName val="kop brosur"/>
      <sheetName val="take up mtrl ducting"/>
      <sheetName val="alamat"/>
      <sheetName val="UBS-Realisasi 1999"/>
      <sheetName val="UBS-bayar"/>
      <sheetName val="UBS-bayar (2)"/>
      <sheetName val="TBM"/>
      <sheetName val="NERKON "/>
      <sheetName val="KB"/>
      <sheetName val="P-Kebun "/>
      <sheetName val="P-DGN"/>
      <sheetName val="PsDiPj"/>
      <sheetName val="PPEGxx"/>
      <sheetName val="BYRMXX"/>
      <sheetName val="PPEMxx"/>
      <sheetName val="PLL "/>
      <sheetName val="REKAP-AT"/>
      <sheetName val="Depre-TM"/>
      <sheetName val="AL-BTL KK (2)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B "/>
      <sheetName val="HBJP"/>
      <sheetName val="PJR.PENJ "/>
      <sheetName val="JASAGIRO"/>
      <sheetName val="DAF.ISI"/>
      <sheetName val="Ak_pro "/>
      <sheetName val="PJR.PENJ"/>
      <sheetName val="SAWIT"/>
      <sheetName val="KARET"/>
      <sheetName val="TEH"/>
      <sheetName val="KANDIR"/>
      <sheetName val="NERACA LAJUR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ahp duct bdn"/>
      <sheetName val="pipa hydr bdn"/>
      <sheetName val="access duct bdn"/>
      <sheetName val="Sheet5"/>
      <sheetName val="ahp duct dan hydrat bdn"/>
      <sheetName val="hs elektrikal bdn"/>
      <sheetName val="panel bdn &amp; acce ducting"/>
      <sheetName val="daftar peralatan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Beban-beban"/>
      <sheetName val="Beban-beban Jan-Jun Olah"/>
      <sheetName val="Pajak Tangguhan"/>
      <sheetName val="Pajak Tangguhan (2)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  <sheetName val="Jun2002"/>
      <sheetName val="Instruction"/>
      <sheetName val="All Sites"/>
      <sheetName val="Core Sites"/>
      <sheetName val="KPI All Sites"/>
      <sheetName val="KPI Dev All Sites"/>
      <sheetName val="KPI Dev Core Sites"/>
      <sheetName val="Site Details"/>
      <sheetName val="SiteBench"/>
      <sheetName val="BI Global"/>
      <sheetName val="Tabelle1"/>
      <sheetName val="MasterData"/>
      <sheetName val="Auxiliary"/>
      <sheetName val="Plasma"/>
      <sheetName val="Inti_2000 (2)"/>
      <sheetName val="Deftax"/>
      <sheetName val="Tax recon"/>
      <sheetName val="Adj kash"/>
      <sheetName val="99-00"/>
      <sheetName val="Cflow00"/>
      <sheetName val="2000-2001"/>
      <sheetName val="Cflow01"/>
      <sheetName val="CFW-01"/>
      <sheetName val="CFS-01"/>
      <sheetName val="2001-2002"/>
      <sheetName val="Cflow02"/>
      <sheetName val="CFW-02"/>
      <sheetName val="CFS-02"/>
      <sheetName val="2002-2003"/>
      <sheetName val="Combined WBS PL"/>
      <sheetName val="WBS PL HO"/>
      <sheetName val="WBS PL Branch 1"/>
      <sheetName val="AJE HO"/>
      <sheetName val="AJE Branch 1"/>
      <sheetName val="RJE Combine"/>
      <sheetName val="Flow PSDH_306"/>
      <sheetName val="LEAD_UNIT_301"/>
      <sheetName val="SUPPORT PER KPH_302"/>
      <sheetName val="II M_307"/>
      <sheetName val="Setoran PSDH_303"/>
      <sheetName val="Supp_304"/>
      <sheetName val="Supp_305"/>
      <sheetName val="N. AP trade"/>
      <sheetName val="P.1 Accrued expense"/>
      <sheetName val="P.2 Advance from customer"/>
      <sheetName val="O. Taxes payable"/>
      <sheetName val="O.1 Ps 21"/>
      <sheetName val="O.2 Ps 22"/>
      <sheetName val="O.3 Ps 23"/>
      <sheetName val="O.4 Ps 26"/>
      <sheetName val="O.5 Ps 25"/>
      <sheetName val="Q.1 Bank Loan"/>
      <sheetName val="Q.2 Leasing"/>
      <sheetName val="Q.3 Pension Fund"/>
      <sheetName val="R.Deferred tax liabilities"/>
      <sheetName val="T.CAPITAL STOCK"/>
      <sheetName val="U.1.1 Sales"/>
      <sheetName val="U.2.1 COGS"/>
      <sheetName val="U.2.1.1"/>
      <sheetName val="U.2.2 Opex"/>
      <sheetName val="Kegiatan per bidang jasa"/>
      <sheetName val="asumsi 2011"/>
      <sheetName val="asumsi 2012"/>
      <sheetName val="daftar nama"/>
      <sheetName val="posisi-personil"/>
      <sheetName val="Program kerja"/>
      <sheetName val="Ringkasan RAB"/>
      <sheetName val="Definisi biaya"/>
      <sheetName val="GPs"/>
      <sheetName val="Pengisian GPs"/>
      <sheetName val="U.1.2 Other charges (income)"/>
      <sheetName val="PROVISION INCOME TAX"/>
      <sheetName val="C.1 Cash on hand and in banks"/>
      <sheetName val="Confirmation"/>
      <sheetName val="C.2 Time deposit"/>
      <sheetName val="D. Notes Receivable"/>
      <sheetName val="D.1 NR"/>
      <sheetName val="D.2 Laverton"/>
      <sheetName val="E.ACCOUNT RECEVABLE"/>
      <sheetName val="I. Other receivable (payable)"/>
      <sheetName val="F. Inventories"/>
      <sheetName val="F.1 Test Pricing"/>
      <sheetName val="G.1 Advance to supplier"/>
      <sheetName val="G.2 Prepaid Exp"/>
      <sheetName val="G.3 Prepaid Taxes"/>
      <sheetName val="K Memo"/>
      <sheetName val="K.1 MOVEMENT"/>
      <sheetName val="K.1.1 SME"/>
      <sheetName val="K.1.1.1 TM"/>
      <sheetName val="K.1.1.2 BUILDINGS"/>
      <sheetName val="K.1.1.3 LAND.IMPVMT"/>
      <sheetName val="K.1.1.4 MACHINERY &amp; EQUIPMENT"/>
      <sheetName val="K.1.1.5 HEAVY EQP.&amp;VEHICLE"/>
      <sheetName val="K.1.1.6 OFF.EQUIP.&amp;FIXTURES"/>
      <sheetName val="K.1.1.7 CIP"/>
      <sheetName val="K.1.2 KKE"/>
      <sheetName val="K.1.2.1 TM"/>
      <sheetName val="K.1.2.2 TBM"/>
      <sheetName val="K.1.2.3 BUILDINGS"/>
      <sheetName val="K.1.2.4 LAND.IMPRVT."/>
      <sheetName val="K.1.2.5 MACHINERY &amp;EQUIP"/>
      <sheetName val="K.1.2.6 HEAVY EQUIP.&amp;VEHICLE"/>
      <sheetName val="K.1.2.7 OFF.EQUIP&amp;FIXTURE"/>
      <sheetName val="K.1.2.8 CIP"/>
      <sheetName val="K.1.3 SIE"/>
      <sheetName val="K.1.3.1 TM "/>
      <sheetName val="K.1.3.2 TBM"/>
      <sheetName val="K.1.3.3 BUILDINGS"/>
      <sheetName val="K.1.3.4 MACHINERY&amp;EQUIPT"/>
      <sheetName val="K.1.3.5 HEAVY EQUIP.&amp;VEHICLE"/>
      <sheetName val="K.1.3.6 OFF.EQUIP&amp;FIX"/>
      <sheetName val="K.1.3.7 CIP"/>
      <sheetName val="K.1.4 SMF"/>
      <sheetName val="K.1.4.1 BUILDINGS"/>
      <sheetName val="K.1.4.2 LAND.IMPRVT"/>
      <sheetName val="K.1.4.3 MACHINERY&amp;EQUIP"/>
      <sheetName val="K.1.4.4 HEAVY EQUIP.&amp;VEHICLE"/>
      <sheetName val="K.1.4.5 OFF.EQUIP"/>
      <sheetName val="K.1.4.6 CIP"/>
      <sheetName val="K2 Vouching"/>
      <sheetName val="J. Other Assets"/>
      <sheetName val="J.1 Deffered Landright"/>
      <sheetName val="TBM  (3)"/>
      <sheetName val="CIP USD"/>
      <sheetName val="rekapSept"/>
      <sheetName val="tanah"/>
      <sheetName val="bgn"/>
      <sheetName val="pra"/>
      <sheetName val="kend "/>
      <sheetName val="bengk."/>
      <sheetName val="air&amp;lis"/>
      <sheetName val="invent.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pph"/>
      <sheetName val="HB"/>
      <sheetName val="AL-BTL KK"/>
      <sheetName val="BTL-RO"/>
      <sheetName val="PASIVA"/>
      <sheetName val="PERUBAHAN EQUITAS"/>
      <sheetName val="Kertas Kerja Neraca_2007_PT"/>
      <sheetName val="AJP 2006"/>
      <sheetName val="Jurkor 2007"/>
      <sheetName val="Kertas Kerja Laba-Rugi_2007_PT"/>
      <sheetName val="2006"/>
      <sheetName val="AJP 2005"/>
      <sheetName val="Piutang Usaha_edited_PT"/>
      <sheetName val="Piutang Usaha_Sort_PT"/>
      <sheetName val="Asuransi_edited_PT"/>
      <sheetName val="Hutang_Edited_PT"/>
      <sheetName val="RJP 2006"/>
      <sheetName val="2005"/>
      <sheetName val="2004"/>
      <sheetName val="Pjk kini"/>
      <sheetName val="Pjk kini_2007_PT"/>
      <sheetName val="Pjk tangguhan"/>
      <sheetName val="Rekon pjk"/>
      <sheetName val="General"/>
      <sheetName val="Capex Sum"/>
      <sheetName val="AAL"/>
      <sheetName val="IIS"/>
      <sheetName val="AARJ"/>
      <sheetName val="march"/>
      <sheetName val="rsk"/>
      <sheetName val="aic"/>
      <sheetName val="Ist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CRITERIA3"/>
      <sheetName val="CCAI BOOK TEMPLATE"/>
      <sheetName val="CRITERIA2"/>
      <sheetName val="CRITERIA1"/>
      <sheetName val="Formita"/>
      <sheetName val="Semangka"/>
      <sheetName val="CabeAGP-23"/>
      <sheetName val="CabeMas47 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HPPKS"/>
      <sheetName val="CPO"/>
      <sheetName val="BO"/>
      <sheetName val="PENJ"/>
      <sheetName val="PENDPT"/>
      <sheetName val="SEL-KURS"/>
      <sheetName val="fix-ass"/>
      <sheetName val="laroux"/>
      <sheetName val="Cab Utama"/>
      <sheetName val="KANPUS"/>
      <sheetName val="GABUNGAN"/>
      <sheetName val="realjuli"/>
      <sheetName val="prakjuli"/>
      <sheetName val="KonPusat"/>
      <sheetName val="Pusat"/>
      <sheetName val="P-KebunXX"/>
      <sheetName val="LEAD KONSOL"/>
      <sheetName val="AGING KONSOL"/>
      <sheetName val="PENDING KONFIRMASI ALL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A PJK_FIS N6"/>
      <sheetName val="L33B PJK_FIS BK"/>
      <sheetName val="L34A Perhit_Pjk Tangguhan PN6"/>
      <sheetName val="L34B Perhit_Pjk Tangguhan BK"/>
      <sheetName val="L37 PJK_FIS"/>
      <sheetName val="L38 Tenaker"/>
      <sheetName val="L40 Kinerja 198"/>
      <sheetName val="L33 PJK_FIS"/>
      <sheetName val="U2_2"/>
      <sheetName val="SALE FFI 2003"/>
      <sheetName val="SALE FFI 2003 (2)"/>
      <sheetName val="SALE FFI 2003 (3)"/>
      <sheetName val="WBS 1_MBI Consol"/>
      <sheetName val="For reporting"/>
      <sheetName val="Notes for reporting"/>
      <sheetName val="WPL Fiskal_MBI Consol"/>
      <sheetName val="Deferred Tax"/>
      <sheetName val="WBS 2_MBI Consol"/>
      <sheetName val="WPL_MBI Consol"/>
      <sheetName val="Jurnal consol_Dec 2007"/>
      <sheetName val="OPEX_MBI Consol"/>
      <sheetName val="Detail for report"/>
      <sheetName val="Cash Flow Direct_MBI"/>
      <sheetName val="Cash Flow Direct_report_MBI"/>
      <sheetName val="retirement benefit"/>
      <sheetName val="des_06"/>
      <sheetName val="9E1_3"/>
      <sheetName val="B. PENYUSUTAN"/>
      <sheetName val="KEND"/>
      <sheetName val="KOMP"/>
      <sheetName val="Pen Ner"/>
      <sheetName val="Ak Inv"/>
      <sheetName val="Kas &amp; Bank"/>
      <sheetName val="Mutasi Aktiva"/>
      <sheetName val="By. Tanaman"/>
      <sheetName val="IS(RINGKAS)"/>
      <sheetName val="DETAIL BS"/>
      <sheetName val="DETAIL IS"/>
      <sheetName val="DETAIL ACTIVITY"/>
      <sheetName val="TBA"/>
      <sheetName val="JOURNAL UMUM"/>
      <sheetName val="GL Okt"/>
      <sheetName val="Kas Kebun"/>
      <sheetName val="BRI"/>
      <sheetName val="Permata"/>
      <sheetName val="Kas Perwakilan"/>
      <sheetName val="Uang Muka HO"/>
      <sheetName val="Voucher Pengeluaran Bank"/>
      <sheetName val="Voucher Penerimaan Bank"/>
      <sheetName val="Voucher Penerimaan Kas"/>
      <sheetName val="Voucher Pengeluaran Kas"/>
      <sheetName val="Jurnal Memorial"/>
      <sheetName val="NER"/>
      <sheetName val="Laru"/>
      <sheetName val="TB_GAB"/>
      <sheetName val="TB_SAP"/>
      <sheetName val="CADSED"/>
      <sheetName val="AGING1"/>
      <sheetName val="PJKINI"/>
      <sheetName val="BUSAHA"/>
      <sheetName val="AnHPP"/>
      <sheetName val="4D"/>
      <sheetName val="4E"/>
      <sheetName val="6"/>
      <sheetName val="6J"/>
      <sheetName val="10D"/>
      <sheetName val="10I"/>
      <sheetName val="AJE_SelKurs"/>
      <sheetName val="AJECOSTSAP"/>
      <sheetName val="AJEACTCOST"/>
      <sheetName val="Rek_PAU"/>
      <sheetName val="SelKurs"/>
      <sheetName val="BPlain"/>
      <sheetName val="BBOld"/>
      <sheetName val="BJold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Invoice"/>
      <sheetName val="Tracker"/>
      <sheetName val="Time Report"/>
      <sheetName val="Help"/>
      <sheetName val="Codestable"/>
      <sheetName val="F2"/>
      <sheetName val="LTR"/>
      <sheetName val="Summary over-under accrued"/>
      <sheetName val="Aging AR FRP"/>
      <sheetName val="Expense clasiffication-FRP"/>
      <sheetName val="Insurance-FRP"/>
      <sheetName val="Accrued-FRP"/>
      <sheetName val="Mngmnt Fee-FRP"/>
      <sheetName val="PM (Dec 31, 2006)"/>
      <sheetName val="PRJE "/>
      <sheetName val="T-Account"/>
      <sheetName val="A3.1"/>
      <sheetName val="A3.2"/>
      <sheetName val="A3.3"/>
      <sheetName val="C Lead"/>
      <sheetName val="C-1"/>
      <sheetName val="C-4"/>
      <sheetName val="C-5"/>
      <sheetName val="C-5.1"/>
      <sheetName val="C-5.2"/>
      <sheetName val="C Memo (2)"/>
      <sheetName val="E Lead"/>
      <sheetName val="E Memo"/>
      <sheetName val="E-1.1"/>
      <sheetName val="E-2"/>
      <sheetName val="E-2.1 Aging-Summary"/>
      <sheetName val="E-2.2"/>
      <sheetName val="E-2.3"/>
      <sheetName val="GHB-BHH"/>
      <sheetName val="F-2"/>
      <sheetName val="F-3"/>
      <sheetName val="F-4"/>
      <sheetName val="F-5"/>
      <sheetName val="G Lead"/>
      <sheetName val="G-1.1"/>
      <sheetName val="G-1.2"/>
      <sheetName val="J Lead"/>
      <sheetName val="J-1"/>
      <sheetName val="Cost Analysis"/>
      <sheetName val="Retail"/>
      <sheetName val="Recap Inv"/>
      <sheetName val="Purchase"/>
      <sheetName val="Consumed"/>
      <sheetName val="Case"/>
      <sheetName val="Master Data"/>
      <sheetName val="Receiv-liabil"/>
      <sheetName val="Appendix 1 receiv."/>
      <sheetName val="Appendix 2 advan.-paym."/>
      <sheetName val="Appendix 3 liabilities"/>
      <sheetName val="Appendix 4 paym.-receiv."/>
      <sheetName val="BDO"/>
      <sheetName val="WBSA"/>
      <sheetName val="WBSA-Round"/>
      <sheetName val="WBSL"/>
      <sheetName val="WBSL-Round"/>
      <sheetName val="WPL-Round"/>
      <sheetName val="CIT-Audit"/>
      <sheetName val="Corp Tax 2009"/>
      <sheetName val="DTA"/>
      <sheetName val="FA Fiskal 2009"/>
      <sheetName val="FA Fiskal 2008"/>
      <sheetName val="Piutang Hubungan Istimewa"/>
      <sheetName val="Inventory"/>
      <sheetName val="HTI &amp; FA"/>
      <sheetName val="Penyertaan"/>
      <sheetName val="Hutang jangka Pjg&amp;Pdk"/>
      <sheetName val="Selling Expense"/>
      <sheetName val="G&amp;A"/>
      <sheetName val="Penghasilan-Beban Bunga"/>
      <sheetName val="SHE"/>
      <sheetName val="Matrl"/>
      <sheetName val="Pa(r)je 2005"/>
      <sheetName val="elim area I"/>
      <sheetName val="elim areas"/>
      <sheetName val="Dec 2005 "/>
      <sheetName val="Fiscal-computation"/>
      <sheetName val="Tax Effect"/>
      <sheetName val="Lap. Keuangan"/>
      <sheetName val="BPT"/>
      <sheetName val="TYSP"/>
      <sheetName val="TAIWI"/>
      <sheetName val="Wiranusa"/>
      <sheetName val="Gire"/>
      <sheetName val="Glue di persediaan"/>
      <sheetName val="Elim jual log dan glue"/>
      <sheetName val="Rincian labarugi Subsd"/>
      <sheetName val="Pajak Parent"/>
      <sheetName val="NDE"/>
      <sheetName val="Sum tax Compt"/>
      <sheetName val="AMORTIZATION"/>
      <sheetName val="Amor Goodwill"/>
      <sheetName val="Dec 2003"/>
      <sheetName val="Fnc-Highlight"/>
      <sheetName val="Dec 2004"/>
      <sheetName val="ML"/>
      <sheetName val="WBS-A"/>
      <sheetName val="WBS-L"/>
      <sheetName val="Analitical"/>
      <sheetName val="PTD"/>
      <sheetName val="A-2"/>
      <sheetName val="A-3"/>
      <sheetName val="C-2"/>
      <sheetName val="C-3"/>
      <sheetName val="H-1"/>
      <sheetName val="H-2"/>
      <sheetName val="H-2-2"/>
      <sheetName val="H-3"/>
      <sheetName val="H-3-1"/>
      <sheetName val="K-2"/>
      <sheetName val="K-3"/>
      <sheetName val="K-4"/>
      <sheetName val="K-5"/>
      <sheetName val="BB-1"/>
      <sheetName val="BB-2"/>
      <sheetName val="GG"/>
      <sheetName val="GG-1"/>
      <sheetName val="GG-2"/>
      <sheetName val="GG-3"/>
      <sheetName val="HH"/>
      <sheetName val="SS-1"/>
      <sheetName val="SS-2"/>
      <sheetName val="II-1"/>
      <sheetName val="II-2"/>
      <sheetName val="III"/>
      <sheetName val="IV"/>
      <sheetName val="Fiscal Diff"/>
      <sheetName val="Materiality"/>
      <sheetName val="Analitical Procedure"/>
      <sheetName val="E-1-1"/>
      <sheetName val="E-1-2"/>
      <sheetName val="D-1"/>
      <sheetName val="D-2"/>
      <sheetName val="D-3"/>
      <sheetName val="D-4"/>
      <sheetName val="C-1-1"/>
      <sheetName val="C-1-2"/>
      <sheetName val="C-2-1"/>
      <sheetName val="C-2-1-1"/>
      <sheetName val="C-2-1-2"/>
      <sheetName val="C-2-2"/>
      <sheetName val="C-2-3"/>
      <sheetName val="B-1"/>
      <sheetName val="A2"/>
      <sheetName val="A2-1"/>
      <sheetName val="A2-2"/>
      <sheetName val="A2-3"/>
      <sheetName val="A2-4"/>
      <sheetName val="A2-5"/>
      <sheetName val="A2-6"/>
      <sheetName val="A2-7"/>
      <sheetName val="A2-8"/>
      <sheetName val="L-1"/>
      <sheetName val="L-2"/>
      <sheetName val="L-3"/>
      <sheetName val="21"/>
      <sheetName val="4(2)"/>
      <sheetName val="25"/>
      <sheetName val="A-1"/>
      <sheetName val="A-3-1"/>
      <sheetName val="A-4"/>
      <sheetName val="A-5"/>
      <sheetName val="C-1-3"/>
      <sheetName val="D-1-1"/>
      <sheetName val="D-1-1-1"/>
      <sheetName val="G-1-1"/>
      <sheetName val="G-1-1-1"/>
      <sheetName val="G-1-1-2"/>
      <sheetName val="G-1-1-3"/>
      <sheetName val="G-1-1-4"/>
      <sheetName val="G-1-1-5"/>
      <sheetName val="PPh 22-Import"/>
      <sheetName val="PPh 22-Import-Detail"/>
      <sheetName val="Rekon"/>
      <sheetName val="Fr GL"/>
      <sheetName val="Fr SPT Masa"/>
      <sheetName val="G-2-1"/>
      <sheetName val="J-1-1"/>
      <sheetName val="J-2"/>
      <sheetName val="J-2-1"/>
      <sheetName val="J-3"/>
      <sheetName val="J-3-1"/>
      <sheetName val="J-4"/>
      <sheetName val="J-4-1"/>
      <sheetName val="J-5"/>
      <sheetName val="J-5-1"/>
      <sheetName val="J-6"/>
      <sheetName val="J-6-1"/>
      <sheetName val="J-7"/>
      <sheetName val="J-7-1"/>
      <sheetName val="J-8"/>
      <sheetName val="J-8-1"/>
      <sheetName val="FA Mvmt Summary"/>
      <sheetName val="List FA"/>
      <sheetName val="WBS-B"/>
      <sheetName val="HH-1"/>
      <sheetName val="HH2"/>
      <sheetName val="HH-3"/>
      <sheetName val="Sheet12"/>
      <sheetName val="spt-21"/>
      <sheetName val="H-1-1"/>
      <sheetName val="DD-1"/>
      <sheetName val="DD-2"/>
      <sheetName val="DD-3"/>
      <sheetName val="DD-4"/>
      <sheetName val="I-1"/>
      <sheetName val="MIS"/>
      <sheetName val="Trial Balance"/>
      <sheetName val="Data Request"/>
      <sheetName val="E-5-1"/>
      <sheetName val="E-5-3"/>
      <sheetName val="E-5-4"/>
      <sheetName val="E-2-1"/>
      <sheetName val="E-2-1-1"/>
      <sheetName val="E-2-1-2"/>
      <sheetName val="E-2-2"/>
      <sheetName val="E-2-3"/>
      <sheetName val="E-2-3-1"/>
      <sheetName val="A-2-1"/>
      <sheetName val="A-2-2"/>
      <sheetName val="A-2-3"/>
      <sheetName val="A-2-4"/>
      <sheetName val="A-2-5"/>
      <sheetName val="B-2"/>
      <sheetName val="L-2 "/>
      <sheetName val="H-4"/>
      <sheetName val="P-1-1"/>
      <sheetName val="Q-1"/>
      <sheetName val="AnalyticaL Oct'04"/>
      <sheetName val="F1"/>
      <sheetName val="F3"/>
      <sheetName val="F4"/>
      <sheetName val="F5"/>
      <sheetName val="PPN-combined"/>
      <sheetName val="PPN Maluku"/>
      <sheetName val="PPN Ambon"/>
      <sheetName val="UV"/>
      <sheetName val="X"/>
      <sheetName val="Z"/>
      <sheetName val="Rekap PPH21"/>
      <sheetName val="Rekap PPH23"/>
      <sheetName val="Rekap Prep.Tax-22"/>
      <sheetName val="Rekap PPh25"/>
      <sheetName val="NN"/>
      <sheetName val="Pricing test"/>
      <sheetName val="40"/>
      <sheetName val="Predictive Test-Insurance"/>
      <sheetName val="SPT 2006"/>
      <sheetName val="Rekap &amp; Allowance"/>
      <sheetName val="Rekap JHT &amp; PPh"/>
      <sheetName val="Detail Gaji"/>
      <sheetName val="Detail Gaji (2)"/>
      <sheetName val="Top FA-2004"/>
      <sheetName val="Bangunan"/>
      <sheetName val="Perlengkapan-Bangunan"/>
      <sheetName val="Perlengkapan-Bengkel"/>
      <sheetName val="Inventaris Kantor"/>
      <sheetName val="Mesin &amp; Peralatan"/>
      <sheetName val="Kendaraan Bermotor"/>
      <sheetName val="Aktiva Dlm - Penyelesaian"/>
      <sheetName val="CONVERED-PROD-PLAN"/>
      <sheetName val="DAILY-PLANNING-2"/>
      <sheetName val="production requirement (NOV)"/>
      <sheetName val="WEEKLY-PRODUCTION-PROGRAMME"/>
      <sheetName val="CM-MODULE-1-3"/>
      <sheetName val="CM-MODULE-4A-4B-7"/>
      <sheetName val="CUTRAG REQUIREMENT"/>
      <sheetName val="DAILY-PLANNING-1"/>
      <sheetName val="MACH-UTL.-SUMMARY"/>
      <sheetName val="MACH-UTL.-SUMMARY-MONTHLY"/>
      <sheetName val="SOP-11-2001"/>
      <sheetName val="DAILY-PROD-PLAN(JUNE)"/>
      <sheetName val="CUT-TOBACCO-RECEIVED &amp; REQ."/>
      <sheetName val="PRIMARY-PLANNING-(1)"/>
      <sheetName val="SOP-9"/>
      <sheetName val="PACKER-CAPACITY"/>
      <sheetName val="FACTORY"/>
      <sheetName val="Q1"/>
      <sheetName val="Q2"/>
      <sheetName val="Q3"/>
      <sheetName val="Q4"/>
      <sheetName val="Q1-02"/>
      <sheetName val="Q2-02"/>
      <sheetName val="LEAF COST DETAIL"/>
      <sheetName val="WRAPPING_COST"/>
      <sheetName val="WM-BYBRAND-QUARTER"/>
      <sheetName val="Det_Stock"/>
      <sheetName val="Blend F"/>
      <sheetName val="Usage (2)"/>
      <sheetName val="cc b"/>
      <sheetName val="DOM"/>
      <sheetName val="IMP"/>
      <sheetName val="Trends CC"/>
      <sheetName val="cost per mille"/>
      <sheetName val="CC 01M"/>
      <sheetName val="CC 02"/>
      <sheetName val="CC 05"/>
      <sheetName val="CC 06"/>
      <sheetName val="CC 15"/>
      <sheetName val="CC 15A"/>
      <sheetName val="CC 21M"/>
      <sheetName val="CC 30"/>
      <sheetName val="CC 29"/>
      <sheetName val="Casing"/>
      <sheetName val="Usage by Blend"/>
      <sheetName val="Usage"/>
      <sheetName val="000"/>
      <sheetName val="BAT"/>
      <sheetName val="projection "/>
      <sheetName val="nppc"/>
      <sheetName val="apc"/>
      <sheetName val="mbrship "/>
      <sheetName val="amoortisation"/>
      <sheetName val="FAS-88-DP"/>
      <sheetName val="FAS-88-TPMK"/>
      <sheetName val="FAS-88-sample"/>
      <sheetName val="Sheet7"/>
      <sheetName val="Sheet9"/>
      <sheetName val="Sheet10"/>
      <sheetName val="Sheet11"/>
      <sheetName val="Sheet13"/>
      <sheetName val="Sheet14"/>
      <sheetName val="CF 2007"/>
      <sheetName val="TB-FINAL 2007"/>
      <sheetName val="TB-FINAL 2006"/>
      <sheetName val="Bank_2006"/>
      <sheetName val="Diff_BS"/>
      <sheetName val="Mapped 2006 P&amp;L"/>
      <sheetName val="TB_Final_2006"/>
      <sheetName val="PAJE PRJE"/>
      <sheetName val="CLR"/>
      <sheetName val="Corporate tax 2007"/>
      <sheetName val="Deferred tax 2007"/>
      <sheetName val="4100"/>
      <sheetName val="3700"/>
      <sheetName val="3300"/>
      <sheetName val="3400"/>
      <sheetName val="3800a"/>
      <sheetName val="3800b"/>
      <sheetName val="3800c"/>
      <sheetName val="4300a"/>
      <sheetName val="4300b"/>
      <sheetName val="4600"/>
      <sheetName val="5200a"/>
      <sheetName val="5200b"/>
      <sheetName val="5200c"/>
      <sheetName val="5200d"/>
      <sheetName val="4500"/>
      <sheetName val="3200"/>
      <sheetName val="4200"/>
      <sheetName val="5500"/>
      <sheetName val="5800a"/>
      <sheetName val="5800b"/>
      <sheetName val="5900"/>
      <sheetName val="tb-mar"/>
      <sheetName val="TB1"/>
      <sheetName val="TB2"/>
      <sheetName val="TB3"/>
      <sheetName val="TB4"/>
      <sheetName val="Mapping"/>
      <sheetName val="TB-Clean"/>
      <sheetName val="Settings"/>
      <sheetName val="Calculations"/>
      <sheetName val="LS_Standard"/>
      <sheetName val="DEPT  LOB FOR EY 2-10-06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KGA AJE Reviewed"/>
      <sheetName val="PGKB AJE - Reviewed"/>
      <sheetName val="PGRA AJE - Reviewed"/>
      <sheetName val="Kandir AJE-Reviewed"/>
      <sheetName val="KOR-TANTIEM"/>
      <sheetName val="KK-KONSOL"/>
      <sheetName val="LK-KGA"/>
      <sheetName val="LK-INDUK"/>
      <sheetName val="LK-KR"/>
      <sheetName val="LK-KANDIR"/>
      <sheetName val="LK-KONSOL"/>
      <sheetName val="LK-REJO-AGUNG"/>
      <sheetName val="LK-KREBET"/>
      <sheetName val="RATIO-KB"/>
      <sheetName val="RATIO-RA"/>
      <sheetName val="RATIO-KONS"/>
      <sheetName val="Elim-penyertaan"/>
      <sheetName val="Nilai Penyertaan"/>
      <sheetName val="BSISCF"/>
      <sheetName val="Eku-baru"/>
      <sheetName val="New Eku"/>
      <sheetName val="Data RK"/>
      <sheetName val="Daftar RK"/>
      <sheetName val="Perubah ekuitas"/>
      <sheetName val="Mutasi PSAK 06"/>
      <sheetName val="daftar isi"/>
      <sheetName val="KK-Lap.keu 2004"/>
      <sheetName val="Daf ekitas In-AP06"/>
      <sheetName val="MInor 04"/>
      <sheetName val="PSAK 24"/>
      <sheetName val="Per Anak"/>
      <sheetName val="KK-NRC"/>
      <sheetName val="Afiliasi"/>
      <sheetName val="Eku-br rev"/>
      <sheetName val="Nrc Unaudit-audit"/>
      <sheetName val="Perban Nrc 08-07"/>
      <sheetName val="eku-sma Tw207"/>
      <sheetName val="eku perban"/>
      <sheetName val="Rkap-NRC"/>
      <sheetName val="Rincian2"/>
      <sheetName val="Ekuitas AP"/>
      <sheetName val="Perub Eku Anak"/>
      <sheetName val="Rincian Rklas"/>
      <sheetName val="Daf kend-perabot"/>
      <sheetName val="Audit-Unaudit"/>
      <sheetName val="Rekap-NRC"/>
      <sheetName val="Perban Nrc 07-06"/>
      <sheetName val="Daf isi"/>
      <sheetName val="Penjl"/>
      <sheetName val="Kk"/>
      <sheetName val="Lap.kEU"/>
      <sheetName val="JURNAL JULI 09"/>
      <sheetName val="equity-baru"/>
      <sheetName val="pplk "/>
      <sheetName val="talangan"/>
      <sheetName val="LR RE"/>
      <sheetName val="RE Nrc"/>
      <sheetName val="RE LR"/>
      <sheetName val="Daf isi RE"/>
      <sheetName val="UM"/>
      <sheetName val="UM memo"/>
      <sheetName val="PIUTANG KARYAWAN"/>
      <sheetName val="Hutang Gula Bulog RW I"/>
      <sheetName val="Hutang Gula Bulog RW II"/>
      <sheetName val="Hutang Gula Bulog CB"/>
      <sheetName val="Equity May 2009"/>
      <sheetName val="pendapatan yad"/>
      <sheetName val="Bunga MK"/>
      <sheetName val="WKS KEBUN"/>
      <sheetName val="WKS MITRA KERINCI"/>
      <sheetName val="to notes"/>
      <sheetName val="LK 2009"/>
      <sheetName val="perpajakan"/>
      <sheetName val="perhitungan bunga"/>
      <sheetName val="TAX MK INHOUSE"/>
      <sheetName val="lamp.kinerja"/>
      <sheetName val="lampiran2"/>
      <sheetName val="LK 2009 (2)"/>
      <sheetName val="SL"/>
      <sheetName val="KS"/>
      <sheetName val="JT "/>
      <sheetName val="SB"/>
      <sheetName val="PSA"/>
      <sheetName val="KD"/>
      <sheetName val="PUSLIT"/>
      <sheetName val="MCT"/>
      <sheetName val="IBP"/>
      <sheetName val="APOTIK"/>
      <sheetName val="RKAP 18-10'08"/>
      <sheetName val="Ch_OS_Pro"/>
      <sheetName val="Rep_OS_Pro"/>
      <sheetName val="Ch_OS_Com"/>
      <sheetName val="Rep_OS_Com"/>
      <sheetName val="Ch_OS_Con"/>
      <sheetName val="Rep_OS_Con"/>
      <sheetName val="Rep_OS_Con_MD"/>
      <sheetName val="Ch_OS_Sit"/>
      <sheetName val="Rep_OS_Sit"/>
      <sheetName val="Rep_OS_Details"/>
      <sheetName val="Ch_IS_Pro"/>
      <sheetName val="Rep_IS_Pro"/>
      <sheetName val="Ch_IS_Com"/>
      <sheetName val="Rep_IS_Com"/>
      <sheetName val="Ch_IS_Con"/>
      <sheetName val="Rep_IS_Con"/>
      <sheetName val="PaRS_Data"/>
      <sheetName val="Contracts_Data"/>
      <sheetName val="SKU_PPP_Data"/>
      <sheetName val="IS_Data"/>
      <sheetName val="IS_Customer"/>
      <sheetName val="Piv_OS_Pro"/>
      <sheetName val="Piv_OS_Com"/>
      <sheetName val="Piv_OS_Con"/>
      <sheetName val="Piv_OS_Sit"/>
      <sheetName val="Piv_IS_Pro"/>
      <sheetName val="Piv_IS_Com"/>
      <sheetName val="Piv_IS_Con"/>
      <sheetName val="IS_Site"/>
      <sheetName val="PaRS_Import"/>
      <sheetName val="PaRs_Import_Corr"/>
      <sheetName val="ABBR"/>
      <sheetName val="Company"/>
      <sheetName val="Country"/>
      <sheetName val="COMBINE"/>
      <sheetName val="COMBINE02"/>
      <sheetName val="Sulawesi"/>
      <sheetName val="Jatim"/>
      <sheetName val="Sumbagsel"/>
      <sheetName val="Jabar"/>
      <sheetName val="Jateng"/>
      <sheetName val="Sumbagut"/>
      <sheetName val="koreksi fiskal"/>
      <sheetName val="Lead Piutang Usaha Kons"/>
      <sheetName val="Disclose_Konsol 2"/>
      <sheetName val="Disclose_Induk Debitur1"/>
      <sheetName val="Disclose_Induk 2"/>
      <sheetName val="C-3 Gab"/>
      <sheetName val="C-4 Jwb Konf"/>
      <sheetName val="C-5 AR&gt;3M Avloop"/>
      <sheetName val="PENY.PIUT"/>
      <sheetName val="PENY.PIUT_A"/>
      <sheetName val="Ptg&gt;12bulan"/>
      <sheetName val="PiutgB'mslh"/>
      <sheetName val="Aging07"/>
      <sheetName val="Peny. Piut07"/>
      <sheetName val="TOC_pngakuanARC"/>
      <sheetName val="TOC_PELUNSAN ARC."/>
      <sheetName val="Conclusion"/>
      <sheetName val="SIA07(P.Anas)"/>
      <sheetName val="Owner07(P.Anas)"/>
      <sheetName val="Aging07(P.Anas)"/>
      <sheetName val="Peny. Piut07(P.Anas)"/>
      <sheetName val="Aging Schedule"/>
      <sheetName val="Rincian Aging Schedule"/>
      <sheetName val="Penyisihan"/>
      <sheetName val="Konfirmasi"/>
      <sheetName val="Avloop"/>
      <sheetName val="Notisi"/>
      <sheetName val="WBS-WPL"/>
      <sheetName val="PPh Badan (Versi PBC)"/>
      <sheetName val="Rekap PPh 23_25"/>
      <sheetName val="AKTIVA BERWUJUD"/>
      <sheetName val="AKTIVA TIDAK BERWUJUD"/>
      <sheetName val="Propose AJE"/>
      <sheetName val="CIE"/>
      <sheetName val="margin"/>
      <sheetName val="CALK (3)"/>
      <sheetName val="WP-CP11"/>
      <sheetName val="wp FISKAL"/>
      <sheetName val="PPh Badan"/>
      <sheetName val="G-4 AT Fiskal"/>
      <sheetName val="ATB FISKAL"/>
      <sheetName val="Ps.25"/>
      <sheetName val="AJE 2009"/>
      <sheetName val="2009"/>
      <sheetName val="Reklas 2010"/>
      <sheetName val="Koreksi 2010"/>
      <sheetName val="WBS_WPL"/>
      <sheetName val="KKA arus kas"/>
      <sheetName val="akru jasprod"/>
      <sheetName val="tabungan"/>
      <sheetName val="bg"/>
      <sheetName val="kredit"/>
      <sheetName val="AT FISKAL"/>
      <sheetName val="pajak kini"/>
      <sheetName val="PPh Badan (2)"/>
      <sheetName val="MONITORING"/>
      <sheetName val="Proyeksi PPh29"/>
      <sheetName val="Proyeksi PPh29 update"/>
      <sheetName val="Rekap PPh23_25 2011&amp;2012"/>
      <sheetName val="Rekap PPh23 dan 25 (PNM)"/>
      <sheetName val="AB 2012 (PBC)"/>
      <sheetName val="ATB LAIN-LAIN &amp; APL KEU 2012"/>
      <sheetName val="AB 2012 (PNM)"/>
      <sheetName val="AB 2011"/>
      <sheetName val="ATB 2011"/>
      <sheetName val="Lamp.IK"/>
      <sheetName val="Beban IK vs Kew"/>
      <sheetName val="Lampiran AJE2010"/>
      <sheetName val="WP-CF 10"/>
      <sheetName val="WP-CF 09"/>
      <sheetName val="A. Tetap Fiskal"/>
      <sheetName val="A. Tak Berwujud"/>
      <sheetName val="REKFIS"/>
      <sheetName val="koreksi sandingan"/>
      <sheetName val="PPh Badan (Versi Audit PNM)"/>
      <sheetName val="PPh Badan (Versi Audit PNM) (2"/>
      <sheetName val="LAP-KEU-KONSOL"/>
      <sheetName val="Eliminasi Hutang_Piutang"/>
      <sheetName val="NOTES 8 Bulan"/>
      <sheetName val="MPI_8 bULAN"/>
      <sheetName val="Minoritas 8 BLN"/>
      <sheetName val="Wks Konsol_8 Bulan"/>
      <sheetName val="Report 8 Bulan"/>
      <sheetName val="MPI_ 1 Bulan"/>
      <sheetName val="Wks Konsol_1 Bulan"/>
      <sheetName val="Report 1 Bulan"/>
      <sheetName val="Minoritas"/>
      <sheetName val="gab"/>
      <sheetName val="Nilai pertanggungan"/>
      <sheetName val="STNK"/>
      <sheetName val="JENIS KEND"/>
      <sheetName val="JUAL"/>
      <sheetName val="KERJASAMA"/>
      <sheetName val="TAHUN"/>
      <sheetName val="DATA ASLI"/>
      <sheetName val="GED.&amp;REKL"/>
      <sheetName val="DATA KENDARAAN"/>
      <sheetName val="CATAT"/>
      <sheetName val="DAF-PENJ PURI"/>
      <sheetName val="KAV RIVERSIDE"/>
      <sheetName val="daft-hpp PURI"/>
      <sheetName val="hpp KAV RIVERSIDE"/>
      <sheetName val="jelasnrc"/>
      <sheetName val="CET (2)"/>
      <sheetName val="lb-dthn"/>
      <sheetName val="b.adm"/>
      <sheetName val="Operasional"/>
      <sheetName val="POSLK"/>
      <sheetName val="NeracaSQL"/>
      <sheetName val="R-LabaSQL"/>
      <sheetName val="labathn"/>
      <sheetName val="Markt+Tenc"/>
      <sheetName val="By.Karyawan"/>
      <sheetName val="BI.ADM+UMUM"/>
      <sheetName val="ops"/>
      <sheetName val="OTHER"/>
      <sheetName val="Lampiran Penyusutan"/>
      <sheetName val="Lampiran Aging AP"/>
      <sheetName val="Lampiran Aging AR"/>
      <sheetName val="Piutang tak tertagih"/>
      <sheetName val="CUT OFF-MPI"/>
      <sheetName val="DPMK"/>
      <sheetName val="SPMK"/>
      <sheetName val="DKK"/>
      <sheetName val="PRL"/>
      <sheetName val="Lampiran Pendapatan"/>
      <sheetName val="SEWA CITIBANK"/>
      <sheetName val="Neraca Detail"/>
      <sheetName val="RL Detail"/>
      <sheetName val="Lampiran Aging AP (2)"/>
      <sheetName val="MPI_9 bULAN"/>
      <sheetName val="Minoritas 9 BLN"/>
      <sheetName val="Wks Konsol_ 9 Bulan"/>
      <sheetName val="Report September"/>
      <sheetName val="MPI"/>
      <sheetName val="Wks Konsol"/>
      <sheetName val="FORMAT KORAN"/>
      <sheetName val="WKS-KONSOL-MD"/>
      <sheetName val="elim"/>
      <sheetName val="COP-ags'11"/>
      <sheetName val="COP-JAN'11"/>
      <sheetName val="JAN'11"/>
      <sheetName val="agt'11"/>
      <sheetName val="ASURANSI-md)"/>
      <sheetName val="Minoritas 9 BLN TO CASH FLOW"/>
      <sheetName val="MPI_September_2010 tO cASH fLOW"/>
      <sheetName val="Wks_Sept_2010 To Cash Flow"/>
      <sheetName val="Report Sept 2010 To Cash flow"/>
      <sheetName val="MPI_September_2010"/>
      <sheetName val="Wks_September_2010"/>
      <sheetName val="Report September 2010"/>
      <sheetName val="Wks_Desember_2010"/>
      <sheetName val="Report Desember 2010"/>
      <sheetName val="Daf-isi-A-OK"/>
      <sheetName val="Ekuitas-10"/>
      <sheetName val="jelas-nrc-OK"/>
      <sheetName val="bi-adm"/>
      <sheetName val="L-R-BR"/>
      <sheetName val="Per Grade"/>
      <sheetName val="Sortasi"/>
      <sheetName val="Rektivikasi"/>
      <sheetName val="Lokal"/>
      <sheetName val="Eks"/>
      <sheetName val="K.KERJA"/>
      <sheetName val="Eks (2)"/>
      <sheetName val="Eks (3)"/>
      <sheetName val="Lokal (2)"/>
      <sheetName val="Nrc-Inap"/>
      <sheetName val="Unaudit-audit"/>
      <sheetName val="Dumtk"/>
      <sheetName val="1a"/>
      <sheetName val="1c"/>
      <sheetName val="Rincian Iuran"/>
      <sheetName val="PASTEK"/>
      <sheetName val="Data Rekon"/>
      <sheetName val="Premi Iuran"/>
      <sheetName val="INVS"/>
      <sheetName val="flow"/>
      <sheetName val="AAP (2)"/>
      <sheetName val="AAN"/>
      <sheetName val="AP-LR"/>
      <sheetName val="AProduksi"/>
      <sheetName val="RPenjualan"/>
      <sheetName val="AAHPP"/>
      <sheetName val="AABPG"/>
      <sheetName val="AABU"/>
      <sheetName val="ABProduksi"/>
      <sheetName val="HPP Per Ku"/>
      <sheetName val="HPP Per Ku (2)"/>
      <sheetName val="HPPGLTT"/>
      <sheetName val="SDM"/>
      <sheetName val="AAI"/>
      <sheetName val="KP"/>
      <sheetName val="PSA-LTR"/>
      <sheetName val="SKOR"/>
      <sheetName val="BUMN"/>
      <sheetName val="BUMNL"/>
      <sheetName val="strategi"/>
      <sheetName val="KRITERIA"/>
      <sheetName val="laporan"/>
      <sheetName val="KPI_konsol"/>
      <sheetName val="KPI"/>
      <sheetName val="konsolidasi"/>
      <sheetName val="Per_PT"/>
      <sheetName val="grafikper-pt"/>
      <sheetName val="hasil_kpi"/>
      <sheetName val="prod"/>
      <sheetName val="Konsol (2)"/>
      <sheetName val="131"/>
      <sheetName val="Konsol"/>
      <sheetName val="rl_sl"/>
      <sheetName val="rl_ks"/>
      <sheetName val="rl_tb"/>
      <sheetName val="rl_jt"/>
      <sheetName val="rl_sb"/>
      <sheetName val="rl_psa"/>
      <sheetName val="rl_mct"/>
      <sheetName val="rl_pa"/>
      <sheetName val="rl_anf"/>
      <sheetName val="rl_ibp"/>
      <sheetName val="beda"/>
      <sheetName val="prod-ap"/>
      <sheetName val="kons-rl"/>
      <sheetName val="kon_shu"/>
      <sheetName val="sl-rl"/>
      <sheetName val="shu_sl"/>
      <sheetName val="ks-rl"/>
      <sheetName val="shu_ks"/>
      <sheetName val="tb-rl"/>
      <sheetName val="shu_tb"/>
      <sheetName val="jt-rl"/>
      <sheetName val="sb-rl"/>
      <sheetName val="psa-rl"/>
      <sheetName val="mct-rl"/>
      <sheetName val="pa-rl"/>
      <sheetName val="anf-rl"/>
      <sheetName val="ibp-rl"/>
      <sheetName val="mo"/>
      <sheetName val="cbb"/>
      <sheetName val="ph"/>
      <sheetName val="gieb"/>
      <sheetName val="rw1"/>
      <sheetName val="mrb"/>
      <sheetName val="rw2"/>
      <sheetName val="rcm"/>
      <sheetName val="mo1"/>
      <sheetName val="skor-kinerja"/>
      <sheetName val="tk_kshtan"/>
      <sheetName val="lain-lain"/>
      <sheetName val="bulanan"/>
      <sheetName val="rts"/>
      <sheetName val="laskar"/>
      <sheetName val="holding"/>
      <sheetName val="kk_nrc"/>
      <sheetName val="buku1"/>
      <sheetName val="buku2"/>
      <sheetName val="buku_nrc"/>
      <sheetName val="trovi"/>
      <sheetName val="lampirann"/>
      <sheetName val="SLED."/>
      <sheetName val="Bhn Rpt"/>
      <sheetName val="ap2011"/>
      <sheetName val="AP Investasi"/>
      <sheetName val="Kinerja-2010"/>
      <sheetName val="DATA KEBUN"/>
      <sheetName val="CAHFLOW"/>
      <sheetName val="smt2PROG"/>
      <sheetName val="rekap-3"/>
      <sheetName val="rek-lr"/>
      <sheetName val="kma"/>
      <sheetName val="jprod"/>
      <sheetName val="gdg"/>
      <sheetName val="510"/>
      <sheetName val="511"/>
      <sheetName val="512"/>
      <sheetName val="513"/>
      <sheetName val="514"/>
      <sheetName val="515"/>
      <sheetName val="516"/>
      <sheetName val="517"/>
      <sheetName val="518"/>
      <sheetName val="519"/>
      <sheetName val="819"/>
      <sheetName val="usaha"/>
      <sheetName val="persd"/>
      <sheetName val="lok-incl"/>
      <sheetName val="hpp-incl"/>
      <sheetName val="lok-exl"/>
      <sheetName val="hpp-exl"/>
      <sheetName val="h-penj"/>
      <sheetName val="Asumsi.RKAP.2103"/>
      <sheetName val="SDM.1"/>
      <sheetName val="Investasi.1"/>
      <sheetName val="Hasil.Produksi.1"/>
      <sheetName val="Penjual.1"/>
      <sheetName val="BDP.PRODUKSI.1"/>
      <sheetName val="HPP_RCM"/>
      <sheetName val="By.Prod_RCM.1"/>
      <sheetName val="By.Usaha.1"/>
      <sheetName val="Laba-rugi.1"/>
      <sheetName val="Neraca.1"/>
      <sheetName val="CashFlow.1"/>
      <sheetName val=" PERHITUNGANKin-100"/>
      <sheetName val="fORM.iSIAN.rkap.2013"/>
      <sheetName val="NERACA REVISI"/>
      <sheetName val="Neraca SBLM REV"/>
      <sheetName val="PROYEKSI BUNGA"/>
      <sheetName val="REAL SD APRIL13"/>
      <sheetName val="Rincian (2)"/>
      <sheetName val="KOM"/>
      <sheetName val="DIR"/>
      <sheetName val="SEKORP"/>
      <sheetName val="AKT&amp;KEU"/>
      <sheetName val="SDM,UMUM&amp;ASET"/>
      <sheetName val="PROD&amp;IT"/>
      <sheetName val="REN &amp; BANG"/>
      <sheetName val="400"/>
      <sheetName val="401"/>
      <sheetName val="414"/>
      <sheetName val="415"/>
      <sheetName val="416"/>
      <sheetName val="418"/>
      <sheetName val="419"/>
      <sheetName val="440"/>
      <sheetName val="461"/>
      <sheetName val="483"/>
      <sheetName val="409"/>
      <sheetName val="410"/>
      <sheetName val="420"/>
      <sheetName val="pmbl"/>
      <sheetName val="rinc investasi"/>
      <sheetName val="bhn rapat"/>
      <sheetName val="rinc neraca"/>
      <sheetName val="RKAP2013"/>
      <sheetName val="Prod "/>
      <sheetName val="mslh tan"/>
      <sheetName val="mslh pabrik"/>
      <sheetName val="Akumulasi MK"/>
      <sheetName val="Resume MK"/>
      <sheetName val="Peny"/>
      <sheetName val="By Umum Kandir"/>
      <sheetName val="By Umum kk"/>
      <sheetName val="Neranca bln"/>
      <sheetName val="LR blnan"/>
      <sheetName val="Penjualan (3)"/>
      <sheetName val="Bi Prod"/>
      <sheetName val="Bi prod.bln"/>
      <sheetName val="REKAP 3"/>
      <sheetName val="REKAP RKAP 13"/>
      <sheetName val="RKAP QC 13"/>
      <sheetName val="RKAP risbang 13"/>
      <sheetName val="Investasi Bulanan"/>
      <sheetName val="By Umum Kebun"/>
      <sheetName val="B Penjualan"/>
      <sheetName val="Biaya lain-lain"/>
      <sheetName val="For Karyawan"/>
      <sheetName val="Daf Isi (2)"/>
      <sheetName val="Areal 1"/>
      <sheetName val="Asumsi Penyusunan RKAP"/>
      <sheetName val="format ap.revisi"/>
      <sheetName val="NERACA (2)"/>
      <sheetName val="Investasi2013"/>
      <sheetName val="cashflow2013"/>
      <sheetName val="FCD"/>
      <sheetName val="Direksi"/>
      <sheetName val="2004 nihil"/>
      <sheetName val="MATCH IKLAN"/>
      <sheetName val="budget05"/>
      <sheetName val="TABEL"/>
      <sheetName val="IRATE"/>
      <sheetName val="IRATE DD"/>
      <sheetName val="JE Mgr"/>
      <sheetName val="JE Kabag &amp; Pws Ut"/>
      <sheetName val="JE Below Pws Ut"/>
      <sheetName val="JE ALL LEVEL"/>
      <sheetName val="JE Matrix All by Dept"/>
      <sheetName val="Check #"/>
      <sheetName val="Hay Guide Charts Notes"/>
      <sheetName val="F-peng-dana_wanto"/>
      <sheetName val="tarippasif_wanto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JE Result"/>
      <sheetName val="Information"/>
      <sheetName val="Structure Depo"/>
      <sheetName val="Nilai Wajar"/>
      <sheetName val="SSBVls-Subdebt"/>
      <sheetName val="Nrc Per Cabang"/>
      <sheetName val="Map 1006"/>
      <sheetName val="SL1006 (IDR)"/>
      <sheetName val="SL1006 (VLS)"/>
      <sheetName val="Report BS"/>
      <sheetName val="Report PL"/>
      <sheetName val="bs-HO"/>
      <sheetName val="p&amp;l-HO"/>
      <sheetName val="A5"/>
      <sheetName val="Mdt"/>
      <sheetName val="differed death"/>
      <sheetName val="differed disability"/>
      <sheetName val="differed withdrawal"/>
      <sheetName val="Employee Benefit UUK-13"/>
      <sheetName val="Cad UUK-13(csc-meninggal)"/>
      <sheetName val="Cad UUK-13(csc-disability)"/>
      <sheetName val="Cad UUK-13(csc-withdrawal)"/>
      <sheetName val="Cad UUK-13(PVDBO-meninggal) "/>
      <sheetName val="Cad UUK-13(PVDBO-disability) "/>
      <sheetName val="Cad UUK-13(PVDBO-withdrawal)"/>
      <sheetName val="Cad UUK-13(total)"/>
      <sheetName val="Case No. 1"/>
      <sheetName val="Case No. 2"/>
      <sheetName val="Case No. 3"/>
      <sheetName val="Employee Data"/>
      <sheetName val="trf multiple"/>
      <sheetName val="fns (2)"/>
      <sheetName val="fns"/>
      <sheetName val="HIT-PASIF"/>
      <sheetName val="dt-tunda05"/>
      <sheetName val="fak skl anak"/>
      <sheetName val="fak skl jnd"/>
      <sheetName val="fak skl pst"/>
      <sheetName val="trfakt sgl"/>
      <sheetName val="trfpsf sgl"/>
      <sheetName val="Kekayaan"/>
      <sheetName val="HIT-AKTIF"/>
      <sheetName val="HIT-PASIF (2)"/>
      <sheetName val="lamp1a (2)"/>
      <sheetName val="Lamp2-pasif"/>
      <sheetName val="dt-pasif05"/>
      <sheetName val="dt-aktif2005"/>
      <sheetName val="TblPajak"/>
      <sheetName val="dt-tunda"/>
      <sheetName val="lamp1a"/>
      <sheetName val="dt-aktif"/>
      <sheetName val="dt-pasif"/>
      <sheetName val="trf tunda"/>
      <sheetName val="hint tunda"/>
      <sheetName val="rekap0 phdp"/>
      <sheetName val="dt31 des03"/>
      <sheetName val="lampir2"/>
      <sheetName val="p-000"/>
      <sheetName val="lists"/>
      <sheetName val="ChainData"/>
      <sheetName val="newrot3"/>
      <sheetName val="TP-MARKET"/>
      <sheetName val="TPSGD"/>
      <sheetName val="TMD"/>
      <sheetName val="HUB"/>
      <sheetName val="SWPPTS"/>
      <sheetName val="ratetype"/>
      <sheetName val="TibcoWosaTables"/>
      <sheetName val="updated"/>
      <sheetName val="savein"/>
      <sheetName val="printout"/>
      <sheetName val="CETAK_1"/>
      <sheetName val="Module1"/>
      <sheetName val="Module2"/>
      <sheetName val="05"/>
      <sheetName val="hit_05"/>
      <sheetName val="hit-dapen06"/>
      <sheetName val="hit-dapen"/>
      <sheetName val="val-wanto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PSAK-DS-w-selisih-mtd"/>
      <sheetName val="hit_06-DIM mtpl"/>
      <sheetName val="PSAK-DIM-w-selisih-mtd"/>
      <sheetName val="hit_06-DFU mtpl"/>
      <sheetName val="PSAK-DFU-w-selisih-mtd"/>
      <sheetName val="hit_06-DF mtpl"/>
      <sheetName val="PSAK-DF-w-selisih-mtd"/>
      <sheetName val="hit_06-HO"/>
      <sheetName val="hit_06-DS"/>
      <sheetName val="hit_06-DS-cuti"/>
      <sheetName val="hit_06-DIM"/>
      <sheetName val="hit_06-DIM-cuti"/>
      <sheetName val="hit_06-DFU"/>
      <sheetName val="hit_06-DFU-cuti"/>
      <sheetName val="hit_06-DF"/>
      <sheetName val="hit_06-DF-cuti"/>
      <sheetName val="PSAK-HO-w-mster"/>
      <sheetName val="PSAK-HO-w-pdp"/>
      <sheetName val="PSAK-HO-w-selisih"/>
      <sheetName val="PSAK-HO-w-cuti"/>
      <sheetName val="PSAK-HO"/>
      <sheetName val="PSAK-DS-w-pdp"/>
      <sheetName val="PSAK-DS-w-selisih"/>
      <sheetName val="PSAK-DS-w-cuti"/>
      <sheetName val="PSAK-DS"/>
      <sheetName val="PSAK-DIM-w-pdp"/>
      <sheetName val="PSAK-DIM-w-selisih"/>
      <sheetName val="PSAK-DIM-w-cuti"/>
      <sheetName val="PSAK-DIM"/>
      <sheetName val="PSAK-DFU-w-pdp"/>
      <sheetName val="PSAK-DFU-w-selisih"/>
      <sheetName val="PSAK-DFU-w-cuti"/>
      <sheetName val="PSAK-DFU"/>
      <sheetName val="PSAK-DF-w-pdp"/>
      <sheetName val="PSAK-DF-w-selisih"/>
      <sheetName val="PSAK-DF-w-cuti"/>
      <sheetName val="PSAK-DF"/>
      <sheetName val="indrec (2)"/>
      <sheetName val="indrec E"/>
      <sheetName val="Pesangon"/>
      <sheetName val="lamp.1"/>
      <sheetName val="lamp.3"/>
      <sheetName val="lamp.4"/>
      <sheetName val="lamp3"/>
      <sheetName val="trf-d-i"/>
      <sheetName val="trf-d-i (2)"/>
      <sheetName val="trf-d-w"/>
      <sheetName val="trf-dr"/>
      <sheetName val="trf-dr-multiple"/>
      <sheetName val="TRF 150"/>
      <sheetName val="kepmenaker150"/>
      <sheetName val="uu13"/>
      <sheetName val="rumus-tnp-esk (3)"/>
      <sheetName val="rumus-tnp-esk (2)"/>
      <sheetName val="rumus-tnp-esk"/>
      <sheetName val="Tabel-I"/>
      <sheetName val="Tabel-H"/>
      <sheetName val="Tabel-G"/>
      <sheetName val="Tabel-F"/>
      <sheetName val="Tabel-E"/>
      <sheetName val="Tabel-D"/>
      <sheetName val="Tabel-C"/>
      <sheetName val="Tabel-B"/>
      <sheetName val="Tabel-A"/>
      <sheetName val="dt-lamp2-dapen"/>
      <sheetName val="dt-lamp2-pkt-ypk"/>
      <sheetName val="trf"/>
      <sheetName val="TARIPPASIF"/>
      <sheetName val="rkd"/>
      <sheetName val="rata-rata-usia"/>
      <sheetName val="hit-PKT"/>
      <sheetName val="hitYPK"/>
      <sheetName val="hit-YRS"/>
      <sheetName val="Hit-Pensiunan"/>
      <sheetName val="hit-Tunda"/>
      <sheetName val="Lamp-1-Dapen"/>
      <sheetName val="Lamp-2-Dapen"/>
      <sheetName val="Lamp-3-Dapen"/>
      <sheetName val="DP-estate"/>
      <sheetName val="Lamp-1-ypk"/>
      <sheetName val="lamp-2-ypk"/>
      <sheetName val="Lamp-3-YPK"/>
      <sheetName val="YPK-estate"/>
      <sheetName val="Lamp-1-pkt"/>
      <sheetName val="lamp-2-PKT"/>
      <sheetName val="Lamp-3-PKT"/>
      <sheetName val="PKT-estate"/>
      <sheetName val="Lamp-1-yrs"/>
      <sheetName val="lamp-2-yrs"/>
      <sheetName val="Lamp-3-YRS"/>
      <sheetName val="YRS-estate"/>
      <sheetName val="Lamp4-Dapen"/>
      <sheetName val="Lamp4-PKT"/>
      <sheetName val="Lamp4-YPK"/>
      <sheetName val="Lamp4-YRS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Review Notes"/>
      <sheetName val="H Lead - Investment Lead"/>
      <sheetName val="H100"/>
      <sheetName val="H.200"/>
      <sheetName val="H210"/>
      <sheetName val="H300"/>
      <sheetName val="H.400"/>
      <sheetName val="H500"/>
      <sheetName val="UB Lead"/>
      <sheetName val="UB100"/>
      <sheetName val="UB200"/>
      <sheetName val="UB300"/>
      <sheetName val="UB400"/>
      <sheetName val="UB500"/>
      <sheetName val="WP-Panu'02"/>
      <sheetName val="PL fiskal"/>
      <sheetName val="PM, TE, SAD"/>
      <sheetName val="CIT_09"/>
      <sheetName val="Deftax 09"/>
      <sheetName val="KF"/>
      <sheetName val="Sum FA Fiscal"/>
      <sheetName val="FA_09"/>
      <sheetName val="FA_08"/>
      <sheetName val="Supporting SRM"/>
      <sheetName val="BS_SRM"/>
      <sheetName val="PL_SRM_jiwo"/>
      <sheetName val="PL_SRM"/>
      <sheetName val="Loan Calculation"/>
      <sheetName val="TB9"/>
      <sheetName val="TB09"/>
      <sheetName val="BSINDEX"/>
      <sheetName val="BS3"/>
      <sheetName val="BS2"/>
      <sheetName val="BS2.1"/>
      <sheetName val="BS3.5"/>
      <sheetName val="BS2.4"/>
      <sheetName val="BS 4"/>
      <sheetName val="TBAFTRAUDIT"/>
      <sheetName val="daftar kf"/>
      <sheetName val="FA_FISKAL09"/>
      <sheetName val="FA_FISKAL08"/>
      <sheetName val="TB10"/>
      <sheetName val="TBDEC09"/>
      <sheetName val="COYLIST"/>
      <sheetName val="C 1"/>
      <sheetName val="C 2"/>
      <sheetName val="C 3"/>
      <sheetName val="AP-1098"/>
      <sheetName val="Profile"/>
      <sheetName val="F1771-IV"/>
      <sheetName val="F1771-V"/>
      <sheetName val="K.1- FA Movement"/>
      <sheetName val="K.2-Building"/>
      <sheetName val="K.3-Machinery &amp; Tools"/>
      <sheetName val="K.4-FFE"/>
      <sheetName val="K.5-Vehicles"/>
      <sheetName val="K.6-Lease-Vehicles"/>
      <sheetName val="FFE"/>
      <sheetName val="PAJE '04"/>
      <sheetName val="PRJE '04"/>
      <sheetName val="CAJE-04"/>
      <sheetName val="PYJE '04"/>
      <sheetName val="WP-PBM-04"/>
      <sheetName val="WBS2005"/>
      <sheetName val="Rincian BS"/>
      <sheetName val="CC "/>
      <sheetName val="K Movement"/>
      <sheetName val="M-4"/>
      <sheetName val="N-2"/>
      <sheetName val="NN "/>
      <sheetName val="O-1_PPh 21"/>
      <sheetName val="O-1.1 Rekap gaji"/>
      <sheetName val="O-2_PPh 23"/>
      <sheetName val="O-3_PPh 25"/>
      <sheetName val="O-5_PPN"/>
      <sheetName val="Q-3"/>
      <sheetName val="Q-3.1"/>
      <sheetName val="QQ"/>
      <sheetName val="R-1 Perhitungan def. tax"/>
      <sheetName val="Kep-150"/>
      <sheetName val="Salaries"/>
      <sheetName val="Salaries (2)"/>
      <sheetName val="Macro "/>
      <sheetName val="Ali"/>
      <sheetName val="Agus"/>
      <sheetName val="Andy"/>
      <sheetName val="Arief"/>
      <sheetName val="Chairul"/>
      <sheetName val="Doddy"/>
      <sheetName val="Diana"/>
      <sheetName val="Endang"/>
      <sheetName val="Fadly"/>
      <sheetName val="Hasneli"/>
      <sheetName val="Helena"/>
      <sheetName val="Heny"/>
      <sheetName val="Herman"/>
      <sheetName val="Ivan"/>
      <sheetName val="Iman"/>
      <sheetName val="Kristin"/>
      <sheetName val="Lena"/>
      <sheetName val="Lorraine"/>
      <sheetName val="Milo"/>
      <sheetName val="Nuridin"/>
      <sheetName val="Natalia"/>
      <sheetName val="Sentot"/>
      <sheetName val="Sugianto"/>
      <sheetName val="Suryanto"/>
      <sheetName val="Syamsu"/>
      <sheetName val="Win"/>
      <sheetName val="zhafira"/>
      <sheetName val="CET"/>
      <sheetName val="0209TR"/>
      <sheetName val="MLE"/>
      <sheetName val="JAN-SEP'11"/>
      <sheetName val="JAN-SEP'11 MLE"/>
      <sheetName val="FEB'11"/>
      <sheetName val="MAR'11"/>
      <sheetName val="APR'11"/>
      <sheetName val="mei'11"/>
      <sheetName val="jun'11"/>
      <sheetName val="jul'11"/>
      <sheetName val="sep'11"/>
      <sheetName val="COP-SEP'11"/>
      <sheetName val="buku besar"/>
      <sheetName val="NRC,RL"/>
      <sheetName val="GL Jan-Mrt (2)"/>
      <sheetName val="AP_Mei"/>
      <sheetName val="ARJUN"/>
      <sheetName val="AR JULI"/>
      <sheetName val="AR AGST"/>
      <sheetName val="AR Sept"/>
      <sheetName val="AT (2)"/>
      <sheetName val="List Aset"/>
      <sheetName val="Wks Konsol_ RE_ISSUE"/>
      <sheetName val="Tanah Kavling_2010"/>
      <sheetName val="Tanah Kavling_2011"/>
      <sheetName val="Ruko_Cimandala"/>
      <sheetName val="WKS_2012"/>
      <sheetName val="REKAP AP"/>
      <sheetName val="PREPAID INSURANCE BUILD"/>
      <sheetName val="AP (2)"/>
      <sheetName val="AP (3)"/>
      <sheetName val="KAPITALISASI"/>
      <sheetName val="TANAH YG BLM DIKEMBANGKAN"/>
      <sheetName val="jan-jun'12"/>
      <sheetName val="Lampiran Aging AR (2)"/>
      <sheetName val="dasi"/>
      <sheetName val="CETJULI"/>
      <sheetName val="penjualan-ruko"/>
      <sheetName val="penjualan-GC2"/>
      <sheetName val="penj-kav bgy"/>
      <sheetName val="penj-kav GC2"/>
      <sheetName val="penjualan-bgy"/>
      <sheetName val="HPP-RUKO"/>
      <sheetName val="HPP RMH GC2"/>
      <sheetName val="HPP KAV BGC "/>
      <sheetName val="HPP KAV GC 2"/>
      <sheetName val="HPP RMH"/>
      <sheetName val="MD"/>
      <sheetName val="TPD"/>
      <sheetName val="MMP"/>
      <sheetName val="MD Des 12"/>
      <sheetName val="TPD Des 12"/>
      <sheetName val="AR AGEING"/>
      <sheetName val="AP AGEING"/>
      <sheetName val="MTS-PRSD"/>
      <sheetName val="AR1"/>
      <sheetName val="PREPAID INSURANCE "/>
      <sheetName val="AGING AP"/>
      <sheetName val="SEWA "/>
      <sheetName val="Report Mpi"/>
      <sheetName val="Report konsol"/>
      <sheetName val="FORMAT KORAN (2)"/>
      <sheetName val="JAN-JUN 2013"/>
      <sheetName val="JAN-JUN'13"/>
      <sheetName val="RUKO CINERE ONE"/>
      <sheetName val="RUKO CBS"/>
      <sheetName val="KIOSK_CBS_15%"/>
      <sheetName val="KIOSK CBS"/>
      <sheetName val="APARTEMEN CBS"/>
      <sheetName val="BS IS"/>
      <sheetName val="BSIS"/>
      <sheetName val="DES 2013"/>
      <sheetName val="HdSheet"/>
      <sheetName val="Deskrip"/>
      <sheetName val="luas"/>
      <sheetName val="BQ-1A"/>
      <sheetName val="eskal"/>
      <sheetName val="Dom "/>
      <sheetName val="BQ_1A"/>
      <sheetName val="Isolasi Luar"/>
      <sheetName val="Isolasi Luar Dalam"/>
      <sheetName val="DAFTAR NO_1_PRELIM"/>
      <sheetName val="DAFTAR NO_2 PEK_ ELEKTRIKAL"/>
      <sheetName val="Trafo &amp; Pan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reambul"/>
      <sheetName val="326CHEL"/>
      <sheetName val="analisa listrik"/>
      <sheetName val="Harga Satuan Bahan"/>
      <sheetName val="hrst upah"/>
      <sheetName val="analisa hrst elektrik"/>
      <sheetName val="ME RR1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ST"/>
      <sheetName val="Cover Paket"/>
      <sheetName val="Cover PJT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sumintr"/>
      <sheetName val="Sum BUL &amp; Alat"/>
      <sheetName val="Bul "/>
      <sheetName val="Alat PLP2 "/>
      <sheetName val="Provisi "/>
      <sheetName val="analisa-komp"/>
      <sheetName val="analisa bore"/>
      <sheetName val="Sub-Kont"/>
      <sheetName val="pintuu"/>
      <sheetName val="BQ Struktur"/>
      <sheetName val="BQ Arsitektur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IT"/>
      <sheetName val="ANDAT"/>
      <sheetName val="1-LISTRIK print"/>
      <sheetName val="2-Genset print"/>
      <sheetName val="SumBoQ C4"/>
      <sheetName val="BoQ C4"/>
      <sheetName val="DayWorks"/>
      <sheetName val="mat.dominan"/>
      <sheetName val="Resiko"/>
      <sheetName val="Horisontal"/>
      <sheetName val="REKAP III"/>
      <sheetName val="Est ME"/>
      <sheetName val="Lift &amp; Escalator"/>
      <sheetName val="Pareto"/>
      <sheetName val="Alat (TC) (2)"/>
      <sheetName val="MU (2)"/>
      <sheetName val="Casflow (5)"/>
      <sheetName val="Casflow (4)"/>
      <sheetName val="Casflow (6)"/>
      <sheetName val="Casflow"/>
      <sheetName val="REKAP STR T"/>
      <sheetName val="BQ STR T"/>
      <sheetName val="DF-2 (2)"/>
      <sheetName val="DF-2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Pemeliharaan"/>
      <sheetName val="Bul &amp; Persiapan"/>
      <sheetName val="sched alat"/>
      <sheetName val="Sched Man Power"/>
      <sheetName val="Sewa Alat"/>
      <sheetName val="Provisi &amp; Asuransi"/>
      <sheetName val="Review Listrik"/>
      <sheetName val="sched daya"/>
      <sheetName val="Bul dan Persiapan1"/>
      <sheetName val="Rekap Angg 12 Okt"/>
      <sheetName val="TC"/>
      <sheetName val="Cost"/>
      <sheetName val="rek det 1-3"/>
      <sheetName val="Arsitektur"/>
      <sheetName val="p&amp;p"/>
      <sheetName val="BDP Scaff"/>
      <sheetName val="BDP Tinggi"/>
      <sheetName val="FIRE FIGHTING"/>
      <sheetName val="COV_UTAMA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analisys"/>
      <sheetName val="unit_rate_works"/>
      <sheetName val="dewatering"/>
      <sheetName val="sparing"/>
      <sheetName val="ALT_MBT"/>
      <sheetName val="rekap_ana"/>
      <sheetName val="ALT_1"/>
      <sheetName val="rekab"/>
      <sheetName val="rekab Point"/>
      <sheetName val="RAB POINT"/>
      <sheetName val="Ana Beton"/>
      <sheetName val="Ana Sanitair"/>
      <sheetName val="analisa Str"/>
      <sheetName val="Mark Up DK 1"/>
      <sheetName val="Mark Up C 8"/>
      <sheetName val="Kondisi"/>
      <sheetName val="Evaluasi Ang"/>
      <sheetName val="sumEXL"/>
      <sheetName val="Rekap Ang"/>
      <sheetName val="Prelim Extr"/>
      <sheetName val="BreakD Prelim"/>
      <sheetName val="CM Temp Office"/>
      <sheetName val="Over Time"/>
      <sheetName val="390MC-PS"/>
      <sheetName val="Fee Coord"/>
      <sheetName val="NSC"/>
      <sheetName val="Scafolding"/>
      <sheetName val="GFA "/>
      <sheetName val="DafProyek"/>
      <sheetName val="Bul (2)"/>
      <sheetName val="Alt"/>
      <sheetName val="Alt (2)"/>
      <sheetName val="DafAlt"/>
      <sheetName val="SPH"/>
      <sheetName val="mu rev"/>
      <sheetName val="overhead"/>
      <sheetName val="-"/>
      <sheetName val="CMA - GA"/>
      <sheetName val="Accoun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utasi Final"/>
      <sheetName val="BSAA"/>
      <sheetName val="Disposals"/>
      <sheetName val="LOKASI"/>
      <sheetName val="panther"/>
      <sheetName val="KKP 01 Audit"/>
      <sheetName val="Down Payment Invoice"/>
      <sheetName val="divI"/>
      <sheetName val="divII"/>
      <sheetName val="Data Sheet"/>
      <sheetName val="Worksheet in 8311 Substantive A"/>
      <sheetName val="SumDet"/>
      <sheetName val="DEPN 2001"/>
      <sheetName val="Template "/>
      <sheetName val="BS-level1"/>
      <sheetName val="PL-level 1"/>
      <sheetName val="PL-Level2"/>
      <sheetName val="SENSUS"/>
      <sheetName val="MAPING PL"/>
      <sheetName val="MAPING BS"/>
      <sheetName val="2017BS"/>
      <sheetName val="2017LR"/>
      <sheetName val="TB 10"/>
      <sheetName val="RKAP 2017"/>
      <sheetName val="2017 LISTING"/>
      <sheetName val="2016BS"/>
      <sheetName val="2016LR"/>
      <sheetName val="2016CF "/>
      <sheetName val="2016OPENITEM"/>
      <sheetName val="2016 CAT NRC"/>
      <sheetName val="Spending VS Revenue"/>
      <sheetName val="Detail Revenue Obat"/>
      <sheetName val="AR Ins &amp; Inventroy Days"/>
      <sheetName val="NPWP"/>
      <sheetName val="1721"/>
      <sheetName val="PEGAWAI"/>
      <sheetName val="1721-A"/>
      <sheetName val="1721-A (2)"/>
      <sheetName val="1721-A1"/>
      <sheetName val="1721-A1 (2)"/>
      <sheetName val="1721-A2"/>
      <sheetName val="1721-B"/>
      <sheetName val="1721-C"/>
      <sheetName val="12THR"/>
      <sheetName val="REKAP PERHITUNGAN PPh 2005"/>
      <sheetName val="JUAL_STD"/>
      <sheetName val="PL-level 1 Cash Av"/>
      <sheetName val="短期借款"/>
      <sheetName val="应付票据"/>
      <sheetName val="应付帐款"/>
      <sheetName val="应付工资"/>
      <sheetName val="应付福利费"/>
      <sheetName val="应缴税金"/>
      <sheetName val="其他应付款"/>
      <sheetName val="预提费用"/>
      <sheetName val="长期借款"/>
      <sheetName val="专项应付款"/>
      <sheetName val="Detailed PL"/>
      <sheetName val="Reclass"/>
      <sheetName val="Journals"/>
      <sheetName val="Schedules"/>
      <sheetName val="Invest"/>
      <sheetName val="Grp Jrl"/>
      <sheetName val="Shldr hist &amp; Chgs"/>
      <sheetName val="J2"/>
      <sheetName val="J1"/>
      <sheetName val="U-receipt"/>
      <sheetName val="U-exp test"/>
      <sheetName val="W"/>
      <sheetName val="payroll"/>
      <sheetName val="STD"/>
      <sheetName val="Audit Ticks"/>
      <sheetName val="Adj "/>
      <sheetName val="share capital"/>
      <sheetName val="G1"/>
      <sheetName val="H1"/>
      <sheetName val="Os"/>
      <sheetName val="O1"/>
      <sheetName val="P1"/>
      <sheetName val="P2"/>
      <sheetName val="Qs"/>
      <sheetName val="R1"/>
      <sheetName val="Us (2)"/>
      <sheetName val="Us"/>
      <sheetName val="W1"/>
      <sheetName val="W2"/>
      <sheetName val="W5"/>
      <sheetName val="X1"/>
      <sheetName val="X2"/>
      <sheetName val="X3"/>
      <sheetName val="X4"/>
      <sheetName val="X5"/>
      <sheetName val="X6"/>
      <sheetName val="X7"/>
      <sheetName val="Ys"/>
      <sheetName val="LTI(99)"/>
      <sheetName val="Subsid&amp;MI(99)"/>
      <sheetName val="LTI(00)"/>
      <sheetName val="Subsid&amp;MI(00)"/>
      <sheetName val="LTI(01)"/>
      <sheetName val="Subsid&amp;MI(01)"/>
      <sheetName val="LTI(02-03-31)"/>
      <sheetName val="Subsid&amp;MI(02-03-31)"/>
      <sheetName val="Comparison"/>
      <sheetName val="2002-03NL"/>
      <sheetName val="2001-12NL"/>
      <sheetName val="2000-12NL"/>
      <sheetName val="1999-12NL"/>
      <sheetName val="Adjustment summary"/>
      <sheetName val="Unadjusted errors"/>
      <sheetName val="汇总"/>
      <sheetName val="2002"/>
      <sheetName val="1999"/>
      <sheetName val="交换网络部"/>
      <sheetName val="信息网络部"/>
      <sheetName val="实业部"/>
      <sheetName val="寻呼机部"/>
      <sheetName val="总务部"/>
      <sheetName val="数据部"/>
      <sheetName val="物业管理部"/>
      <sheetName val="集团科室"/>
      <sheetName val="经营部"/>
      <sheetName val="153541"/>
      <sheetName val="154501"/>
      <sheetName val="154505"/>
      <sheetName val="155000"/>
      <sheetName val="155500"/>
      <sheetName val="312020"/>
      <sheetName val="312022"/>
      <sheetName val="312040"/>
      <sheetName val="313010"/>
      <sheetName val="313011"/>
      <sheetName val="313012"/>
      <sheetName val="313020"/>
      <sheetName val="361000"/>
      <sheetName val="365000"/>
      <sheetName val="CF Konsol-BM"/>
      <sheetName val="BALANCE ACTUAL"/>
      <sheetName val="L0"/>
      <sheetName val="L0 (2)"/>
      <sheetName val="BPCS"/>
      <sheetName val="RUGILABA"/>
      <sheetName val="Subsequent receipt"/>
      <sheetName val="data (2)"/>
      <sheetName val="gg.1"/>
      <sheetName val="WHT-21"/>
      <sheetName val="DAFTAR NOMINATIF"/>
      <sheetName val="EE.2"/>
      <sheetName val="TB 13"/>
      <sheetName val="WTB"/>
      <sheetName val="BS PL"/>
      <sheetName val="CIT"/>
      <sheetName val="J. FALCON"/>
      <sheetName val="TAX|DTA"/>
      <sheetName val="FA "/>
      <sheetName val="CF 2012"/>
      <sheetName val="PERALATAN 09"/>
      <sheetName val="PERLENGKAPAN 09"/>
      <sheetName val="TANAH 09"/>
      <sheetName val="KENDARAAN 09"/>
      <sheetName val="BANGUNAN 09"/>
      <sheetName val="By Pra Operasional"/>
      <sheetName val="Akt Lain 08"/>
      <sheetName val="0282A"/>
      <sheetName val="SD"/>
      <sheetName val="ocean voyage"/>
      <sheetName val="FS - US$"/>
      <sheetName val="PN"/>
      <sheetName val="FISIK RAB 2000"/>
      <sheetName val="Planting"/>
      <sheetName val="SALESJAN'03"/>
      <sheetName val="SALESFEB'03"/>
      <sheetName val="SALESMRT'03"/>
      <sheetName val="SALESAPR'03"/>
      <sheetName val="SALESMEI'03"/>
      <sheetName val="SALESJUNI'03"/>
      <sheetName val="SALESJULI'03"/>
      <sheetName val="SALESAGT'03"/>
      <sheetName val="SALESSEP'03"/>
      <sheetName val="SALESOKT'03"/>
      <sheetName val="SALESNOP'03"/>
      <sheetName val="SALESDES'03"/>
      <sheetName val="BUDGET_1999"/>
      <sheetName val="Akun"/>
      <sheetName val="List PT"/>
      <sheetName val="Holiday"/>
      <sheetName val="Indr"/>
      <sheetName val="Income"/>
      <sheetName val="KMK"/>
      <sheetName val="KI-2A"/>
      <sheetName val="KI-2B"/>
      <sheetName val="KMKUSD"/>
      <sheetName val="KI2"/>
      <sheetName val="Brahm-KI3"/>
      <sheetName val="KI10M "/>
      <sheetName val="KI4"/>
      <sheetName val="KI11,8M"/>
      <sheetName val="KIexSIC"/>
      <sheetName val="KI8M ADM"/>
      <sheetName val="KI13,2M"/>
      <sheetName val="KI-1-SELESAI"/>
      <sheetName val="rekon fiskal"/>
      <sheetName val="PAJE 08"/>
      <sheetName val="PAJE 09"/>
      <sheetName val="PARE"/>
      <sheetName val="Corporate Income tax"/>
      <sheetName val="Proof"/>
      <sheetName val="5y pm"/>
      <sheetName val="1y pm "/>
      <sheetName val="act plan 1y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KPI (2)"/>
      <sheetName val="electromotor"/>
      <sheetName val="pump&amp;fan"/>
      <sheetName val="electrical"/>
      <sheetName val="INVESTASI (1)"/>
      <sheetName val="MAT-R.MILL"/>
      <sheetName val="MAT-PRESS"/>
      <sheetName val="MAT-SEPARATOR"/>
      <sheetName val="MAT-PURIFIER"/>
      <sheetName val="MAT-HYDROCYCLONE"/>
      <sheetName val="HK Rawat"/>
      <sheetName val="Price List 2008Est"/>
      <sheetName val="NORMA PN"/>
      <sheetName val="Norma MN"/>
      <sheetName val="Norma TBM0"/>
      <sheetName val="MN"/>
      <sheetName val="PN (2)"/>
      <sheetName val="MN (2)"/>
      <sheetName val="LC Mekanis"/>
      <sheetName val="Infrastruktur"/>
      <sheetName val="TBM-0"/>
      <sheetName val="TBM-1"/>
      <sheetName val="TBM-2"/>
      <sheetName val="TBM-3"/>
      <sheetName val="RAB2008 Mineral"/>
      <sheetName val="Rekap Harian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pl-cy ai"/>
      <sheetName val="coe detil 2003"/>
      <sheetName val="coe detil 2003 (2)"/>
      <sheetName val="coe detil 2003 (r 0)"/>
      <sheetName val="COE (r 1)"/>
      <sheetName val="IN"/>
      <sheetName val="OUT"/>
      <sheetName val="Ko.Mat (2)"/>
      <sheetName val="Master Barang"/>
      <sheetName val="Piut-karyawan"/>
      <sheetName val="LC(tidak dipakai)"/>
      <sheetName val="Norma LC (tidak dipakai)"/>
      <sheetName val="K.1"/>
      <sheetName val="K.2"/>
      <sheetName val="VB.1.1"/>
      <sheetName val="TMP1"/>
      <sheetName val="WORKS"/>
      <sheetName val="Analytical Review"/>
      <sheetName val="NOT"/>
      <sheetName val="mutasiCF"/>
      <sheetName val="CF suppl."/>
      <sheetName val="Memo cash"/>
      <sheetName val="Memo AR"/>
      <sheetName val="E 1"/>
      <sheetName val="E 2"/>
      <sheetName val="Memo F"/>
      <sheetName val="Memo G"/>
      <sheetName val="G 1"/>
      <sheetName val="G 2"/>
      <sheetName val="Memo H"/>
      <sheetName val="Memo I"/>
      <sheetName val="I 1"/>
      <sheetName val="I 2"/>
      <sheetName val="I 3"/>
      <sheetName val="I 4"/>
      <sheetName val="Memo J"/>
      <sheetName val="J 1"/>
      <sheetName val="Memo K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 2"/>
      <sheetName val="P Memo"/>
      <sheetName val="P 1"/>
      <sheetName val="P 2"/>
      <sheetName val="P 2.1"/>
      <sheetName val="P 3"/>
      <sheetName val="P 3.1"/>
      <sheetName val="Q Lead"/>
      <sheetName val="T lead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printCDV"/>
      <sheetName val="K 2.4"/>
      <sheetName val="DES 02"/>
      <sheetName val="AGT"/>
      <sheetName val="PP-05"/>
      <sheetName val="aktiva lain"/>
      <sheetName val="Pa(r)je"/>
      <sheetName val="SAD"/>
      <sheetName val="A.4.1"/>
      <sheetName val="E.1"/>
      <sheetName val="E.2"/>
      <sheetName val="G.1"/>
      <sheetName val="G.2"/>
      <sheetName val="I.1"/>
      <sheetName val="A.4.2"/>
      <sheetName val="N.1"/>
      <sheetName val="N.2"/>
      <sheetName val="M.2"/>
      <sheetName val="I.2"/>
      <sheetName val="A.4.3"/>
      <sheetName val="U.2"/>
      <sheetName val="U.4"/>
      <sheetName val="U.6"/>
      <sheetName val="U.7"/>
      <sheetName val="Exch sheet"/>
      <sheetName val="BS Ayu 2005"/>
      <sheetName val="Assets Ayu 2005"/>
      <sheetName val="Liabilities+SHE Ayu 2005"/>
      <sheetName val="Profit Loss Ayu 2005"/>
      <sheetName val="RentalIncome&amp;TaxPayable-2005"/>
      <sheetName val="Road"/>
      <sheetName val="Housing"/>
      <sheetName val="Power Supply"/>
      <sheetName val="Vehicle"/>
      <sheetName val="G. Lead"/>
      <sheetName val="G.1.1"/>
      <sheetName val="G.2.1"/>
      <sheetName val="G.3"/>
      <sheetName val="G.4"/>
      <sheetName val="G.4.1"/>
      <sheetName val="G.5"/>
      <sheetName val="G.5.1"/>
      <sheetName val="G.6"/>
      <sheetName val="G.6.1"/>
      <sheetName val="G.7.1"/>
      <sheetName val="G.7.2"/>
      <sheetName val="G.8"/>
      <sheetName val="G.8.1"/>
      <sheetName val="G.9"/>
      <sheetName val="G.10 "/>
      <sheetName val="G.FISCAL"/>
      <sheetName val="G.Fiscal.1"/>
      <sheetName val="SAMPAH (Unused)"/>
      <sheetName val="N.3"/>
      <sheetName val="N.4"/>
      <sheetName val="N.5.1"/>
      <sheetName val="N.6.1"/>
      <sheetName val="N.6.3"/>
      <sheetName val="O4"/>
      <sheetName val="O4(2)"/>
      <sheetName val="O.5"/>
      <sheetName val="P2 (2)"/>
      <sheetName val="P.3"/>
      <sheetName val="P.4"/>
      <sheetName val="P5"/>
      <sheetName val="U1"/>
      <sheetName val="U2"/>
      <sheetName val="U3"/>
      <sheetName val="Summary FA"/>
      <sheetName val="G.7"/>
      <sheetName val="LANDBEK"/>
      <sheetName val="LANDBKS2"/>
      <sheetName val="gdgbks"/>
      <sheetName val="LSIBEK"/>
      <sheetName val="ISTBKS"/>
      <sheetName val="ISTVIT"/>
      <sheetName val="ISTIKO"/>
      <sheetName val="MIBPC"/>
      <sheetName val="MC"/>
      <sheetName val="PMBKS2"/>
      <sheetName val="PMBEK86"/>
      <sheetName val="PMB2"/>
      <sheetName val="PMEXBCL"/>
      <sheetName val="PMB1"/>
      <sheetName val="TDMBEK96"/>
      <sheetName val="TDMVIT"/>
      <sheetName val="TDMIKO"/>
      <sheetName val="TDMBEKAS"/>
      <sheetName val="TDMBEK"/>
      <sheetName val="MVKPS"/>
      <sheetName val="MVDTSBK"/>
      <sheetName val="MVCNG2"/>
      <sheetName val="MVBKS"/>
      <sheetName val="MVBEK"/>
      <sheetName val="MVPLSSD"/>
      <sheetName val="MVPLS"/>
      <sheetName val="FFAMJKT"/>
      <sheetName val="FFBKS"/>
      <sheetName val="FFATT"/>
      <sheetName val="FFDM"/>
      <sheetName val="FFBEKAS"/>
      <sheetName val="FFBKSGA"/>
      <sheetName val="FFBKS3"/>
      <sheetName val="FFBKS2"/>
      <sheetName val="FIKO"/>
      <sheetName val="FFEXBCL"/>
      <sheetName val="FFEDPGA"/>
      <sheetName val="FFT2ND"/>
      <sheetName val="FFT2FL"/>
      <sheetName val="FFSD"/>
      <sheetName val="FFPURCH"/>
      <sheetName val="FFLABBCR"/>
      <sheetName val="FFLAB"/>
      <sheetName val="FFT3FL"/>
      <sheetName val="FFWHBKS"/>
      <sheetName val="FFVIT"/>
      <sheetName val="FFTJLT"/>
      <sheetName val="FVITA"/>
      <sheetName val="FFTBANG"/>
      <sheetName val="ppbks"/>
      <sheetName val="PMBEK"/>
      <sheetName val="ppbks2"/>
      <sheetName val="EDPACCBK ok"/>
      <sheetName val="edpbks2 ok"/>
      <sheetName val="EDPPURC"/>
      <sheetName val="EDPLT3"/>
      <sheetName val="EDPGA"/>
      <sheetName val="EDPBKSWH"/>
      <sheetName val="edp2001"/>
      <sheetName val="4000"/>
      <sheetName val="total moh "/>
      <sheetName val="TB asli"/>
      <sheetName val="TB-2 JAN"/>
      <sheetName val="TB-2"/>
      <sheetName val="Purchases"/>
      <sheetName val="Interest"/>
      <sheetName val="Forex"/>
      <sheetName val="aging AR"/>
      <sheetName val="Intagible Asset"/>
      <sheetName val="PBC WBS1"/>
      <sheetName val="PBC WBS2"/>
      <sheetName val="PBC wpl"/>
      <sheetName val="CAJE-CRJE"/>
      <sheetName val="PAJE-PRJE"/>
      <sheetName val="Restated-ga update"/>
      <sheetName val="E-2 Lead"/>
      <sheetName val="N-2 Lead"/>
      <sheetName val="N-1 Lead"/>
      <sheetName val="P Lead"/>
      <sheetName val="O.1.1"/>
      <sheetName val="O.1.2"/>
      <sheetName val="O.1 BKS"/>
      <sheetName val="O.1 SLTN"/>
      <sheetName val="O.1 BGR"/>
      <sheetName val="O.1 CKMPK"/>
      <sheetName val="O.1 SRG"/>
      <sheetName val="O-1.1"/>
      <sheetName val="O-1.1 (2)"/>
      <sheetName val="O.2.2"/>
      <sheetName val="O.2.1 (2)"/>
      <sheetName val="K.1.1"/>
      <sheetName val="K.1.2"/>
      <sheetName val="K.1.4"/>
      <sheetName val="K.2.1"/>
      <sheetName val="K.2.2"/>
      <sheetName val="K.3"/>
      <sheetName val="K.4"/>
      <sheetName val="K.5"/>
      <sheetName val="PAJE 06"/>
      <sheetName val="PARE (06)"/>
      <sheetName val="PAJE (05)"/>
      <sheetName val="Corporate Income Tax 2006"/>
      <sheetName val="PAJE-PARE-CAJE 2009"/>
      <sheetName val="PAJE-PARE-CAJE 2008"/>
      <sheetName val="PAJE-PARE-CAJE 2007"/>
      <sheetName val="WPL (2)"/>
      <sheetName val="Yield"/>
      <sheetName val="FFBSum"/>
      <sheetName val="MillCap"/>
      <sheetName val="FFBChart"/>
      <sheetName val="AgeProfile"/>
      <sheetName val="Replant"/>
      <sheetName val="FFBCalc"/>
      <sheetName val="AgeCalc"/>
      <sheetName val="C.1"/>
      <sheetName val="C.1.1"/>
      <sheetName val="C.1.2"/>
      <sheetName val="C.1.3"/>
      <sheetName val="C.1.4"/>
      <sheetName val="C.1.5"/>
      <sheetName val="C.2"/>
      <sheetName val="C.3"/>
      <sheetName val="C.4"/>
      <sheetName val="CRAM C"/>
      <sheetName val="C Cash and Bank "/>
      <sheetName val="Cash and Bank Register"/>
      <sheetName val="Pakanbaru"/>
      <sheetName val="N3"/>
      <sheetName val="VD"/>
      <sheetName val="VD1"/>
      <sheetName val="VD2"/>
      <sheetName val="VD3"/>
      <sheetName val="UB"/>
      <sheetName val="judul"/>
      <sheetName val="Incst"/>
      <sheetName val="BS (2)"/>
      <sheetName val="Ind"/>
      <sheetName val="eng"/>
      <sheetName val="Dtlbs"/>
      <sheetName val="share"/>
      <sheetName val="fxrlzd"/>
      <sheetName val="Kassetara"/>
      <sheetName val="sales affiliasi"/>
      <sheetName val="sumfxass"/>
      <sheetName val="fxasuicv"/>
      <sheetName val="fxass"/>
      <sheetName val="inf.segmen"/>
      <sheetName val="Perubahan"/>
      <sheetName val="kwjbn moneter"/>
      <sheetName val="Jamsostek"/>
      <sheetName val="ANALISA_AR_SALES"/>
      <sheetName val="COMM_CV"/>
      <sheetName val="TEST TRANSAKSI BEBAN"/>
      <sheetName val="Psl 4(2)"/>
      <sheetName val="PPN'05"/>
      <sheetName val="Sbr"/>
      <sheetName val="TRANSAKSI"/>
      <sheetName val="LEDGER"/>
      <sheetName val="BebanUsaha"/>
      <sheetName val="Data Sales tahunan"/>
      <sheetName val="Kalkulasi Loan"/>
      <sheetName val="W B S"/>
      <sheetName val="W P L"/>
      <sheetName val="Komersial VS Fiskal"/>
      <sheetName val="Common Size"/>
      <sheetName val="Financial Analysis"/>
      <sheetName val="Certification.Ltr"/>
      <sheetName val="0120A"/>
      <sheetName val="0610A"/>
      <sheetName val="0800A"/>
      <sheetName val="0805A"/>
      <sheetName val="0860A"/>
      <sheetName val="0940A"/>
      <sheetName val="0960A"/>
      <sheetName val="0960Instruct"/>
      <sheetName val="1260A"/>
      <sheetName val="1320A"/>
      <sheetName val="1370A"/>
      <sheetName val="1600A"/>
      <sheetName val="1620A"/>
      <sheetName val="1730A"/>
      <sheetName val="1750D"/>
      <sheetName val="1900D.1"/>
      <sheetName val="1900D.2"/>
      <sheetName val="1900D.3"/>
      <sheetName val="1910D"/>
      <sheetName val="1920D"/>
      <sheetName val="1925D"/>
      <sheetName val="1930D.1 "/>
      <sheetName val="1930D.2"/>
      <sheetName val="1940D.1"/>
      <sheetName val="1940D.2"/>
      <sheetName val="1950D"/>
      <sheetName val="Scheds01SCHFILEExternalFDC"/>
      <sheetName val="PBC-WBS1"/>
      <sheetName val="PBC-WBS2"/>
      <sheetName val="PBC-wpl"/>
      <sheetName val="Cashflow Direct"/>
      <sheetName val="Ori Cry"/>
      <sheetName val="IK - Query Voucher Rows - GL 05"/>
      <sheetName val="IK - Query Voucher Rows - G (2)"/>
      <sheetName val="IK - Query Voucher Rows - G (6)"/>
      <sheetName val="Tendering Cost"/>
      <sheetName val="General Expense"/>
      <sheetName val="IK - Query Voucher Rows - G (4)"/>
      <sheetName val="IK - Query Voucher Rows - G (5)"/>
      <sheetName val="9U1.3"/>
      <sheetName val="Content"/>
      <sheetName val="PI"/>
      <sheetName val="PM-TE"/>
      <sheetName val="PTD 06"/>
      <sheetName val="A1"/>
      <sheetName val="C1.1"/>
      <sheetName val="C1.2 Cash Opname"/>
      <sheetName val="C1.2.1- Voucher"/>
      <sheetName val="C1.2.2-Bon Sementara"/>
      <sheetName val="E1.1"/>
      <sheetName val="E2.1"/>
      <sheetName val="EE2"/>
      <sheetName val="E3"/>
      <sheetName val="E3.1"/>
      <sheetName val="EE3"/>
      <sheetName val="EE4"/>
      <sheetName val="E4"/>
      <sheetName val="E4.1a"/>
      <sheetName val="E4.1b"/>
      <sheetName val="E4.1c"/>
      <sheetName val="E4.1d"/>
      <sheetName val="PM_SM"/>
      <sheetName val="RM_SM"/>
      <sheetName val="RM Move"/>
      <sheetName val="PM Move "/>
      <sheetName val="Calculation FG"/>
      <sheetName val="RoFo"/>
      <sheetName val="G3"/>
      <sheetName val="G3.1"/>
      <sheetName val="G4"/>
      <sheetName val="G5"/>
      <sheetName val="K - Lead"/>
      <sheetName val="K1.1"/>
      <sheetName val="List SGU, Predictive test"/>
      <sheetName val="K3.1"/>
      <sheetName val="FS _ US_"/>
      <sheetName val="Control Risk Apects"/>
      <sheetName val="Advance Payment"/>
      <sheetName val="F.1.1 UM-import"/>
      <sheetName val="F.1.2 UM-importvalas"/>
      <sheetName val="Prepaid Expenses &amp; Taxes"/>
      <sheetName val="F.2.1 - PPh 22"/>
      <sheetName val="F.2.1.1 - VAT IN PPh 22"/>
      <sheetName val="F.2.2 - PPh 25"/>
      <sheetName val="G.1.4"/>
      <sheetName val="F.1"/>
      <sheetName val="F.2"/>
      <sheetName val="O.1"/>
      <sheetName val="O.2"/>
      <sheetName val="O.3"/>
      <sheetName val="P.1"/>
      <sheetName val="P.1.1"/>
      <sheetName val="U1.1"/>
      <sheetName val="U1.2"/>
      <sheetName val="U2.1"/>
      <sheetName val="U2.2"/>
      <sheetName val="U4.1"/>
      <sheetName val="U5"/>
      <sheetName val="U6"/>
      <sheetName val="U7"/>
      <sheetName val="PAYROLL-PBC"/>
      <sheetName val="FOREX-PBC"/>
      <sheetName val="INTEREST-PBC"/>
      <sheetName val="Purchases-PBC"/>
      <sheetName val="SALES-PBC"/>
      <sheetName val="wpl-PBC"/>
      <sheetName val="WBS1-PBC"/>
      <sheetName val="WBS2-PBC"/>
      <sheetName val="cashflow-PBC"/>
      <sheetName val="Liabilities"/>
      <sheetName val="Fiskal 2008"/>
      <sheetName val="FA-Fiskal 2007"/>
      <sheetName val="BS SRM"/>
      <sheetName val="PNL SRM"/>
      <sheetName val="Perhitungan Timing Depre"/>
      <sheetName val="PK02 add"/>
      <sheetName val="PK02 (2)"/>
      <sheetName val="LIST-ASET"/>
      <sheetName val="TB1206"/>
      <sheetName val="TB-asli"/>
      <sheetName val="TB -2"/>
      <sheetName val="MOH 2006"/>
      <sheetName val="GL0107"/>
      <sheetName val="Pembantu"/>
      <sheetName val="PLR"/>
      <sheetName val="PLC"/>
      <sheetName val="PLSE"/>
      <sheetName val="PLGA"/>
      <sheetName val="PLOEI"/>
      <sheetName val="D Lead"/>
      <sheetName val="D.1"/>
      <sheetName val="D.2"/>
      <sheetName val="D.3"/>
      <sheetName val="D.4"/>
      <sheetName val="D Adjustment"/>
      <sheetName val="UNIT"/>
      <sheetName val="RINCI-WPL"/>
      <sheetName val="D.5"/>
      <sheetName val="D.5.1"/>
      <sheetName val="D.5.2"/>
      <sheetName val="D.5.3"/>
      <sheetName val="D.6"/>
      <sheetName val="D.6.1"/>
      <sheetName val="D.6.2"/>
      <sheetName val="D.6.3"/>
      <sheetName val="D.6.4"/>
      <sheetName val="D.6.5"/>
      <sheetName val="NOV_DEC98"/>
      <sheetName val="9NOP98"/>
      <sheetName val="NDS96_2000"/>
      <sheetName val="kom&amp;Fis2003 "/>
      <sheetName val="Journal Fiskal"/>
      <sheetName val="KK IDR"/>
      <sheetName val="KB IDR"/>
      <sheetName val="KB USD"/>
      <sheetName val="B IDR"/>
      <sheetName val="B USD"/>
      <sheetName val="JPb"/>
      <sheetName val="JPn"/>
      <sheetName val="JM"/>
      <sheetName val="NL"/>
      <sheetName val="alk-ovh est"/>
      <sheetName val="alk-tbm"/>
      <sheetName val="Master Data-In"/>
      <sheetName val="Master Data-Out"/>
      <sheetName val="CF GAWI"/>
      <sheetName val="Uang Muka"/>
      <sheetName val="Alamat 21"/>
      <sheetName val="Alamat 23"/>
      <sheetName val="LAP PJK 21"/>
      <sheetName val="lap spm 23"/>
      <sheetName val="LAP PJK 23"/>
      <sheetName val="LAM SPM 21"/>
      <sheetName val="23f"/>
      <sheetName val="Undian"/>
      <sheetName val="bd_pph21"/>
      <sheetName val="HONDA"/>
      <sheetName val="BKL &amp; SR"/>
      <sheetName val="PSD"/>
      <sheetName val="TAP"/>
      <sheetName val="API"/>
      <sheetName val="CABANG"/>
      <sheetName val="G- Lead"/>
      <sheetName val="G.1.2"/>
      <sheetName val="L(R)"/>
      <sheetName val="Catum"/>
      <sheetName val="Penj NRC &amp; L(R)"/>
      <sheetName val="AJE AUDIT"/>
      <sheetName val="CFA06"/>
      <sheetName val="AA21"/>
      <sheetName val="AA2"/>
      <sheetName val="AA2 (2)"/>
      <sheetName val="CFA17"/>
      <sheetName val="CFA25"/>
      <sheetName val="CFA28"/>
      <sheetName val="FA Jun"/>
      <sheetName val="CFA24"/>
      <sheetName val="AA21a"/>
      <sheetName val="AA21b"/>
      <sheetName val="A09"/>
      <sheetName val="WBS PARENTS"/>
      <sheetName val="WPL PARENTS"/>
      <sheetName val="Rekon Fiskal MBTO"/>
      <sheetName val="Dtax"/>
      <sheetName val="Jv"/>
      <sheetName val=" CF attachment"/>
      <sheetName val="Fluc"/>
      <sheetName val="T.B"/>
      <sheetName val="T_B"/>
      <sheetName val="TB Dec'10"/>
      <sheetName val="WBS A"/>
      <sheetName val="WBS B "/>
      <sheetName val="TAX`10"/>
      <sheetName val="Exp Operating"/>
      <sheetName val="Exp COGS"/>
      <sheetName val="Rincian BYMHD"/>
      <sheetName val="Aset-Penambahan"/>
      <sheetName val="Permint-Data"/>
      <sheetName val="Daft-Konfirmasi"/>
      <sheetName val="Work sheet audit"/>
      <sheetName val="Laporan-Juni"/>
      <sheetName val="Laporan-Des"/>
      <sheetName val="daf. isi"/>
      <sheetName val="Work sheet"/>
      <sheetName val="work sheet 1"/>
      <sheetName val="Lampiran 1"/>
      <sheetName val="E.3"/>
      <sheetName val="E.4"/>
      <sheetName val="E.5"/>
      <sheetName val="E.6"/>
      <sheetName val="E.7"/>
      <sheetName val="E.8"/>
      <sheetName val="E.9"/>
      <sheetName val="E.10"/>
      <sheetName val="List FA 2008"/>
      <sheetName val="GL 2008"/>
      <sheetName val="General Ledger Tahun APRIL 2008"/>
      <sheetName val="Inventori Gudang Jan"/>
      <sheetName val="Lap Kas Tunai - 1"/>
      <sheetName val="Bank - 1"/>
      <sheetName val="KasBon - 1"/>
      <sheetName val="Lap Kas Tunai-2"/>
      <sheetName val="LKM Mggu 2 Jan 2009-2"/>
      <sheetName val="Bank-2"/>
      <sheetName val="KasBon-2"/>
      <sheetName val="Lap Kas Tunai-3"/>
      <sheetName val="LKM Mggu 2 Jan 2009-3"/>
      <sheetName val="Bank-3"/>
      <sheetName val="KasBon-3"/>
      <sheetName val="Lap Kas Tunai-4"/>
      <sheetName val="LKM Mggu 4 Jan 2009-4"/>
      <sheetName val="Bank-4"/>
      <sheetName val="KasBon-4"/>
      <sheetName val="DAT-NTN"/>
      <sheetName val="HGU"/>
      <sheetName val="BEBAN TANGGUHKAN"/>
      <sheetName val="Hutang pihak ke-3"/>
      <sheetName val="Hut Pemb Akt"/>
      <sheetName val="Hut Pemb. Akt."/>
      <sheetName val="Hutang Supplier"/>
      <sheetName val="Kebijakan Operasional FINAL"/>
      <sheetName val="REVISI Kebijakan Opr 090307"/>
      <sheetName val="Kebijakan Operasional (1)"/>
      <sheetName val="Rencana&amp;Tinjauan Kinerja HRM"/>
      <sheetName val="Rencana&amp;Tinjauan Kinerja HRD"/>
      <sheetName val="Rencana&amp;Tinjauan Kinerja HRDRev"/>
      <sheetName val="RenKer HRD-1"/>
      <sheetName val="RenKer HRD-2"/>
      <sheetName val="RenKer HRD-3"/>
      <sheetName val="HONDA_DIV"/>
      <sheetName val="SR_AA"/>
      <sheetName val="SR_CBR"/>
      <sheetName val="BEKASI"/>
      <sheetName val="TAMBUN"/>
      <sheetName val="CISALAK"/>
      <sheetName val="DEPOK"/>
      <sheetName val="API-BDG"/>
      <sheetName val="API-BKS"/>
      <sheetName val="Cms"/>
      <sheetName val="Skbmi"/>
      <sheetName val="Subang"/>
      <sheetName val="Mjlk"/>
      <sheetName val="Tasik"/>
      <sheetName val="Cjr"/>
      <sheetName val="Kun"/>
      <sheetName val="Pwt"/>
      <sheetName val="Grt"/>
      <sheetName val="Smd"/>
      <sheetName val="CF FLT"/>
      <sheetName val="CVR"/>
      <sheetName val="BS-Combined-01"/>
      <sheetName val="Notes Inc"/>
      <sheetName val="PDE summary"/>
      <sheetName val="03 NP"/>
      <sheetName val="04 NP"/>
      <sheetName val="05 NP"/>
      <sheetName val="06 NP"/>
      <sheetName val="06 NP (1)"/>
      <sheetName val="06 NP (2)"/>
      <sheetName val="06 NP (3)"/>
      <sheetName val="07 NP"/>
      <sheetName val="07 NP (1)"/>
      <sheetName val="07 NP (2)"/>
      <sheetName val="07 NP (3)"/>
      <sheetName val="2007 NP"/>
      <sheetName val="BS-Combined"/>
      <sheetName val="Q. Lead Schedule"/>
      <sheetName val="Q.1_Detail Sales"/>
      <sheetName val="Q.1.1_Toll Manufacturing"/>
      <sheetName val="Q.1_Cut Off-1"/>
      <sheetName val="Q.2_Cut Off-2"/>
      <sheetName val="Report Purposes_1"/>
      <sheetName val="Report Purposes_2"/>
      <sheetName val="Income - Combined"/>
      <sheetName val="Combined Note 1 to 6"/>
      <sheetName val="Combined Note 8 to 13"/>
      <sheetName val="TB-Cons"/>
      <sheetName val="Bal Sheet"/>
      <sheetName val="BS note 1-6"/>
      <sheetName val="BS Note 7"/>
      <sheetName val="BS Note 7b"/>
      <sheetName val="BS note 8-13"/>
      <sheetName val="Profit"/>
      <sheetName val="Profit Notes 1"/>
      <sheetName val="Profit Notes 2"/>
      <sheetName val="Detail OH (1)"/>
      <sheetName val="Detail OH (2)"/>
      <sheetName val="Detail OH (3)"/>
      <sheetName val="TB-Reg"/>
      <sheetName val="Bal Sheet (reg)"/>
      <sheetName val="BS note 1-6 (reg)"/>
      <sheetName val="BS Note 7 (reg)"/>
      <sheetName val="BS Note 7b (reg)"/>
      <sheetName val="BS note 8-13 (reg)"/>
      <sheetName val="Alo-GC (reg)"/>
      <sheetName val="TB-Est-1"/>
      <sheetName val="Profit (reg)"/>
      <sheetName val="Profit Notes (reg)"/>
      <sheetName val="Bal Sheet (1)"/>
      <sheetName val="BS note 1-6 (1)"/>
      <sheetName val="BS Note 7 (1)"/>
      <sheetName val="BS Note 7b (1)"/>
      <sheetName val="BS note 8-13 (1)"/>
      <sheetName val="TB-Est-2"/>
      <sheetName val="Profit (1)"/>
      <sheetName val="Profit Notes (1)"/>
      <sheetName val="PDE summary (1)"/>
      <sheetName val="Bal Sheet (2)"/>
      <sheetName val="BS note 1-6 (2)"/>
      <sheetName val="BS Note 7 (2)"/>
      <sheetName val="BS Note 7b (2)"/>
      <sheetName val="BS note 8-13 (2)"/>
      <sheetName val="TB-Est-3"/>
      <sheetName val="Profit (2)"/>
      <sheetName val="Profit Notes (2)"/>
      <sheetName val="PDE summary (2)"/>
      <sheetName val="Bal Sheet (3)"/>
      <sheetName val="BS note 1-6 (3)"/>
      <sheetName val="BS Note 7 (3)"/>
      <sheetName val="BS Note 7b (3)"/>
      <sheetName val="BS note 8-13 (3)"/>
      <sheetName val="Profit (3)"/>
      <sheetName val="Profit Notes (3)"/>
      <sheetName val="PDE summary (3)"/>
      <sheetName val="gltran"/>
      <sheetName val="revisi-gltran"/>
      <sheetName val="workNR"/>
      <sheetName val="workRL"/>
      <sheetName val="rlak"/>
      <sheetName val="posner"/>
      <sheetName val="posrula"/>
      <sheetName val="1-persd"/>
      <sheetName val="2-akt"/>
      <sheetName val="2-akt (bulanan)"/>
      <sheetName val="2-aktcadangan"/>
      <sheetName val="3-penjek"/>
      <sheetName val="4-bpp"/>
      <sheetName val="5-pembl"/>
      <sheetName val="6-oprs"/>
      <sheetName val="7-wesel"/>
      <sheetName val="8-bunga"/>
      <sheetName val="9-tax"/>
      <sheetName val="O.2.2.1"/>
      <sheetName val="O.2.2.2"/>
      <sheetName val="O.2.2.3"/>
      <sheetName val="PM, TE , SAD"/>
      <sheetName val="K-Combined"/>
      <sheetName val="PAJE-PRJE-CAJE-CRJE"/>
      <sheetName val="T Acc"/>
      <sheetName val="Elimination"/>
      <sheetName val="BS &amp; PL Analytical SRM"/>
      <sheetName val="Statements of SHE"/>
      <sheetName val="Segment Information"/>
      <sheetName val="BS &amp; PL Analytical"/>
      <sheetName val="Summary of Insurance.1"/>
      <sheetName val="K-Combined-1"/>
      <sheetName val="Segment Information with JO"/>
      <sheetName val="Summary of Insurance"/>
      <sheetName val="K-Combined-final"/>
      <sheetName val="1997"/>
      <sheetName val="9899"/>
      <sheetName val="konsultan"/>
      <sheetName val="proyek"/>
      <sheetName val="Predictive test -HPJ "/>
      <sheetName val="2003"/>
      <sheetName val="2007"/>
      <sheetName val="Car list "/>
      <sheetName val="suivi cash flow par affaire"/>
      <sheetName val="Biaya Departemen"/>
      <sheetName val="KP23"/>
      <sheetName val="12. ANALISA PL"/>
      <sheetName val="11. ANALISA PL"/>
      <sheetName val="ANALISA BS 11"/>
      <sheetName val="10. ANALISA PL"/>
      <sheetName val="TB 12"/>
      <sheetName val="TB 11"/>
      <sheetName val="Gen_Inputs"/>
      <sheetName val="HEMA RUTIN"/>
      <sheetName val="HEMA LENGKAP"/>
      <sheetName val="HEMA LENGKAP PLUS"/>
      <sheetName val="MIKROHEMATOKRIT"/>
      <sheetName val="MCV"/>
      <sheetName val="RETIKULOSIT"/>
      <sheetName val="LED"/>
      <sheetName val="LIMFOSIT PLASMA BIRU"/>
      <sheetName val="MORFOLOGI DARAH TEPI"/>
      <sheetName val="MORFOLOGI SUMSUM TULANG+"/>
      <sheetName val="RATIO IT"/>
      <sheetName val="GOL DARAH"/>
      <sheetName val="MALARIA"/>
      <sheetName val="HEMOTASIS RUTIN"/>
      <sheetName val="MASA PERDARAHAN (BT)"/>
      <sheetName val="MASA PEMBEKUAN (CT)"/>
      <sheetName val="MASA PROTOMBIN (PT)"/>
      <sheetName val="MASA TROMBOPLASTIN (APTT)"/>
      <sheetName val="MASA TROMBIN (TT)+"/>
      <sheetName val="FIBRINOGEN"/>
      <sheetName val="INR"/>
      <sheetName val="TROMBOTEST OWREN +"/>
      <sheetName val="AGREGASI TROMBOSIT"/>
      <sheetName val="VISKOSITAS DARAH +"/>
      <sheetName val="ACT"/>
      <sheetName val="D-DIMER"/>
      <sheetName val="FAKTOR VIII +"/>
      <sheetName val="FAKTOR IX +"/>
      <sheetName val="PROTEIN C +"/>
      <sheetName val="PROTEIN S +"/>
      <sheetName val="ANTI TROMBIN III +"/>
      <sheetName val="ACA IGM +"/>
      <sheetName val="ACA IGG +"/>
      <sheetName val="ANTI B2 GP +"/>
      <sheetName val="ANTIKOAGULASI LUPUS +"/>
      <sheetName val="G6PD +"/>
      <sheetName val="RESISTENSI OSMOTIK +"/>
      <sheetName val="UJI COOMBS +"/>
      <sheetName val="ELEKTRO HB +"/>
      <sheetName val="Hb F +"/>
      <sheetName val="BESI (IRON) +"/>
      <sheetName val="TIBC +"/>
      <sheetName val="FERRITIN +"/>
      <sheetName val="TRANSFERIN +"/>
      <sheetName val="VIT B12 +"/>
      <sheetName val="ASAM FOLAT +"/>
      <sheetName val="SEL LE +"/>
      <sheetName val="LE REAKSI +"/>
      <sheetName val="PROTEIN TOTAL"/>
      <sheetName val="ALBUMIN"/>
      <sheetName val="ELEKTROFORESIS PROTEIN +"/>
      <sheetName val="SERUM PROTEIN IMMUN +"/>
      <sheetName val="CHE +"/>
      <sheetName val="BILIRUBIN"/>
      <sheetName val="BILIRUBIN NEO"/>
      <sheetName val="SGOT &amp; SGPT"/>
      <sheetName val="SGOT"/>
      <sheetName val="SGPT"/>
      <sheetName val="GAMMA GT"/>
      <sheetName val="FOSFATASE ALKALI"/>
      <sheetName val="GLDH +"/>
      <sheetName val="ASAM EMPEDU +"/>
      <sheetName val="AMONIAK +"/>
      <sheetName val="PIVKA +"/>
      <sheetName val="Hs TROPONIN"/>
      <sheetName val="CK-MB"/>
      <sheetName val="CK TOTAL"/>
      <sheetName val="MIOGLOBIN +"/>
      <sheetName val="NT PRO BNP"/>
      <sheetName val="LDH +"/>
      <sheetName val="TROPONIN T +"/>
      <sheetName val="TROPONIN I"/>
      <sheetName val="UREUM"/>
      <sheetName val="KREATININ"/>
      <sheetName val="CYSTATIN C +"/>
      <sheetName val="ASAM URAT"/>
      <sheetName val="UJI BERSIHAN UREUM"/>
      <sheetName val="UJI BERSIHAN KREATININ"/>
      <sheetName val="B2-MIKRO +"/>
      <sheetName val="NGAL +"/>
      <sheetName val="ELCTROLYTE SERUM"/>
      <sheetName val="KALSIUM TOTAL"/>
      <sheetName val="KALSIUM ION"/>
      <sheetName val="FOSFAT ANORGANIK"/>
      <sheetName val="MAGNESIUM"/>
      <sheetName val="BIKARBONAT"/>
      <sheetName val="ANION GAP"/>
      <sheetName val="ANALISA GAS DARAH"/>
      <sheetName val="ASAM LAKTAT"/>
      <sheetName val="AGD PLUS"/>
      <sheetName val="GDS"/>
      <sheetName val="GDP"/>
      <sheetName val="GD2PP"/>
      <sheetName val="UJI TOLERANSI"/>
      <sheetName val="KURVA HARIAN"/>
      <sheetName val="HBA1C"/>
      <sheetName val="INSULIN PUASA +"/>
      <sheetName val="INSULIN 2PP +"/>
      <sheetName val="C-PEPTIDE PUASA +"/>
      <sheetName val="C-PEPTIDE 2PP +"/>
      <sheetName val="BENDA KETON"/>
      <sheetName val="KETON DARAH +"/>
      <sheetName val="FRUKTOSAMINE +"/>
      <sheetName val="AMILASE TOTAL +"/>
      <sheetName val="AMILASE PANKREAS +"/>
      <sheetName val="LIPASE +"/>
      <sheetName val="KOLESTEROL TOTAL"/>
      <sheetName val="LDL"/>
      <sheetName val="HDL"/>
      <sheetName val="TRIGLISERIDA"/>
      <sheetName val="DENSE LDL KUALITATIF +"/>
      <sheetName val="DENSE LDL KUANTITATIF +"/>
      <sheetName val="APO B +"/>
      <sheetName val="APO A1 +"/>
      <sheetName val="LIPOPROTEIN A +"/>
      <sheetName val="ADIPONEKTIN +"/>
      <sheetName val="LDL DIREK"/>
      <sheetName val="RATIO KOL-HDL"/>
      <sheetName val="HSCRP"/>
      <sheetName val="HOMOSISTEIN +"/>
      <sheetName val="TAS +"/>
      <sheetName val="GLUTATHOIN +"/>
      <sheetName val="CROSS LAP +"/>
      <sheetName val="N-MID OSYEOCALCIN +"/>
      <sheetName val="ANTI HAV TOTAL +"/>
      <sheetName val="ANTI HAV IGM +"/>
      <sheetName val="HBSAG ELISA"/>
      <sheetName val="HBSAG RAPID"/>
      <sheetName val="HBSAG KONFIRMASI +"/>
      <sheetName val="ANTI HBS"/>
      <sheetName val="ANTI HBC TOTAL +"/>
      <sheetName val="ANTI HBC IGM +"/>
      <sheetName val="HBEAG +"/>
      <sheetName val="ANTI HBE +"/>
      <sheetName val="ANTI HCV RAPID"/>
      <sheetName val="ANTI HCV"/>
      <sheetName val="ANTI HCV IGM +"/>
      <sheetName val="ANTI HEV IGG +"/>
      <sheetName val="ANTI HEV IGM +"/>
      <sheetName val="VDRL"/>
      <sheetName val="TPHA"/>
      <sheetName val="ANTI HIV RAPID"/>
      <sheetName val="ANTI HIV KUALITATIF"/>
      <sheetName val="HIV DUO TEST"/>
      <sheetName val="HIV RNA VIRAL LOAD +"/>
      <sheetName val="ANTI CHLAMYDA IGG +"/>
      <sheetName val="ANTI CHLAMYDA IGM +"/>
      <sheetName val="AFP"/>
      <sheetName val="CEA"/>
      <sheetName val="CA 125 +"/>
      <sheetName val="PAP PROSTAT +"/>
      <sheetName val="PSA TOTAL"/>
      <sheetName val="PSA BEBAS +"/>
      <sheetName val="CA 15-3 +"/>
      <sheetName val="HE 4 +"/>
      <sheetName val="CA 72-4 +"/>
      <sheetName val="CA 19-9 +"/>
      <sheetName val="SCC SERVIKS +"/>
      <sheetName val="NSE +"/>
      <sheetName val="CYFRA 21-1 +"/>
      <sheetName val="B-HCG +"/>
      <sheetName val="ANTI EBV VCA-AGA +"/>
      <sheetName val="ANTI EBV EA-IGA +"/>
      <sheetName val="ANTI ABV VCA-IGG +"/>
      <sheetName val="ANTI ABV EA-AGG +"/>
      <sheetName val="ANTI EBV VCA-AGM +"/>
      <sheetName val="ANTI EBV EA-AGM +"/>
      <sheetName val="IGE TOTAL +"/>
      <sheetName val="PANEL ALERGI ATOPI +"/>
      <sheetName val="PANEL ALERGI MAKANAN ASIA +"/>
      <sheetName val="RAST DEBU RUMAH +"/>
      <sheetName val="RAST TUNGAU DEBU RUMAH +"/>
      <sheetName val="RAST ASPERGILUS +"/>
      <sheetName val="RAST PENICILIN +"/>
      <sheetName val="RAST PENICILIN N +"/>
      <sheetName val="RAST KUNING TELUR +"/>
      <sheetName val="RAST SUSU +"/>
      <sheetName val="RAST UDANG +"/>
      <sheetName val="RAST SUSU KEDELAI +"/>
      <sheetName val="ASTO SEMIKUANTITATIF"/>
      <sheetName val="CRP KUANTITATIF"/>
      <sheetName val="PROCALTONIN +"/>
      <sheetName val="RA FACTOR KUALITATIF"/>
      <sheetName val="ANTI CCP +"/>
      <sheetName val="HLA B-27 +"/>
      <sheetName val="ANA ELISA +"/>
      <sheetName val="ANA IMMUNO +"/>
      <sheetName val="ANA PROFIL +"/>
      <sheetName val="ANTI DS DNA +"/>
      <sheetName val="ANCA +"/>
      <sheetName val="AMA +"/>
      <sheetName val="ANT. STRIATED MS +"/>
      <sheetName val="C3 +"/>
      <sheetName val="C4 +"/>
      <sheetName val="IGG KUANTITATIF +"/>
      <sheetName val="IGA KUANTITATIF +"/>
      <sheetName val="IGM KUANTITATIF +"/>
      <sheetName val="ELEKTRO IMMUNO +"/>
      <sheetName val="CD4 +"/>
      <sheetName val="CD8 +"/>
      <sheetName val="CD34 +"/>
      <sheetName val="TEOFILIN +"/>
      <sheetName val="DIGOXIN +"/>
      <sheetName val="FENOBARBITAL +"/>
      <sheetName val="KARBAMAZEPIN +"/>
      <sheetName val="ASAM VALPROAT +"/>
      <sheetName val="TRACROLIMUS +"/>
      <sheetName val="SIKLOSPORIN +"/>
      <sheetName val="GENTAMISIN +"/>
      <sheetName val="PHENYTOIN +"/>
      <sheetName val="WIDAL UJI SLIDE"/>
      <sheetName val="ANTI SALMONELA TUBEX"/>
      <sheetName val="ANTI SALMONELA RAPID"/>
      <sheetName val="SALMONELA IGG +"/>
      <sheetName val="DENGUE NS1 AG"/>
      <sheetName val="ANTI DENGUE IGG &amp; IGM"/>
      <sheetName val="MALARIA ANTIGEN"/>
      <sheetName val="H. PYLORI IGG +"/>
      <sheetName val="H. PYLORI IGM +"/>
      <sheetName val="LEPTOSPIRA IGM ELISA +"/>
      <sheetName val="ANTI LEPTOSPIRA IGM"/>
      <sheetName val="MEASLES IGG +"/>
      <sheetName val="MEASLES IGM +"/>
      <sheetName val="ANTI AMUBA +"/>
      <sheetName val="MONOTEST RAPID +"/>
      <sheetName val="ANTI CHIKUNGUNYA IGM"/>
      <sheetName val="ANTI MICOPLASMA IGG &amp; IGM +"/>
      <sheetName val="ANTI MICOPLASMA IGG +"/>
      <sheetName val="ANTI MICOPLASMA IGM +"/>
      <sheetName val="SEROLOGI JAMUR (ASPEERGILLUS) +"/>
      <sheetName val="TOXOPLASMA IGG +"/>
      <sheetName val="TOXOPLASMA IGM +"/>
      <sheetName val="ANTI RUBELLA IGG +"/>
      <sheetName val="ANTI RUBELLA IGM +"/>
      <sheetName val="CMV IGM +"/>
      <sheetName val="CMV IGG +"/>
      <sheetName val="ANTI HSV 1 IGG +"/>
      <sheetName val="ANTI HSV 1 IGM +"/>
      <sheetName val="ANTI HSV 2 IGG +"/>
      <sheetName val="ANTI HSV 2 IGM +"/>
      <sheetName val="AVIDITAS ANTI TOXO IGG +"/>
      <sheetName val="ANTI CMV IGG +"/>
      <sheetName val="GROWTH HORMON +"/>
      <sheetName val="SOMATOMEDIN +"/>
      <sheetName val="PROLACTIN +"/>
      <sheetName val="LH +"/>
      <sheetName val="FSH +"/>
      <sheetName val="PTH +"/>
      <sheetName val="25 OH VIT D +"/>
      <sheetName val="CORTISOL (DARAH-URIN) +"/>
      <sheetName val="CORTISOL +"/>
      <sheetName val="AKTIVASI RENIN +"/>
      <sheetName val="ALDOSTERON +"/>
      <sheetName val="DHEA S +"/>
      <sheetName val="T3 TOTAL +"/>
      <sheetName val="FT3 +"/>
      <sheetName val="T4 TOTAL +"/>
      <sheetName val="FT4 +"/>
      <sheetName val="FT1 +"/>
      <sheetName val="TSH S"/>
      <sheetName val="TSH NEONATUS +"/>
      <sheetName val="T3 UPTAKE +"/>
      <sheetName val="THYROGLOBULIN +"/>
      <sheetName val="ANTI THYROGLOBULIN +"/>
      <sheetName val="ANTI THYROGLOBULIN AG +"/>
      <sheetName val="ANTI TPO +"/>
      <sheetName val="TSH RECEPTOR AB +"/>
      <sheetName val="CALCITONIN +"/>
      <sheetName val="TESTOSTERON TOTAL +"/>
      <sheetName val="TESTOSTERON BEBAS +"/>
      <sheetName val="DHT +"/>
      <sheetName val="TESTOS. BIO +"/>
      <sheetName val="ESTRADIOL +"/>
      <sheetName val="ESTRADIOL BIO +"/>
      <sheetName val="PROGESTERON +"/>
      <sheetName val="PROGES. BIO +"/>
      <sheetName val="HORMON AMH +"/>
      <sheetName val="ESTRIOL +"/>
      <sheetName val="PCR SALMONELA +"/>
      <sheetName val="PCR MYCO TB +"/>
      <sheetName val="HBV-DNA KUANTITATIF +"/>
      <sheetName val="HCV RNA KUANTITATIF +"/>
      <sheetName val="HCV GENOTIP +"/>
      <sheetName val="PCR CMV +"/>
      <sheetName val="PCR HSV 1&amp;2 +"/>
      <sheetName val="ADENIN D-AMINASE +"/>
      <sheetName val="HPV DNA HIGH RISK +"/>
      <sheetName val="PCR HIV (VIRAL LOAD) +"/>
      <sheetName val="PCR CHLAMYDIA TRACH. +"/>
      <sheetName val="URINE LENGKAP"/>
      <sheetName val="PROTEIN ESBACH +"/>
      <sheetName val="MIKROALBUMIN (URIN 24 JAM) +"/>
      <sheetName val="ASAM URAT (URIN 24 JAM)"/>
      <sheetName val="UJI KEHAMILAN"/>
      <sheetName val="UREUM URIN"/>
      <sheetName val="CREATININ URINE"/>
      <sheetName val="ASAM URAT URINE"/>
      <sheetName val="ELEKTROLIT URINE"/>
      <sheetName val="FOSFOR ANORG"/>
      <sheetName val="VMA +"/>
      <sheetName val="ALDOSTERON URIN +"/>
      <sheetName val="17 KETOSTEROID +"/>
      <sheetName val="CALCIUM URIN"/>
      <sheetName val="MAGNESIUM URIN"/>
      <sheetName val="5-HIAA +"/>
      <sheetName val="ELECTROLITE URINE"/>
      <sheetName val="AMFETAMIN"/>
      <sheetName val="METAMFETAMIN"/>
      <sheetName val="BARBITAL-BARBITURAT +"/>
      <sheetName val="BENZODIAZEPIN"/>
      <sheetName val="CANNABIS"/>
      <sheetName val="COCCAINE"/>
      <sheetName val="MORFIN"/>
      <sheetName val="PHENCYCLIDIN +"/>
      <sheetName val="OPIATE URIN"/>
      <sheetName val="ALKOHOL +"/>
      <sheetName val="ANTI TROMBOSIT +"/>
      <sheetName val="ANALISIS SPERMA"/>
      <sheetName val="ANALISA SPERMA (ANDROLOG)"/>
      <sheetName val="ANTIBODI THD SPERMA +"/>
      <sheetName val="ANALISA BATU GINJAL +"/>
      <sheetName val="ANALISA BATU EMPEDU +"/>
      <sheetName val="PEWARNAAN &amp; HITUNG NAP +"/>
      <sheetName val="A-1 ANTITRYPSIN +"/>
      <sheetName val="UREA BREATH TEST +"/>
      <sheetName val="PB (PLUMBUN-TIMBAL) +"/>
      <sheetName val="CROSSMATCHING"/>
      <sheetName val="ALBUMIN GLIKAT +"/>
      <sheetName val="AVP +"/>
      <sheetName val="LITHIUM +"/>
      <sheetName val="IGRA TEST +"/>
      <sheetName val="ANALISA BATU URETER +"/>
      <sheetName val="TINJA RUTIN"/>
      <sheetName val="TINJA LENGKAP"/>
      <sheetName val="DARAH SAMAR FAECES"/>
      <sheetName val="ROTAVIRUS AG RAPID +"/>
      <sheetName val="ANALISIS CAIRAN PLEURA +"/>
      <sheetName val="ANALISIS CAIRAN SENDI +"/>
      <sheetName val="ANALISIS CAIRAN OTAK +"/>
      <sheetName val="PA SMALL +"/>
      <sheetName val="PA MEDIUM +"/>
      <sheetName val="PA LARGE +"/>
      <sheetName val="KONSUL SLIDE (1-2) +"/>
      <sheetName val="KONSUL BLOK (1-2) +"/>
      <sheetName val="FROZEN SECTION +"/>
      <sheetName val="FROZEN SECT + BATAS SAYATAN +"/>
      <sheetName val="BIAYA PERSIAPAN VC +"/>
      <sheetName val="BIOPSI +"/>
      <sheetName val="BIOPSI (1-2) +"/>
      <sheetName val="BIOPSI (3-4) +"/>
      <sheetName val="PAPSMEAR KONVENSIONAL +"/>
      <sheetName val="PAPSMEAR DGN TINDAKAN +"/>
      <sheetName val="THIN PREP +"/>
      <sheetName val="CELL PREP +"/>
      <sheetName val="PAPSMEAR HORMONAL +"/>
      <sheetName val="SITOPATOLOGI SPUTUM 1X +"/>
      <sheetName val="SITOPATOLOGI SPUTUM 3X +"/>
      <sheetName val="SITO CAIRAN URIN 1X +"/>
      <sheetName val="SITO CAIRAN BILASAN +"/>
      <sheetName val="FNAB TANPA TINDAKAN +"/>
      <sheetName val="FNAB DGN TINDAKAN +"/>
      <sheetName val="KONSUL SLIDE SITO +"/>
      <sheetName val="GOMORI - HISTOKIMIA +"/>
      <sheetName val="PAS - HISTOKIMIA +"/>
      <sheetName val="PAS DIASTASE-HISTOKIMIA +"/>
      <sheetName val="ALCIAN BLUE-HISTOKIMIA +"/>
      <sheetName val="TRICHROM - HISTOKIMIA +"/>
      <sheetName val="MUCICARMIN - HISTOKIMIA +"/>
      <sheetName val="RETIKULIN - HISTOKIMIA +"/>
      <sheetName val="BTA - HISTOKIMIA +"/>
      <sheetName val="FITE FARACO - HISTOKIMIA +"/>
      <sheetName val="IMMUNOHISTOKIMIA 2 ALFA +"/>
      <sheetName val="IMMUNOHISTOKIMIA 1 ANTIBODY +"/>
      <sheetName val="IMUNOHISTOKIMIA SUKAR +"/>
      <sheetName val="IMUNO PAKET GIST +"/>
      <sheetName val="IMUNO PAKET FISH +"/>
      <sheetName val="IMUNO ISH PER PROBE +"/>
      <sheetName val="IMUNO K-RAS +"/>
      <sheetName val="IMUNO N-RAS +"/>
      <sheetName val="IMUNO K-RAS &amp; N-RAS +"/>
      <sheetName val="IMUNO CISH +"/>
      <sheetName val="MUTASI EGFR +"/>
      <sheetName val="PAKET IMUNO +"/>
      <sheetName val="IMUNO BRAF +"/>
      <sheetName val="PACKED RED CELL +"/>
      <sheetName val="WHOLE BLOOD +"/>
      <sheetName val="FRESH FROZEN +"/>
      <sheetName val="CYRO PRESPITATE +"/>
      <sheetName val="ANTI HAEMOPHILIC +"/>
      <sheetName val="LEKODEPLATATE +"/>
      <sheetName val="WASHED ERITROSIT +"/>
      <sheetName val="PLATELET CONCENTRATE +"/>
      <sheetName val="LIQUID PLASMA +"/>
      <sheetName val="THROMBOPHERESIS +"/>
      <sheetName val="PACKED RED CELL NAT +"/>
      <sheetName val="WHOLE BLOOD NAT +"/>
      <sheetName val="FRESH FROZEN NAT +"/>
      <sheetName val="CYROPREPITATE NAT +"/>
      <sheetName val="ANTI HAEMO NAT +"/>
      <sheetName val="LEKODEPLATATE NAT +"/>
      <sheetName val="WASHED ERITROSIT NAT +"/>
      <sheetName val="PLATELET CONCENTRATE NAT +"/>
      <sheetName val="LIQUID PLASMA NAT +"/>
      <sheetName val="SUGAR TEST +"/>
      <sheetName val="UJI HAM TEST +"/>
      <sheetName val="BCR ABL KUALITATIF +"/>
      <sheetName val="BCR ABL KUANTITATIF +"/>
      <sheetName val="SCREENING RECTAL SWAB +"/>
      <sheetName val="KERTAS KERJA"/>
      <sheetName val="RUJUKAN"/>
      <sheetName val="OBAT 30215"/>
      <sheetName val="BIAKAN KUMAN"/>
      <sheetName val="SCREENING DARAH"/>
      <sheetName val="RADIOLOGY"/>
      <sheetName val="IP ORDER LAB &amp; RAD"/>
      <sheetName val="assump INC% sensus"/>
      <sheetName val="GROUP COA"/>
      <sheetName val="REQUIREMENT"/>
      <sheetName val="FAI4"/>
      <sheetName val="déf04"/>
      <sheetName val="Curves"/>
      <sheetName val="Resume MPPVSAktual"/>
      <sheetName val="Asumsi Rata2 LC per HC SWG"/>
      <sheetName val="Summ Rata2 LC"/>
      <sheetName val="RWP 0"/>
      <sheetName val="RWP 1"/>
      <sheetName val="RWP2-1"/>
      <sheetName val="RWP3"/>
      <sheetName val="RWP 20"/>
      <sheetName val="RWP 22"/>
      <sheetName val="RWP 33"/>
      <sheetName val="42CAF"/>
      <sheetName val="42CAI"/>
      <sheetName val="RWP43"/>
      <sheetName val="RWP55"/>
      <sheetName val="RWP75"/>
      <sheetName val="ALK-12"/>
      <sheetName val="FS-13"/>
      <sheetName val="BB-JAN 1999"/>
      <sheetName val="Proforma"/>
      <sheetName val="Based Data_wacc"/>
      <sheetName val="H1b Accounts Payable"/>
      <sheetName val="P1 Equity"/>
      <sheetName val="OLDMAP"/>
      <sheetName val="Menu_Data"/>
      <sheetName val="AVG2_JULI2003"/>
      <sheetName val="Input assumptions"/>
      <sheetName val="Incremental Field Inputs"/>
      <sheetName val="_Results Summary"/>
      <sheetName val="Primary Field Inputs"/>
      <sheetName val="CAST DAYLY"/>
      <sheetName val="Input Plan"/>
      <sheetName val="DAF.INVEN U.O"/>
      <sheetName val="P10"/>
      <sheetName val="EKT"/>
      <sheetName val="ENGIN"/>
      <sheetName val="EAT"/>
      <sheetName val="TRAINING FEE"/>
      <sheetName val="ＭＰ印刷２"/>
      <sheetName val="EX RATE"/>
      <sheetName val="Revaluation"/>
      <sheetName val="Terms"/>
      <sheetName val="OU"/>
      <sheetName val="ACC_NUM"/>
      <sheetName val="DIS Jan&quot;09"/>
      <sheetName val="ACM0131(GT)"/>
      <sheetName val="计划"/>
      <sheetName val="Interim --&gt; Top"/>
      <sheetName val="Permanent info"/>
      <sheetName val="P&amp;L_Highlights 2008"/>
      <sheetName val="Word"/>
      <sheetName val="Df~Isi"/>
      <sheetName val="Resume-1"/>
      <sheetName val="Invest-2"/>
      <sheetName val="JTPC-3"/>
      <sheetName val="MK-2"/>
      <sheetName val="RSDT"/>
      <sheetName val="Basic Assumption(2)"/>
      <sheetName val="RSDT input"/>
      <sheetName val="Asumsi-4"/>
      <sheetName val="Sales-5"/>
      <sheetName val="Purch"/>
      <sheetName val="COGS-5"/>
      <sheetName val="TKerja"/>
      <sheetName val="GA-6"/>
      <sheetName val="FA-7"/>
      <sheetName val="Bank-8"/>
      <sheetName val="IS-10"/>
      <sheetName val="BS-11"/>
      <sheetName val="CF-9"/>
      <sheetName val="AS-14"/>
      <sheetName val="ebitda (simulasi AR)"/>
      <sheetName val="MESIN TAGGING"/>
      <sheetName val="2013"/>
      <sheetName val="2014"/>
      <sheetName val="2015"/>
      <sheetName val="2016"/>
      <sheetName val="2017"/>
      <sheetName val="2018"/>
      <sheetName val="BS-RTI"/>
      <sheetName val="Detail Piutang"/>
      <sheetName val="Tdk Bermasalah"/>
      <sheetName val="Yang Bermasalah"/>
      <sheetName val="Report3"/>
      <sheetName val="seluruh"/>
      <sheetName val="CER Collector"/>
      <sheetName val="Rank Per Location"/>
      <sheetName val="BBM PER JAM"/>
      <sheetName val="ROUTE"/>
      <sheetName val="ROUTE NEW"/>
      <sheetName val="Pengiriman 1 Bulan"/>
      <sheetName val="SO"/>
      <sheetName val="Coa LD Per Month"/>
      <sheetName val="NERACA SALDO"/>
      <sheetName val="REKAP OMZET KAPAL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Rincian Capex"/>
      <sheetName val="HPP HARI 09"/>
      <sheetName val="Simulasi"/>
      <sheetName val="kLP BIAYA"/>
      <sheetName val="Agent"/>
      <sheetName val="OMZET"/>
      <sheetName val="HPP-Bulan (2)"/>
      <sheetName val="HPP HARI 09 (2)"/>
      <sheetName val="HPP-Bulan Lama"/>
      <sheetName val="bandarlampung"/>
      <sheetName val="Masa Kerja"/>
      <sheetName val="TM3"/>
      <sheetName val="RMS - STR (2)"/>
      <sheetName val="TK- FUNG"/>
      <sheetName val="SEN_FUNG"/>
      <sheetName val="TK1"/>
      <sheetName val="rekstru"/>
      <sheetName val="rekfung"/>
      <sheetName val="fungsional "/>
      <sheetName val="Ros"/>
      <sheetName val="struktur (2)"/>
      <sheetName val="Atur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Kas"/>
      <sheetName val="Laba Ditahan"/>
      <sheetName val="Arus Kas-1"/>
      <sheetName val="Arus Kas-2"/>
      <sheetName val="Rekonsi"/>
      <sheetName val="CRD"/>
      <sheetName val="DOZER"/>
      <sheetName val="solar"/>
      <sheetName val="SERVICE"/>
      <sheetName val="CHIPPING"/>
      <sheetName val="TRASS&amp;CHIP"/>
      <sheetName val="BLANGKO"/>
      <sheetName val="LAP-PROD"/>
      <sheetName val="TRASS '09"/>
      <sheetName val="trass'10"/>
      <sheetName val="REC'10"/>
      <sheetName val="form trass"/>
      <sheetName val="Rekap-User"/>
      <sheetName val="Dokter-User"/>
      <sheetName val="Kwitansi"/>
      <sheetName val="Lelang"/>
      <sheetName val="Rekap-Mngmt"/>
      <sheetName val="Manajemen Fee"/>
      <sheetName val="local"/>
      <sheetName val="sales_07 (3)"/>
      <sheetName val="eksport"/>
      <sheetName val="sales_07 (2)"/>
      <sheetName val="sales_07"/>
      <sheetName val="Etalase-Bsl"/>
      <sheetName val="Lab-RO"/>
      <sheetName val="Stok+Lab+RO+Gigi"/>
      <sheetName val="Dr.Ahli"/>
      <sheetName val="Hpp."/>
      <sheetName val="SAA"/>
      <sheetName val="JU"/>
      <sheetName val="NR"/>
      <sheetName val="pembelian sparepart &amp; bag 12.20"/>
      <sheetName val="pembelian MATERIAL 122007"/>
      <sheetName val="penjualan material (2)"/>
      <sheetName val="Tagihan BTI des"/>
      <sheetName val="Rhia"/>
      <sheetName val="tari"/>
      <sheetName val="mutasi hutang des07"/>
      <sheetName val="jurnal umum(HO)"/>
      <sheetName val="kartu hutang"/>
      <sheetName val="Piutang Kary Okt 07 (3)"/>
      <sheetName val="master COA"/>
      <sheetName val="uang muka penjualan"/>
      <sheetName val="NS_Oktober"/>
      <sheetName val="master VENDOR CUSTOMER"/>
      <sheetName val=" Cost Center"/>
      <sheetName val="Opinion Director"/>
      <sheetName val="skat kons."/>
      <sheetName val="Isi kons"/>
      <sheetName val="disclose"/>
      <sheetName val="w.s konsol 2007"/>
      <sheetName val="hub. istimewa"/>
      <sheetName val="AJE ELIMINASI"/>
      <sheetName val="selisih nilai buku"/>
      <sheetName val="aruskas- konsol"/>
      <sheetName val="piutang pihak ketiga"/>
      <sheetName val="aset tetap 06"/>
      <sheetName val="aset tetap 07"/>
      <sheetName val="pajak-tangguhan"/>
      <sheetName val="lampiran 2"/>
      <sheetName val="lampiran 3"/>
      <sheetName val="rincian beban langsung"/>
      <sheetName val="beban lansung"/>
      <sheetName val="rincian pendapatan usaha"/>
      <sheetName val="aset lain-lain"/>
      <sheetName val="kas&amp; setara kas"/>
      <sheetName val="laba ditahan final05-06"/>
      <sheetName val="transaksi valuta thn 06"/>
      <sheetName val="prpajakan"/>
      <sheetName val="opini PTPN I_2008"/>
      <sheetName val="Lead - LK PTPN PRINT"/>
      <sheetName val="CLK"/>
      <sheetName val="Lead - LK PTPN"/>
      <sheetName val="PSAK 46"/>
      <sheetName val="Jurnal koreksi &amp; reklas print"/>
      <sheetName val="penjelasan aje &amp; reklas_2008"/>
      <sheetName val="Taksiran PPh Badan"/>
      <sheetName val="WS NET OFF"/>
      <sheetName val="JURNAL NET OFF"/>
      <sheetName val="Z Score PTPN I"/>
      <sheetName val="Aje Eks KSO Karet"/>
      <sheetName val="Jurnal koreksi &amp; reklas"/>
      <sheetName val="PRICE PACKING (2)"/>
      <sheetName val=" Cash Flow"/>
      <sheetName val="PRICE PACKING"/>
      <sheetName val="PRICE SALES JASA"/>
      <sheetName val=" TARIF FLAT STORAGE"/>
      <sheetName val="Rekap Per Cab"/>
      <sheetName val="Rekap Perbulan"/>
      <sheetName val="Rekap Budget"/>
      <sheetName val=" Rekap"/>
      <sheetName val="Ho"/>
      <sheetName val="Shipp"/>
      <sheetName val="TO SMD"/>
      <sheetName val="TO Cwd"/>
      <sheetName val="TO Bwi"/>
      <sheetName val="Rekap HO"/>
      <sheetName val="Cash Flow HO"/>
      <sheetName val="Cash Flow Samarinda"/>
      <sheetName val="Resume SMD"/>
      <sheetName val="Smd1"/>
      <sheetName val="Smd2"/>
      <sheetName val="Rekap  SMD"/>
      <sheetName val="Cash Flow Banyuwangi"/>
      <sheetName val="Rekap BWI"/>
      <sheetName val="Resume Banyuwangi"/>
      <sheetName val="Bwi1"/>
      <sheetName val="Bwi2"/>
      <sheetName val="Produksi Smd "/>
      <sheetName val="Produksi Bwi"/>
      <sheetName val="Produksi Cwd Baru"/>
      <sheetName val="Cwd1"/>
      <sheetName val="Cwd2"/>
      <sheetName val="Cash Flow Ciwandan"/>
      <sheetName val="Resume Ciwandan"/>
      <sheetName val="Rekap Cwd Baru"/>
      <sheetName val="Rekap Cwd lama"/>
      <sheetName val="Cwd2 lama"/>
      <sheetName val="Produksi Cwd Lama"/>
      <sheetName val="Bengkel"/>
      <sheetName val="Kendaraan Operasional"/>
      <sheetName val="Kendaraan Dinas"/>
      <sheetName val="DeptKeu"/>
      <sheetName val="Dept HRD"/>
      <sheetName val="Keu (Pajak)"/>
      <sheetName val="Keu(Purch)"/>
      <sheetName val="Dept Logstk"/>
      <sheetName val="DeptKeu (Acc)"/>
      <sheetName val="DeptKeu (WH)"/>
      <sheetName val="Sales&amp;DIST"/>
      <sheetName val="Dept SD"/>
      <sheetName val="Cwd2 Baru"/>
      <sheetName val="worksheet (2)"/>
      <sheetName val="New Notes"/>
      <sheetName val="rekap bahas"/>
      <sheetName val="report1"/>
      <sheetName val="report1 (2)"/>
      <sheetName val="reg"/>
      <sheetName val="lunas"/>
      <sheetName val="report2"/>
      <sheetName val="Sampul 08"/>
      <sheetName val="Sampul 1"/>
      <sheetName val="Sampul 2"/>
      <sheetName val="Pengesahan"/>
      <sheetName val="Rencana transfer OKT 05"/>
      <sheetName val="CASH IN OKT"/>
      <sheetName val="PRESENTASE TRANSFER 10 2005"/>
      <sheetName val="MUTASI KAS 2005"/>
      <sheetName val="PIUTANG FIKRI"/>
      <sheetName val="MUTASI PIUTANG 2005"/>
      <sheetName val="SEWA DIBYR DIMUKA"/>
      <sheetName val="RINCI. DEP.2005"/>
      <sheetName val="data base"/>
      <sheetName val="COSTUMER CODE"/>
      <sheetName val="CONTROL PENJUALAN TUNAI"/>
      <sheetName val="BAG"/>
      <sheetName val="CRH"/>
      <sheetName val="REKP PENJUALAN BULANAN"/>
      <sheetName val="fill SAP BUKOPIN"/>
      <sheetName val="fill SAP BNI"/>
      <sheetName val="fill SAP MANDIRI"/>
      <sheetName val="fill SAP KAS"/>
      <sheetName val="BUKOPIN"/>
      <sheetName val="BNI"/>
      <sheetName val="MANDIRI"/>
      <sheetName val="MASTER1"/>
      <sheetName val="PEMAKAIAN BY PRODUKSI"/>
      <sheetName val="HUTANG TITIPAN"/>
      <sheetName val="PERSEDIAAN SPAREPART"/>
      <sheetName val="STOCK AWAL"/>
      <sheetName val="PEMAKAIAN WAREHOUSE"/>
      <sheetName val="MASTER CODE"/>
      <sheetName val="PEMBELIAN TONY 09"/>
      <sheetName val="HUTANG PER PO 09"/>
      <sheetName val="HUTANG PER VENDOR 09"/>
      <sheetName val="VENDORE CODE"/>
      <sheetName val="INFORMASI UMUM"/>
      <sheetName val="Mutasi"/>
      <sheetName val="IMPUT PENERIMAAN BULK WB"/>
      <sheetName val="IMPUT PENERIMAAN BAG PRODUKSI"/>
      <sheetName val="LAP. HARIAN"/>
      <sheetName val="RAW MATREIAL FLAT STORAGE"/>
      <sheetName val="Lap. Laba Rugi September"/>
      <sheetName val="Lap. Laba Rugi 2005"/>
      <sheetName val="MARGIN ANALISIS"/>
      <sheetName val="Cash Flow 2005"/>
      <sheetName val="PEMAKAIAN BY PRODUKSI 2005"/>
      <sheetName val="Chart Account"/>
      <sheetName val="GL_Account"/>
      <sheetName val="JK"/>
      <sheetName val="JB"/>
      <sheetName val="Notes BS"/>
      <sheetName val="slip (2)"/>
      <sheetName val="rapel"/>
      <sheetName val="bruto"/>
      <sheetName val="TANDA TERIMA"/>
      <sheetName val="absen"/>
      <sheetName val="lembur"/>
      <sheetName val="potongan"/>
      <sheetName val="pot. absen"/>
      <sheetName val="lembutr (2)"/>
      <sheetName val="REKAP LEMBUR"/>
      <sheetName val="pajak "/>
      <sheetName val="rep letter"/>
      <sheetName val="pph 29"/>
      <sheetName val="PA"/>
      <sheetName val="panding matter"/>
      <sheetName val="BS RIG+KATERING"/>
      <sheetName val="IS per biaya RIG+KATERING"/>
      <sheetName val="WS RIG+KATERING"/>
      <sheetName val="IS per RIG+KATERING"/>
      <sheetName val="saldo akhir"/>
      <sheetName val="note05-06"/>
      <sheetName val="penyertaan 07"/>
      <sheetName val="minta bukti"/>
      <sheetName val="SAP vs C&amp;R"/>
      <sheetName val="BSW"/>
      <sheetName val="Takeover"/>
      <sheetName val="Rekap (L)"/>
      <sheetName val="M-GOWA"/>
      <sheetName val="TKO"/>
      <sheetName val="BPP"/>
      <sheetName val="BWI"/>
      <sheetName val="BON"/>
      <sheetName val="CWD"/>
      <sheetName val="GOW"/>
      <sheetName val="JKT"/>
      <sheetName val="JNP"/>
      <sheetName val="KDI"/>
      <sheetName val="KLK"/>
      <sheetName val="KPG"/>
      <sheetName val="MKS"/>
      <sheetName val="MMJ"/>
      <sheetName val="MDO"/>
      <sheetName val="MSB"/>
      <sheetName val="PLP"/>
      <sheetName val="PLU"/>
      <sheetName val="PKP"/>
      <sheetName val="PRE"/>
      <sheetName val="PNR"/>
      <sheetName val="POL"/>
      <sheetName val="WJO"/>
      <sheetName val="SDP"/>
      <sheetName val="SJI"/>
      <sheetName val="SOP"/>
      <sheetName val="SBY"/>
      <sheetName val="TTR"/>
      <sheetName val="XNS"/>
      <sheetName val="XRKP"/>
      <sheetName val="ABMetal"/>
      <sheetName val="Asaba"/>
      <sheetName val="AlkaJaya"/>
      <sheetName val="Adhireksa"/>
      <sheetName val="Belibis"/>
      <sheetName val="Chuson"/>
      <sheetName val="DayaPrima"/>
      <sheetName val="DieselJY"/>
      <sheetName val="Genta"/>
      <sheetName val="GdGajah"/>
      <sheetName val="Hamasa"/>
      <sheetName val="IndoPorlen"/>
      <sheetName val="InterCasting"/>
      <sheetName val="Interworld"/>
      <sheetName val="Indowan"/>
      <sheetName val="KPMB"/>
      <sheetName val="Karunia"/>
      <sheetName val="KryTeguh"/>
      <sheetName val="KryOlindo"/>
      <sheetName val="Leman's"/>
      <sheetName val="LancarS"/>
      <sheetName val="MakmurMG"/>
      <sheetName val="MitraCh"/>
      <sheetName val="Octo"/>
      <sheetName val="Praxair"/>
      <sheetName val="Persada"/>
      <sheetName val="PLN"/>
      <sheetName val="Rancang"/>
      <sheetName val="SaranaCntrl"/>
      <sheetName val="Samator"/>
      <sheetName val="SariMas"/>
      <sheetName val="Sucofindo"/>
      <sheetName val="Silica"/>
      <sheetName val="SuryaTM"/>
      <sheetName val="Siswandi"/>
      <sheetName val="TDS"/>
      <sheetName val="Tepak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F.1 FG CKP"/>
      <sheetName val="F.1.1 CKP"/>
      <sheetName val="F.2 WIP CKP"/>
      <sheetName val="F.2.1 CKP"/>
      <sheetName val="F.3 RM CKP"/>
      <sheetName val="F.3.1 CKP"/>
      <sheetName val="F.1 FG BIC"/>
      <sheetName val="F.1.1 BIC "/>
      <sheetName val="F.2 WIP BIC"/>
      <sheetName val="F.2.1 BIC"/>
      <sheetName val="F.3 RM BIC"/>
      <sheetName val="F.3.1 BIC"/>
      <sheetName val="Tran0104 (2)"/>
      <sheetName val="Tran0104"/>
      <sheetName val="9O 1.2 Tran0104 (2)"/>
      <sheetName val="9O 1.1"/>
      <sheetName val="Sheet Q Pro"/>
      <sheetName val="Qpro"/>
      <sheetName val="NotesBS"/>
      <sheetName val="NotesPL"/>
      <sheetName val="PL_div"/>
      <sheetName val="adj smart"/>
      <sheetName val="MCU"/>
      <sheetName val="MCU (2)"/>
      <sheetName val="Budget 2008"/>
      <sheetName val="asumsi1"/>
      <sheetName val="asumsi2"/>
      <sheetName val="analysis (2)"/>
      <sheetName val="skenario"/>
      <sheetName val="jangmed"/>
      <sheetName val="Kend Leasing"/>
      <sheetName val="Pdpt dtrm dmk"/>
      <sheetName val="B Dby Dmk"/>
      <sheetName val="bank_loan"/>
      <sheetName val="Depr Kend"/>
      <sheetName val="Cover WS"/>
      <sheetName val="Isi WS"/>
      <sheetName val="Skat"/>
      <sheetName val="Ekuit"/>
      <sheetName val="Catatan WS"/>
      <sheetName val="Lampiran Khusus WS"/>
      <sheetName val="NRC Potret"/>
      <sheetName val="AJE-2007"/>
      <sheetName val="WS 2K3"/>
      <sheetName val="AJE 2"/>
      <sheetName val="P_Tannguh"/>
      <sheetName val="Catatan (2)"/>
      <sheetName val="4 ROA"/>
      <sheetName val="6 BOPO"/>
      <sheetName val="3CAR"/>
      <sheetName val="T.O.C."/>
      <sheetName val="Cover AJE"/>
      <sheetName val="Cover Utama"/>
      <sheetName val="Compatibility Report"/>
      <sheetName val="DISCUS"/>
      <sheetName val="MTS AR"/>
      <sheetName val="MTS PIUT KARYW"/>
      <sheetName val="MTS ANGS. KEND"/>
      <sheetName val="MTS HUT AFLS"/>
      <sheetName val="MTS DP"/>
      <sheetName val="MTS AUC"/>
      <sheetName val="MTS PIU AFLS"/>
      <sheetName val="MTS HUTANG"/>
      <sheetName val="MTS 2006"/>
      <sheetName val="TOTAL STOCK"/>
      <sheetName val="AT DES"/>
      <sheetName val="Jur_Kor"/>
      <sheetName val="NS"/>
      <sheetName val="G.HPP"/>
      <sheetName val="HPP1"/>
      <sheetName val="H.USAHA"/>
      <sheetName val="H.Angs Kend"/>
      <sheetName val="AR AFLS"/>
      <sheetName val="SINDIKASI"/>
      <sheetName val="Bilateral"/>
      <sheetName val="PKS add2"/>
      <sheetName val="BY 1"/>
      <sheetName val="BY 2"/>
      <sheetName val="Rkap Hut&amp;INT"/>
      <sheetName val="SCED LC"/>
      <sheetName val="ANG INT 03"/>
      <sheetName val="INT 03"/>
      <sheetName val="INT DEFF SINDK"/>
      <sheetName val="MINING EQUIP"/>
      <sheetName val="DES 2001"/>
      <sheetName val="MARET2001"/>
      <sheetName val="PEG &amp; ABB &amp; MINING"/>
      <sheetName val="PERSON SINDIKASI"/>
      <sheetName val="CONTOH (1)"/>
      <sheetName val="CONTOH"/>
      <sheetName val="SCHEDULE KKSK"/>
      <sheetName val="AGENCY FEE"/>
      <sheetName val="SPD"/>
      <sheetName val="Opini'08"/>
      <sheetName val="Daft. Proyek"/>
      <sheetName val="PL (2)"/>
      <sheetName val="Notes (2)"/>
      <sheetName val="LL"/>
      <sheetName val="10-1"/>
      <sheetName val="Kurs"/>
      <sheetName val="20-1"/>
      <sheetName val="50"/>
      <sheetName val="60"/>
      <sheetName val="Project_P"/>
      <sheetName val="Merak Export"/>
      <sheetName val="Merak Import"/>
      <sheetName val="VBA Code"/>
      <sheetName val="Overall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2004.VS.2003"/>
      <sheetName val="JUST.F7"/>
      <sheetName val="CTT.RPT"/>
      <sheetName val="KODE BAG"/>
      <sheetName val="PVT.TOTAL"/>
      <sheetName val="SKOP"/>
      <sheetName val="NonDept"/>
      <sheetName val="PVT-FUNGSI"/>
      <sheetName val="REKAP-F7.0"/>
      <sheetName val="F7.1"/>
      <sheetName val="F7-OPS"/>
      <sheetName val="PIVOT 3 DGT"/>
      <sheetName val="F-7.2.3 DGT "/>
      <sheetName val="F7.3th"/>
      <sheetName val="PIVOTF8.0"/>
      <sheetName val="F8.0"/>
      <sheetName val="PIVOT-F.7.4.DGT"/>
      <sheetName val="F-7.2.4DGT"/>
      <sheetName val="2004R.VS.2003"/>
      <sheetName val="KEL.9"/>
      <sheetName val="EXECUTIVE SUMMARY"/>
      <sheetName val="HARGA MINYAK &amp; KURS"/>
      <sheetName val="LAPORAN MINYAK"/>
      <sheetName val="LAPORAN GAS"/>
      <sheetName val="EBITDA"/>
      <sheetName val="C5 GABUNG"/>
      <sheetName val="FINDING COST"/>
      <sheetName val="ABI"/>
      <sheetName val="ABO"/>
      <sheetName val="KONS"/>
      <sheetName val=" KONS BID PKP"/>
      <sheetName val="LAHENDONG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  <sheetName val="sort by vessel &amp; port"/>
      <sheetName val="bunker"/>
      <sheetName val="perhitungan charter rate"/>
      <sheetName val="daftar kapal"/>
      <sheetName val="januari"/>
      <sheetName val="februari"/>
      <sheetName val="maret"/>
      <sheetName val="juli"/>
      <sheetName val="agust"/>
      <sheetName val="september"/>
      <sheetName val="oktober"/>
      <sheetName val="november"/>
      <sheetName val="desember"/>
      <sheetName val="Compressed"/>
      <sheetName val="Depre"/>
      <sheetName val="Alocation"/>
      <sheetName val="CC BAM"/>
      <sheetName val="GL Account"/>
      <sheetName val="USER MANUAL"/>
      <sheetName val="smk_rspj"/>
      <sheetName val="smk_rspb"/>
      <sheetName val="smk_rspc"/>
      <sheetName val="smk_AKPER"/>
      <sheetName val="SMK_RSPbm"/>
      <sheetName val="Journal Set - AJE"/>
      <sheetName val="Table1"/>
      <sheetName val="LR Satelit"/>
      <sheetName val="PAU Korporat"/>
      <sheetName val="PAU Dropping-Sweeping"/>
      <sheetName val="Sumber Pendanaan"/>
      <sheetName val="Investasi 2008-2013"/>
      <sheetName val="Penyusutan 2009-2013"/>
      <sheetName val="Investasi 2009-2013 (Update)"/>
      <sheetName val="Rinci Pendapatan 2009-2013"/>
      <sheetName val="Ikhtisar LR 2009-2013"/>
      <sheetName val="Neraca 2009-2013"/>
      <sheetName val="Arus Kas 2009-2013"/>
      <sheetName val="Biaya April 05"/>
      <sheetName val="Rinci Pend (01 A)"/>
      <sheetName val="Rinci Pendapatan 2007 PT (01 C)"/>
      <sheetName val="KPI 05-07"/>
      <sheetName val="master-R L Des 09"/>
      <sheetName val="master-R L Peb 2010"/>
      <sheetName val="RINCIAN RL-2 (Master)"/>
      <sheetName val="master-R L RKAP 10 oke"/>
      <sheetName val="Rinci Pendapatan"/>
      <sheetName val="Labarugi Jenis Biaya"/>
      <sheetName val="master-gaji 2010 Oke"/>
      <sheetName val="Analisa Own Use"/>
      <sheetName val="Analisa Pend. Obat &amp; Alkes"/>
      <sheetName val="Neraca 2010"/>
      <sheetName val="Arus Kas (03 A)"/>
      <sheetName val="Target Laba"/>
      <sheetName val="Grafik Trend Laba"/>
      <sheetName val="Trend Laba Rugi"/>
      <sheetName val="Labarugi Pertamina Oke (01 B)"/>
      <sheetName val="L-R Pertamedika (01 B - 1)"/>
      <sheetName val="Kontrak (01 C - 1)"/>
      <sheetName val="Material (01 C - 2)"/>
      <sheetName val="Sundries (01 C - 3)"/>
      <sheetName val="Lainnya (01 C - 4)"/>
      <sheetName val="PAU RSPP Th 2008"/>
      <sheetName val="Investasi 09 "/>
      <sheetName val="Form Investasi 09 (Komisaris)"/>
      <sheetName val="Penilaian KPI Operasional"/>
      <sheetName val="KPI (Rumus)"/>
      <sheetName val="KPI (08)"/>
      <sheetName val="KPI Th 2009"/>
      <sheetName val="KPI 08 (Nop)"/>
      <sheetName val="KPI 2010"/>
      <sheetName val="KPI 10 (Jan)"/>
      <sheetName val="KPI 10 (Peb)"/>
      <sheetName val="KPI RSPC Peb 2010"/>
      <sheetName val="Breakdown KPI RSPC Th 2010"/>
      <sheetName val="KPI RSPC"/>
      <sheetName val="KPI RSPC Th 2010 (2)"/>
      <sheetName val="Grafik BOR Total"/>
      <sheetName val="Grafik BOR Total 1"/>
      <sheetName val="Grafik BOR Super VIP1"/>
      <sheetName val="Grafik BOR VIP"/>
      <sheetName val="Grafik BOR Kelas 1"/>
      <sheetName val="Grafik BOR Kelas 2"/>
      <sheetName val="Grafik BOR Kelas 3"/>
      <sheetName val="Grafik BOR Kamar Bayi"/>
      <sheetName val="Grafik BOR ICU"/>
      <sheetName val="Grafik Kunj HD"/>
      <sheetName val="Grafik HD Eselon Kunj Th 2007"/>
      <sheetName val="Grafik HD Eselon Kunj Th 2008"/>
      <sheetName val="Grafik HD Eselon Kunj Th 2009"/>
      <sheetName val="Grafik HD Eselon Kunj Rata2"/>
      <sheetName val="Grafik HD Eselon Pop Th 2007"/>
      <sheetName val="Grafik HD Eselon Pop Th 2008"/>
      <sheetName val="Grafik HD Eselon Pop Th 2009"/>
      <sheetName val="Grafik HD Eselon Pop Rata2"/>
      <sheetName val="Grafik AvLOS"/>
      <sheetName val="Grafik BTO"/>
      <sheetName val="Grafik TOI"/>
      <sheetName val="Grafik Jml TT 05-07"/>
      <sheetName val="Grafik Komposisi TT 05-07"/>
      <sheetName val="Grafik BOR 05-07"/>
      <sheetName val="Grafik AvLOS 05-07"/>
      <sheetName val="Grafik BTO 05-07"/>
      <sheetName val="Grafik TOI 05-07"/>
      <sheetName val="Grafik Kunj. HD 05-07"/>
      <sheetName val="Grafik Kunj. RJ P3 05-07"/>
      <sheetName val="Grafik Kunj. RI P3 05-07"/>
      <sheetName val="Grafik Komposisi Laba Rugi"/>
      <sheetName val="BOR 2007"/>
      <sheetName val="BOR 07"/>
      <sheetName val="BOR 2008"/>
      <sheetName val="BOR 2009"/>
      <sheetName val="Master Kunj &amp; Biaya"/>
      <sheetName val="Master HD"/>
      <sheetName val="PETUNJUK PENGISIAN"/>
      <sheetName val="lr_KAP"/>
      <sheetName val="Catatan umum"/>
      <sheetName val="WS Konsol"/>
      <sheetName val="BS_KORP"/>
      <sheetName val="lap keu ratio sistematis"/>
      <sheetName val="Cj"/>
      <sheetName val="Piutang Hutang Istimewa"/>
      <sheetName val="Hutang Usaha Detail"/>
      <sheetName val="Kapitasi"/>
      <sheetName val="TOP_SALES"/>
      <sheetName val="Ratio Ringkas"/>
      <sheetName val="KPI BTP"/>
      <sheetName val="BExRepositorySheet"/>
      <sheetName val="BS - Monetary"/>
      <sheetName val="BS - Non Monetary - LC"/>
      <sheetName val="BS - Equity - TC"/>
      <sheetName val="BS - Non Monetary - TC"/>
      <sheetName val="P&amp;L - TC"/>
      <sheetName val="P&amp;L - lc"/>
      <sheetName val="Bank Liability"/>
      <sheetName val="Cash in Bank"/>
      <sheetName val="Deposit on Call"/>
      <sheetName val="Interest Expense"/>
      <sheetName val="AR_Billed - 3rd Party"/>
      <sheetName val="Billed - Related Party"/>
      <sheetName val="UnBilled - 3rd Party"/>
      <sheetName val="Unbilled - Related Party"/>
      <sheetName val="AP_Billed - 3rd Party "/>
      <sheetName val="AR_Other - 3rd Party"/>
      <sheetName val="3rd Party - Other"/>
      <sheetName val="Piutang Usaha Pihak III"/>
      <sheetName val="Unbilled"/>
      <sheetName val="Sheet Korporat"/>
      <sheetName val="P.L"/>
      <sheetName val="AJE RJE"/>
      <sheetName val="How to Guide"/>
      <sheetName val="Summary (3)"/>
      <sheetName val="BS "/>
      <sheetName val="BS  (2)"/>
      <sheetName val="BS Equity Item"/>
      <sheetName val="P&amp;L (2)"/>
      <sheetName val="PL-Original"/>
      <sheetName val="BS-Original"/>
      <sheetName val="PEND RSPC"/>
      <sheetName val="WSPIUTANG"/>
      <sheetName val="WSHUTANG"/>
      <sheetName val="Periode Laporan"/>
      <sheetName val="MASTER ARUSKAS"/>
      <sheetName val="ARUSKASS"/>
      <sheetName val="3al-Balance"/>
      <sheetName val="master-gaji"/>
      <sheetName val="master-neraca"/>
      <sheetName val="master-R L   2"/>
      <sheetName val="master-R L'09"/>
      <sheetName val="BOD"/>
      <sheetName val="EMPLOYEE"/>
      <sheetName val="KPI-RSPC"/>
      <sheetName val="penjelasan _old new"/>
      <sheetName val="SO-PIUTANG'09"/>
      <sheetName val="GAJI'09"/>
      <sheetName val="Labarugi 2010"/>
      <sheetName val="Neraca TH2009"/>
      <sheetName val="Labarugi TH2009"/>
      <sheetName val="AutoOpen Stub Data"/>
      <sheetName val="KEY IN"/>
      <sheetName val="Lamp 5 (1of3)"/>
      <sheetName val="Lamp-3"/>
      <sheetName val="LAMP 8"/>
      <sheetName val="FAI1"/>
      <sheetName val="FAI2"/>
      <sheetName val="FAI2L"/>
      <sheetName val="FAI5"/>
      <sheetName val="Sensiv"/>
      <sheetName val="Risk"/>
      <sheetName val="TemplateInformation"/>
      <sheetName val="arun"/>
      <sheetName val="dis_opexp_detail"/>
      <sheetName val="F.01"/>
      <sheetName val="PL MKT"/>
      <sheetName val="PL OPR"/>
      <sheetName val=" PL TOTAL"/>
      <sheetName val="MainMenu"/>
      <sheetName val="Calculation"/>
      <sheetName val="CompData"/>
      <sheetName val="EmpData"/>
      <sheetName val="SalJanJun"/>
      <sheetName val="SalJul"/>
      <sheetName val="SalAug"/>
      <sheetName val="SalSep"/>
      <sheetName val="SalOct"/>
      <sheetName val="SalNov"/>
      <sheetName val="SalDec"/>
      <sheetName val="Buy"/>
      <sheetName val="BUT-1"/>
      <sheetName val="HEX-A"/>
      <sheetName val="HEX-E"/>
      <sheetName val="I-BUT"/>
      <sheetName val="RD I-BUT"/>
      <sheetName val="Tobacco"/>
      <sheetName val="DATA DARI SAP 4.6"/>
      <sheetName val="pivot all"/>
      <sheetName val="KOREKSI JURNAL BEGINING BALANCE"/>
      <sheetName val="pivot up 5"/>
      <sheetName val="A2100005"/>
      <sheetName val="BA DES 08"/>
      <sheetName val="HR Desember 2009"/>
      <sheetName val="DLL"/>
      <sheetName val="REPORT 2"/>
      <sheetName val="REPORT 3"/>
      <sheetName val="OFF"/>
      <sheetName val="2009 Allocation"/>
      <sheetName val="Commitment"/>
      <sheetName val="1973"/>
      <sheetName val="1981"/>
      <sheetName val="Badak IV"/>
      <sheetName val="MCGC"/>
      <sheetName val="Badak III"/>
      <sheetName val="Badak VI"/>
      <sheetName val="Badak V"/>
      <sheetName val="Korea II"/>
      <sheetName val="Vessel Utilization"/>
      <sheetName val="balance 2011"/>
      <sheetName val="Production"/>
      <sheetName val="73 CCF"/>
      <sheetName val="73 DQT-MG-EQ"/>
      <sheetName val="81 CCF"/>
      <sheetName val="B IV"/>
      <sheetName val="B IV CCF"/>
      <sheetName val="MCGC CCF"/>
      <sheetName val="B VI"/>
      <sheetName val="B VI CCF"/>
      <sheetName val="B V"/>
      <sheetName val="B V CCF"/>
      <sheetName val="K II"/>
      <sheetName val="K II CCF"/>
      <sheetName val="CCF EP DP"/>
      <sheetName val="AAAAA"/>
      <sheetName val="EXIST"/>
      <sheetName val="REP"/>
      <sheetName val="REOP"/>
      <sheetName val="STIM"/>
      <sheetName val="KUPL"/>
      <sheetName val="BOR"/>
      <sheetName val="AOB"/>
      <sheetName val="AOT"/>
      <sheetName val="Chart-1"/>
      <sheetName val="Chart-2"/>
      <sheetName val="eakTG"/>
      <sheetName val="EFFI"/>
      <sheetName val="Well Plan 1"/>
      <sheetName val="actual"/>
      <sheetName val="diagram"/>
      <sheetName val="36&quot;"/>
      <sheetName val="26&quot;"/>
      <sheetName val="17 12&quot;"/>
      <sheetName val="12 14&quot;"/>
      <sheetName val="8 12&quot;"/>
      <sheetName val="compl"/>
      <sheetName val="59"/>
      <sheetName val="58"/>
      <sheetName val="57"/>
      <sheetName val="56"/>
      <sheetName val="55"/>
      <sheetName val="53"/>
      <sheetName val="48"/>
      <sheetName val="47"/>
      <sheetName val="39"/>
      <sheetName val="37 rev"/>
      <sheetName val="36"/>
      <sheetName val="24 rev"/>
      <sheetName val="23 rev (2)"/>
      <sheetName val="23 rev"/>
      <sheetName val="Contents (full)"/>
      <sheetName val="Contents (model only)"/>
      <sheetName val="Sensitivities"/>
      <sheetName val="Market"/>
      <sheetName val="Postpaid"/>
      <sheetName val="Other revenues"/>
      <sheetName val="FinStats"/>
      <sheetName val="FinStats (Quarterly)"/>
      <sheetName val="FinStats (Semiannual)"/>
      <sheetName val="Mkt Comps"/>
      <sheetName val="Trans Comps"/>
      <sheetName val="WACC"/>
      <sheetName val="Val"/>
      <sheetName val="rekap rkap R2 (Rev-14Des05)"/>
      <sheetName val="rekap rkap R2 (Rev-14Des05) (2)"/>
      <sheetName val="REKAP_ABO_F7(14Des2005)"/>
      <sheetName val="REKAP_ABI_TOTAL(Revisi-14Des05)"/>
      <sheetName val="REKAP_ABI_ASET(Rev-14Des05)"/>
      <sheetName val="ABI_KMJ_NR(14Des2005)"/>
      <sheetName val="ABI_LHD_NR(14Des2005)"/>
      <sheetName val="ABI_PST(Revisi-14Des05)"/>
      <sheetName val="rekapABI2006(ktr pusat)"/>
      <sheetName val="ABI-asset2006 (ktr pst)"/>
      <sheetName val="ABI2006(LHD)"/>
      <sheetName val="ABI-JB-2006 (LHD)"/>
      <sheetName val="PROD-LHD"/>
      <sheetName val="ABI_KMJ(Revisi-14Des2005)"/>
      <sheetName val="ABI-JB-2006 (kmj)"/>
      <sheetName val="PROD-KMJ"/>
      <sheetName val="ABI_SBY(Revisi-14Des2005)"/>
      <sheetName val="ABI-JB-2006 (SBY)"/>
      <sheetName val="PROD-SBY"/>
      <sheetName val="well std 06cw lokasi ubl"/>
      <sheetName val="well std 06cw lokasi lmb"/>
      <sheetName val="well std 06"/>
      <sheetName val="ANGG &gt; 25 M"/>
      <sheetName val="lhd-nr-batal"/>
      <sheetName val="lhd r-batal"/>
      <sheetName val="ubl-lmb(pst r)-batal"/>
      <sheetName val="geoth R-batal"/>
      <sheetName val="ABI-Aset (2)-batal"/>
      <sheetName val="ABI-Aset-batal"/>
      <sheetName val="XXXXXXXXXXXXXXX"/>
      <sheetName val="SURIV_PJD_APKIR"/>
      <sheetName val="Profit Center"/>
      <sheetName val="LAP"/>
      <sheetName val="ABI.2004.SAP-bener"/>
      <sheetName val="MA.PER.CC"/>
      <sheetName val="Satuan"/>
      <sheetName val="AUC Class"/>
      <sheetName val="Service Master"/>
      <sheetName val="Primary CE"/>
      <sheetName val="COST CENTER SBS"/>
      <sheetName val="ABI2004"/>
      <sheetName val="level2"/>
      <sheetName val="Form ABI.SAP "/>
      <sheetName val="BTG"/>
      <sheetName val="BTN"/>
      <sheetName val="GNK"/>
      <sheetName val="TLJ"/>
      <sheetName val="SPA"/>
      <sheetName val="EPT"/>
      <sheetName val="Pengembangan"/>
      <sheetName val="PMU"/>
      <sheetName val="TG"/>
      <sheetName val="Jasran"/>
      <sheetName val="Rekap (proyek)"/>
      <sheetName val="Rekap(Usul)"/>
      <sheetName val="Rekap(Real)"/>
      <sheetName val="03 VS 04"/>
      <sheetName val="Banding"/>
      <sheetName val="R-On Going"/>
      <sheetName val="On Going"/>
      <sheetName val="Migas"/>
      <sheetName val="RKAP-5"/>
      <sheetName val="RKAP-7"/>
      <sheetName val="RKAP-8"/>
      <sheetName val="RKAP-9"/>
      <sheetName val="RKAP-10"/>
      <sheetName val="Lifting"/>
      <sheetName val="STRK"/>
      <sheetName val="BAR-BOR"/>
      <sheetName val="BAR-ABO"/>
      <sheetName val="DATA INDUK"/>
      <sheetName val="KURVA"/>
      <sheetName val="FEB06"/>
      <sheetName val="TABULASI - 31.01.2006"/>
      <sheetName val="JANUARI06"/>
      <sheetName val="DESEMBER05"/>
      <sheetName val="JANUARI05"/>
      <sheetName val="GI JANUARI 05"/>
      <sheetName val="CAP"/>
      <sheetName val="Summ"/>
      <sheetName val="Rev"/>
      <sheetName val="Costs"/>
      <sheetName val="Vol P1"/>
      <sheetName val="Vol P1+2"/>
      <sheetName val="MatBal(Ph2)"/>
      <sheetName val="DS"/>
      <sheetName val="WorkCap"/>
      <sheetName val="DCF"/>
      <sheetName val="Feedstock"/>
      <sheetName val="Capex&amp;Financing"/>
      <sheetName val="Dep"/>
      <sheetName val="Base Vol"/>
      <sheetName val="INT"/>
      <sheetName val="Audited'99"/>
      <sheetName val="REKAPITULASI REGION SUMATERA"/>
      <sheetName val="PROYEKSI"/>
      <sheetName val="tanpa PHK"/>
      <sheetName val="ALL TANPA PHK"/>
      <sheetName val="cost center (per area)"/>
      <sheetName val="TABULASI all - 31.03.2006"/>
      <sheetName val="SUMATERA"/>
      <sheetName val="proyeksi mppk"/>
      <sheetName val="GAPOK"/>
      <sheetName val="TUNDA"/>
      <sheetName val="BANK TANSFER"/>
      <sheetName val="EXT.BANK TRANSFER"/>
      <sheetName val="Sheet1 (3)"/>
      <sheetName val="INSENTIF"/>
      <sheetName val="usia"/>
      <sheetName val="Panel"/>
      <sheetName val="BasePrice"/>
      <sheetName val="MB"/>
      <sheetName val="Price&amp;Vol"/>
      <sheetName val="Sensitivity"/>
      <sheetName val="Eco-BC"/>
      <sheetName val="Eco-SA"/>
      <sheetName val="Sim"/>
      <sheetName val="Economic-Balikpapan6"/>
      <sheetName val="CO22"/>
      <sheetName val="CO23"/>
      <sheetName val="CO24"/>
      <sheetName val="CO25"/>
      <sheetName val="QTY_2005-10"/>
      <sheetName val="QTY"/>
      <sheetName val="2010"/>
      <sheetName val="2008"/>
      <sheetName val="Premises(Original)"/>
      <sheetName val="Premises"/>
      <sheetName val="Material Balance"/>
      <sheetName val="P&amp;L(ROI)"/>
      <sheetName val="P&amp;L(ROE)"/>
      <sheetName val="Fund Flow(ROI)"/>
      <sheetName val="Fund Flow(ROE)"/>
      <sheetName val="Cash Flow(ROI)"/>
      <sheetName val="Cash Flow(ROE)"/>
      <sheetName val="Balance Sheet(ROI)"/>
      <sheetName val="Balance Sheet(ROE)"/>
      <sheetName val="Capex Breakdown"/>
      <sheetName val="Loading Rate"/>
      <sheetName val=" Capex&amp;Opex Inputs"/>
      <sheetName val="Detailed OPEX by Devon"/>
      <sheetName val="TABULASI"/>
      <sheetName val="FO4-DTL "/>
      <sheetName val="PVT.FO8.DTL"/>
      <sheetName val="FO.8-DTL "/>
      <sheetName val="PVT.FO.11.DTL"/>
      <sheetName val="FO.11-DTL  "/>
      <sheetName val="PVFO4"/>
      <sheetName val="pvfo8cc"/>
      <sheetName val="pvfo8l"/>
      <sheetName val="PVFO11"/>
      <sheetName val="PVFO11CC"/>
      <sheetName val="PVFO8"/>
      <sheetName val="PV LINE FO- 11"/>
      <sheetName val="PV CC FO-11"/>
      <sheetName val="Minyak-mitra"/>
      <sheetName val="1.85 fuel gas"/>
      <sheetName val="3.00 fuel gas"/>
      <sheetName val="FPU with 3.00 fuel"/>
      <sheetName val="1771PL"/>
      <sheetName val="Indexing"/>
      <sheetName val="Kurs BI"/>
      <sheetName val="WBSA (R)"/>
      <sheetName val="WBS-L (R) "/>
      <sheetName val="WPL (R)"/>
      <sheetName val="D (2)"/>
      <sheetName val="T2"/>
      <sheetName val="T3"/>
      <sheetName val="F.1.1"/>
      <sheetName val="D.1.1"/>
      <sheetName val="D.1.1.1"/>
      <sheetName val="D.1.2"/>
      <sheetName val="D.1.2.1"/>
      <sheetName val="Advance"/>
      <sheetName val="Add &amp; disp FA"/>
      <sheetName val="FA Jakarta Fiscal"/>
      <sheetName val="FA Medan Fiscal"/>
      <sheetName val="E5"/>
      <sheetName val="Prepayment"/>
      <sheetName val="Deposit frm Cust"/>
      <sheetName val="L.3"/>
      <sheetName val="Provision"/>
      <sheetName val="List 23"/>
      <sheetName val="PSL 21 sept 08"/>
      <sheetName val="PSL 23"/>
      <sheetName val="Sales-purchase Test"/>
      <sheetName val="Spareparts"/>
      <sheetName val="Master Item"/>
      <sheetName val=" Work Program"/>
      <sheetName val="A6100 View"/>
      <sheetName val="FAS 60 Assumptions SM"/>
      <sheetName val="FAS 60 Assumptions TM"/>
      <sheetName val="Lapse LR GOE"/>
      <sheetName val="Lapse LR GOE new"/>
      <sheetName val="Lapse TM"/>
      <sheetName val="Lapse SM"/>
      <sheetName val="MRC1"/>
      <sheetName val="MRC2"/>
      <sheetName val="MRC3"/>
      <sheetName val="MRC4"/>
      <sheetName val="RMRC"/>
      <sheetName val="MSTR"/>
      <sheetName val="1000000"/>
      <sheetName val="2000000"/>
      <sheetName val="3000000"/>
      <sheetName val="4000000"/>
      <sheetName val="PENJ "/>
      <sheetName val="Capitalize"/>
      <sheetName val="Overhaul"/>
      <sheetName val="Expense"/>
      <sheetName val="Trf-SAP-GL"/>
      <sheetName val="Trf-SAP-PCA"/>
      <sheetName val="By Month"/>
      <sheetName val="List-Mei"/>
      <sheetName val="List-Juni"/>
      <sheetName val="115100100-SBI Juni"/>
      <sheetName val="trend"/>
      <sheetName val="J-Blk"/>
      <sheetName val="Loan movement"/>
      <sheetName val="LEASE &amp; LOAN"/>
      <sheetName val="FA BREAKDOWN"/>
      <sheetName val="FA  (2)"/>
      <sheetName val="HEADCOUNT "/>
      <sheetName val="PL(2)"/>
      <sheetName val="hisb-rubber"/>
      <sheetName val="HISB"/>
      <sheetName val="Calendar (2)"/>
      <sheetName val="calendar"/>
      <sheetName val="Actual vs perf"/>
      <sheetName val="RESERVES"/>
      <sheetName val=" LEASE &amp; LOAN"/>
      <sheetName val="INTERCO INV"/>
      <sheetName val="CAPITAL CHARGE"/>
      <sheetName val="OPLEASE"/>
      <sheetName val="EXPOSURE"/>
      <sheetName val="HEADCOUNT"/>
      <sheetName val="OPS ODJ"/>
      <sheetName val="STOCKS"/>
      <sheetName val="Calendar _2_"/>
      <sheetName val="detail FS"/>
      <sheetName val="bal FC"/>
      <sheetName val="list no"/>
      <sheetName val="K&amp;B"/>
      <sheetName val="Cad BD"/>
      <sheetName val="PHI"/>
      <sheetName val="AP-trade"/>
      <sheetName val="Accrual"/>
      <sheetName val="DIA"/>
      <sheetName val="PST"/>
      <sheetName val="SBG"/>
      <sheetName val="PDG"/>
      <sheetName val="PKU"/>
      <sheetName val="LPG"/>
      <sheetName val="ACL"/>
      <sheetName val="BTR"/>
      <sheetName val="BGR"/>
      <sheetName val="BKS"/>
      <sheetName val="PTK"/>
      <sheetName val="Var-Des'04"/>
      <sheetName val="Audit Adj'04"/>
      <sheetName val="K.1 "/>
      <sheetName val="K-1.2 - FA Disposal"/>
      <sheetName val="K.1.3 addition"/>
      <sheetName val="K.1.4Disposal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Fin-highligh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induk (2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DETAIL"/>
      <sheetName val="MTD-REPORT"/>
      <sheetName val="F.1_Cash"/>
      <sheetName val="D.1_Trade Receivables"/>
      <sheetName val="D.2_Other Rec"/>
      <sheetName val="C.1_Inventories"/>
      <sheetName val="Advance &amp; Prepaid Exp"/>
      <sheetName val="Prepaid Taxes"/>
      <sheetName val="A2.1.a_PropertyAndEquipment"/>
      <sheetName val="A2.1.b_Mutation"/>
      <sheetName val="Def Tax Asset"/>
      <sheetName val="G.1_Trade Payables"/>
      <sheetName val="K.1_Taxes Payable"/>
      <sheetName val="H.1_Accrued Expenses"/>
      <sheetName val="J.1_Advance From Customers"/>
      <sheetName val="M.1_Employee Benefits"/>
      <sheetName val="P.1.a_Share Capital"/>
      <sheetName val="P.1.b_Tambahan Mo. Disetor"/>
      <sheetName val="Q.1_Sales"/>
      <sheetName val="R.1_COS"/>
      <sheetName val="S.1_Selling Exp"/>
      <sheetName val="T.1_G&amp;A Exp"/>
      <sheetName val="T2.1_Other Income (Charges)"/>
      <sheetName val="T3.1_Income Tax"/>
      <sheetName val="KK CF"/>
      <sheetName val="FAS 60 Assumptions NON TM"/>
      <sheetName val="Lapse Non TM"/>
      <sheetName val="General Info"/>
      <sheetName val="Control Test Documentation"/>
      <sheetName val="Detailed Control Testing (1)"/>
      <sheetName val="Drop down"/>
      <sheetName val="Detailed Control Testing (2)"/>
      <sheetName val="Extra"/>
      <sheetName val="Work"/>
      <sheetName val="fohdepr"/>
      <sheetName val="ShareGaji"/>
      <sheetName val="Extra (2)"/>
      <sheetName val="Tanker"/>
      <sheetName val="Tanker (2)"/>
      <sheetName val="dafknas"/>
      <sheetName val="dafknas-2001"/>
      <sheetName val="dafknas-2002"/>
      <sheetName val="dafknas-2002-OKE"/>
      <sheetName val="dafknas-2002-OKE-CETAK"/>
      <sheetName val="dafkasm"/>
      <sheetName val="dafkTING (2)"/>
      <sheetName val="Sew-Tahan"/>
      <sheetName val="REFFERENCE BPS"/>
      <sheetName val="List Cost center"/>
      <sheetName val="Wil2"/>
      <sheetName val="PGK"/>
      <sheetName val="MATERIAL MM 2006"/>
      <sheetName val="Sheet3 (2)"/>
      <sheetName val="DAFTARCOSTCENTER (2)"/>
      <sheetName val="DAFTARCOSTCENTER"/>
      <sheetName val="Rekapl"/>
      <sheetName val="Laporan C-8"/>
      <sheetName val="Jenis Cargo"/>
      <sheetName val="Port"/>
      <sheetName val="PL NBBM APRIL 2006"/>
      <sheetName val="000000000000000"/>
      <sheetName val="ABK2004.AWAL.26.08.03"/>
      <sheetName val="ABK04.AWALR + CO.13.01.04"/>
      <sheetName val="SGT"/>
      <sheetName val="BNY"/>
      <sheetName val="ABK.OIL"/>
      <sheetName val="ABK.GAS"/>
      <sheetName val="OIL.BPP"/>
      <sheetName val="OIL.SGT"/>
      <sheetName val="OIL.BNY"/>
      <sheetName val="OIL.TM"/>
      <sheetName val="GAS.BNY"/>
      <sheetName val="CO"/>
      <sheetName val="EPO"/>
      <sheetName val="GT"/>
      <sheetName val="ONGOING"/>
      <sheetName val="REKAP.ONGO"/>
      <sheetName val="RKPL21.1"/>
      <sheetName val="COP"/>
      <sheetName val="Exum"/>
      <sheetName val="RK"/>
      <sheetName val="BARCHT2002"/>
      <sheetName val="Prod."/>
      <sheetName val="GRP"/>
      <sheetName val="Gas"/>
      <sheetName val="Just.Prod"/>
      <sheetName val="REAL.PROY01"/>
      <sheetName val="Chart1"/>
      <sheetName val="ABO.F7&amp;F8"/>
      <sheetName val="Usul 2003"/>
      <sheetName val="BATAS"/>
      <sheetName val="Just.ABI"/>
      <sheetName val="Rev.ABI201"/>
      <sheetName val="Kendala"/>
      <sheetName val="Kur.Dana"/>
      <sheetName val="V"/>
      <sheetName val="Kin.Oil"/>
      <sheetName val="Kin.Gas"/>
      <sheetName val="Kin.Migas"/>
      <sheetName val="Comdev"/>
      <sheetName val="Fee"/>
      <sheetName val="ikh-1 (2)"/>
      <sheetName val="ikh-2 (2)"/>
      <sheetName val="ikh-3 (2)"/>
      <sheetName val="ikh-4 (2)"/>
      <sheetName val="2006 (01 Apr)"/>
      <sheetName val="Minyak"/>
      <sheetName val="Minyak (3th)"/>
      <sheetName val="Real Myk"/>
      <sheetName val="GRF-Oil"/>
      <sheetName val="Struktur Gas"/>
      <sheetName val="Gas (3th)"/>
      <sheetName val="ABI 06"/>
      <sheetName val="ABI 06 (1)"/>
      <sheetName val="Abi (3th)"/>
      <sheetName val="Singkat ABI"/>
      <sheetName val="Jus ABI"/>
      <sheetName val="Exsum"/>
      <sheetName val="F7-area"/>
      <sheetName val="F7 (3th)"/>
      <sheetName val="Just Abo"/>
      <sheetName val="F8.5-OWN"/>
      <sheetName val="Rugila"/>
      <sheetName val="ikh-1"/>
      <sheetName val="ikh-2"/>
      <sheetName val="ikh-3"/>
      <sheetName val="ikh-4"/>
      <sheetName val="BANG"/>
      <sheetName val="Jas"/>
      <sheetName val="ABI-06"/>
      <sheetName val="REKAP(A)"/>
      <sheetName val="REKAP(A) (2)"/>
      <sheetName val="Rekap (B)"/>
      <sheetName val="Rekap(G)"/>
      <sheetName val="Rekap (F)"/>
      <sheetName val="Rekap(H)"/>
      <sheetName val="Rekap(H) (2)"/>
      <sheetName val="RK SMR"/>
      <sheetName val="REKAP ABO"/>
      <sheetName val="DETAIL ABO "/>
      <sheetName val="REKAP ABI"/>
      <sheetName val="LAP.ABI PEB.07"/>
      <sheetName val="OPT-LIFT"/>
      <sheetName val="Chart5"/>
      <sheetName val="GAOT"/>
      <sheetName val="GAOB"/>
      <sheetName val="GDOH"/>
      <sheetName val="Graf DOH"/>
      <sheetName val="Feecalc"/>
      <sheetName val="Tax&amp;Dep"/>
      <sheetName val="WTI v LPG Price"/>
      <sheetName val="Pricing"/>
      <sheetName val="Eco-Conso"/>
      <sheetName val="GLAC"/>
      <sheetName val="JGPC"/>
      <sheetName val="JMGPC"/>
      <sheetName val="JamGPC"/>
      <sheetName val="YGPC"/>
      <sheetName val="EconomicsVer2.1"/>
      <sheetName val="OWN PTM"/>
      <sheetName val="MITRA"/>
      <sheetName val="DOH"/>
      <sheetName val="DOH+MITRA"/>
      <sheetName val="DOH+MOTRA+JUAL"/>
      <sheetName val="Chart4"/>
      <sheetName val="Chart4 (2)"/>
      <sheetName val="30A"/>
      <sheetName val="27A"/>
      <sheetName val="28A"/>
      <sheetName val="29A"/>
      <sheetName val="BLANK"/>
      <sheetName val="BLANK2"/>
      <sheetName val="BLANK3"/>
      <sheetName val="BLANK4"/>
      <sheetName val="IKHTISAR"/>
      <sheetName val="ABO(03-03-2004)"/>
      <sheetName val="FORM_02"/>
      <sheetName val="FORM_04"/>
      <sheetName val="LAMP_FORM_04"/>
      <sheetName val="FORM 6"/>
      <sheetName val="FORM_08"/>
      <sheetName val="GRAF_PEK (2)"/>
      <sheetName val="GRAF_PEK"/>
      <sheetName val="GRAF_A2B"/>
      <sheetName val="GRAF_ANGG SISA"/>
      <sheetName val="GRAF_ANG"/>
      <sheetName val="GRAF_AFKIR"/>
      <sheetName val="ABI_ABO-rev"/>
      <sheetName val="sas-tar 4-8"/>
      <sheetName val="seismik NV-DOH"/>
      <sheetName val="bor eks-upside"/>
      <sheetName val="cad"/>
      <sheetName val="bor DOH"/>
      <sheetName val="minyak hulu"/>
      <sheetName val="gas hulu"/>
      <sheetName val="prog bang us"/>
      <sheetName val="7D395J"/>
      <sheetName val="BARCHAT"/>
      <sheetName val="R-1.1"/>
      <sheetName val="R-1.2"/>
      <sheetName val="R-1 Own"/>
      <sheetName val="R-1.1 Own"/>
      <sheetName val="R-1.2 Own"/>
      <sheetName val="R-1 Mitra"/>
      <sheetName val="R-1.1 Mitra"/>
      <sheetName val="R-1.2 Mitra"/>
      <sheetName val="R-2"/>
      <sheetName val="R-2A"/>
      <sheetName val="EXECUTIVE SMRY"/>
      <sheetName val="R-3"/>
      <sheetName val="R-3 OWN"/>
      <sheetName val="R-3 MITRA"/>
      <sheetName val="R-4"/>
      <sheetName val="R-4.1"/>
      <sheetName val="R-4.2"/>
      <sheetName val="R-4ATT"/>
      <sheetName val="PvtFR4811"/>
      <sheetName val="R-8"/>
      <sheetName val="R-8ATT"/>
      <sheetName val="R-11"/>
      <sheetName val="R-11ATT"/>
      <sheetName val="R-14.0"/>
      <sheetName val="HRM 3"/>
      <sheetName val="R-14.0 OWN"/>
      <sheetName val="R-14.0 MITRA"/>
      <sheetName val="R-14.1"/>
      <sheetName val="R-14.2"/>
      <sheetName val="R-15"/>
      <sheetName val="R-16.1"/>
      <sheetName val="R-16.2"/>
      <sheetName val="R-16.1 Own"/>
      <sheetName val="R-16.1 Mitra"/>
      <sheetName val="R-16.2 Own"/>
      <sheetName val="R-16.2 Mitra"/>
      <sheetName val="R-16.1ATT-1"/>
      <sheetName val="R-16.1ATT-2"/>
      <sheetName val="R-16.1ATT-3"/>
      <sheetName val="R-16.2ATT-1"/>
      <sheetName val="R-17"/>
      <sheetName val="Check List OPEX"/>
      <sheetName val="MAPP CCDA"/>
      <sheetName val="MAP GL"/>
      <sheetName val="MAPCCALL"/>
      <sheetName val="QUERY FQR"/>
      <sheetName val="NON CAPITAL"/>
      <sheetName val="MAP LOK INTANG"/>
      <sheetName val="SMR BOR"/>
      <sheetName val="DIRECT AREA"/>
      <sheetName val="REGKP8COMMARPR"/>
      <sheetName val="SUKOWATI"/>
      <sheetName val="MITRA TACJOB"/>
      <sheetName val="KPEP11"/>
      <sheetName val="MAPP ABI"/>
      <sheetName val="REVENUE "/>
      <sheetName val="KK AREA"/>
      <sheetName val="LIFITNG"/>
      <sheetName val="EKSPOR"/>
      <sheetName val="SOLVENT"/>
      <sheetName val="GAS KONSUMEN"/>
      <sheetName val="GAS KILANG"/>
      <sheetName val="LKS VS FQR"/>
      <sheetName val="COST STRCTR"/>
      <sheetName val="Cargo"/>
      <sheetName val="Expenses"/>
      <sheetName val="Own-Ships"/>
      <sheetName val="Depreciation"/>
      <sheetName val="WSC8SAP"/>
      <sheetName val="CC List"/>
      <sheetName val="Cost Element"/>
      <sheetName val="Ref-Fuel"/>
      <sheetName val="Peg"/>
      <sheetName val="PL 2003"/>
      <sheetName val="MM "/>
      <sheetName val="MatBal"/>
      <sheetName val="dt-pdn"/>
      <sheetName val="dt-pkk"/>
      <sheetName val="dt-kp"/>
      <sheetName val="RKPL"/>
      <sheetName val="PL-Kons"/>
      <sheetName val="Pd1"/>
      <sheetName val="BBM-dn"/>
      <sheetName val="Jual-NBBM"/>
      <sheetName val="F8-Pkp"/>
      <sheetName val="Biaya-P"/>
      <sheetName val="Biaya-PN"/>
      <sheetName val="Biaya-Pkp"/>
      <sheetName val="Susut"/>
      <sheetName val="Hapus"/>
      <sheetName val="P-Minyak"/>
      <sheetName val="Beli"/>
      <sheetName val="am43"/>
      <sheetName val="Imporcrude"/>
      <sheetName val="ImportProd"/>
      <sheetName val="lm-gas1"/>
      <sheetName val="bk1-p7"/>
      <sheetName val="Gas1"/>
      <sheetName val="lm-18.3"/>
      <sheetName val="Ex1"/>
      <sheetName val="Inv-38"/>
      <sheetName val="Inv-39"/>
      <sheetName val="Inv-40"/>
      <sheetName val="Inv-41"/>
      <sheetName val="am42"/>
      <sheetName val="am44"/>
      <sheetName val="am45"/>
      <sheetName val="am46"/>
      <sheetName val="am47"/>
      <sheetName val="am48"/>
      <sheetName val="bk3-6"/>
      <sheetName val="bk3-7"/>
      <sheetName val="bk3-8"/>
      <sheetName val="bk3-9"/>
      <sheetName val="Distribusi1"/>
      <sheetName val="Ang-laut1"/>
      <sheetName val="PL1"/>
      <sheetName val="alt-2"/>
      <sheetName val="alt-3"/>
      <sheetName val="kode cargo"/>
      <sheetName val="STD_LT"/>
      <sheetName val="data1"/>
      <sheetName val="process"/>
      <sheetName val="PRESENTASI"/>
      <sheetName val="CHART"/>
      <sheetName val="LOSSES"/>
      <sheetName val="trend_chart"/>
      <sheetName val="FORMB2"/>
      <sheetName val="OnshoreFab(B3)"/>
      <sheetName val="Fabr det"/>
      <sheetName val="post-mod(B4)(1)"/>
      <sheetName val="Post mdl"/>
      <sheetName val="post-mod(2)"/>
      <sheetName val="Mod inst(B5)"/>
      <sheetName val="ModInst.det"/>
      <sheetName val="Insur. det"/>
      <sheetName val="Proc-det"/>
      <sheetName val="PMT"/>
      <sheetName val="Pl&amp;Eqp"/>
      <sheetName val="Qualif."/>
      <sheetName val="ER-Batam20N0v~1Dec"/>
      <sheetName val="ER-Batam4Dec~15Dec"/>
      <sheetName val="ER-Batam17Jan~26Jan"/>
      <sheetName val="ER-Batam31Jan~9Feb"/>
      <sheetName val="ER-Batam19Feb~23Feb"/>
      <sheetName val="Revenue Testing"/>
      <sheetName val="Menu Master"/>
      <sheetName val="Targeted Testing Master"/>
      <sheetName val="Targeted Testing-Trade"/>
      <sheetName val="Non-Statistical Sampling Master"/>
      <sheetName val="Non-Statistical Sampling-Trade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Targeted Testing-Servis"/>
      <sheetName val="Non-Statistical Sampling-Servis"/>
      <sheetName val="Testing Detail"/>
      <sheetName val="Sales Listing"/>
      <sheetName val="Cities Area and Population"/>
      <sheetName val="Link Budget"/>
      <sheetName val="Java Roads"/>
      <sheetName val="3G Jakarta"/>
      <sheetName val="InBuilding List"/>
      <sheetName val="TP_DATABASE"/>
      <sheetName val="ML_PRICELIST 2004"/>
      <sheetName val="MISSING"/>
      <sheetName val="COMPLETE (2)"/>
      <sheetName val="Type of deal --&gt;"/>
      <sheetName val="1.1 Deal characteristics"/>
      <sheetName val="High level costing --&gt;"/>
      <sheetName val="2.1 Day 1 top down"/>
      <sheetName val="2.2 Staff scen &amp; central costs"/>
      <sheetName val="2.3 To Be 2 top down"/>
      <sheetName val="Scenarios and cost ratios --&gt;"/>
      <sheetName val="3.1 Costs and key ratios"/>
      <sheetName val="3.2 Contr, lic and assets scen"/>
      <sheetName val="Bottom-up calculations --&gt;"/>
      <sheetName val="4.1 Applications"/>
      <sheetName val="4.2 MSDP"/>
      <sheetName val="4.3 Workplace and infra"/>
      <sheetName val="4.4 WAN"/>
      <sheetName val="4.5 Voice"/>
      <sheetName val="4.6 Cost summary"/>
      <sheetName val="Status"/>
      <sheetName val="Support sheet"/>
      <sheetName val="Calculations 1"/>
      <sheetName val="Term"/>
      <sheetName val="TPR-Management Summary"/>
      <sheetName val="TPR-Consolidated"/>
      <sheetName val="Contractual Terms"/>
      <sheetName val="TOTAL SUMMARY"/>
      <sheetName val="Ref. Mail"/>
      <sheetName val="SumRAN"/>
      <sheetName val="VerdiRAN"/>
      <sheetName val="Sum Minilink"/>
      <sheetName val="SoW Core"/>
      <sheetName val="Summary RNC-RXI-OSS"/>
      <sheetName val="Node B-RAN"/>
      <sheetName val="RXI"/>
      <sheetName val="LCM RAN"/>
      <sheetName val="TRANSMISSIONS"/>
      <sheetName val="LCM TRM"/>
      <sheetName val="CORE (2)"/>
      <sheetName val="DCN"/>
      <sheetName val="RNC"/>
      <sheetName val="Project Management"/>
      <sheetName val="Delivery &amp; WH RAN"/>
      <sheetName val="Input Data RAN"/>
      <sheetName val="Total Cost TRM"/>
      <sheetName val="Input Data TRM"/>
      <sheetName val="Total Cost Core"/>
      <sheetName val="Input Data Core"/>
      <sheetName val="Summary RAN &amp;TC"/>
      <sheetName val="Scope_"/>
      <sheetName val="3G Expansion 2007"/>
      <sheetName val="NPI_Improve"/>
      <sheetName val=" NPO_CNPO_TNPO MO 2007"/>
      <sheetName val="Summary TND"/>
      <sheetName val="Cost+Price ATND&amp;TND RO 2007"/>
      <sheetName val="Summary CND"/>
      <sheetName val="CND Exp2007"/>
      <sheetName val="CNPI Exp2007"/>
      <sheetName val="Summary SITAC &amp; CME rev.D 18s"/>
      <sheetName val="Manhour SITAC &amp; CME"/>
      <sheetName val="Summary SS &amp; SPMS"/>
      <sheetName val="3GSystem support"/>
      <sheetName val="SPMS"/>
      <sheetName val="Emer-site"/>
      <sheetName val="MSC"/>
      <sheetName val="MgW"/>
      <sheetName val="RNC (2)"/>
      <sheetName val="RXI (2)"/>
      <sheetName val="Node-B"/>
      <sheetName val="Trans"/>
      <sheetName val="ML-Mgr"/>
      <sheetName val="SGSNGGSN"/>
      <sheetName val="DCN (2)"/>
      <sheetName val="OSS"/>
      <sheetName val="Summary Training"/>
      <sheetName val="RAN"/>
      <sheetName val="Minilink Training"/>
      <sheetName val="CORE"/>
      <sheetName val="Summary1"/>
      <sheetName val="Scope_1"/>
      <sheetName val="3G Expansion 20071"/>
      <sheetName val="NPI_Improve1"/>
      <sheetName val=" NPO_CNPO_TNPO MO 20071"/>
      <sheetName val="Assumptions"/>
      <sheetName val="I_Gen&amp;Fin"/>
      <sheetName val="Assumptions List"/>
      <sheetName val="Base"/>
      <sheetName val="Outsource_Costs"/>
      <sheetName val="Remaining_org"/>
      <sheetName val="T&amp;T"/>
      <sheetName val="I_RC_Capex"/>
      <sheetName val="I_RC_Rev"/>
      <sheetName val="I_OC_FTE"/>
      <sheetName val="I_OC_OpexSummary"/>
      <sheetName val="I_OC_remaining_FTEs"/>
      <sheetName val="I_OC_Ericsson_FTEs"/>
      <sheetName val="I_OC_Ericsson_FLPC"/>
      <sheetName val="Operator_Business_Case"/>
      <sheetName val="I_OC_Capex"/>
      <sheetName val="I_OC_Rev"/>
      <sheetName val="I_OC_transition_costs"/>
      <sheetName val="I_Price_Drivers"/>
      <sheetName val="I_Pricing"/>
      <sheetName val="I&amp;O_Profitability_&amp;_Cashflow"/>
      <sheetName val="Price_simulation"/>
      <sheetName val="C_Sales_Prices"/>
      <sheetName val="O_Opex_RC_vs_OC"/>
      <sheetName val="O_RC_Financial_Statements"/>
      <sheetName val="O_OC_Financial_Statements"/>
      <sheetName val="I&amp;O_Valuation"/>
      <sheetName val="C_RC_Financials"/>
      <sheetName val="C_OC_Financials"/>
      <sheetName val="C_Valuation"/>
      <sheetName val="Input"/>
      <sheetName val="Area and population data"/>
      <sheetName val="Phases"/>
      <sheetName val="HSDPA"/>
      <sheetName val="Traffic"/>
      <sheetName val="DLCodes"/>
      <sheetName val="CE"/>
      <sheetName val="Coverage"/>
      <sheetName val="Propagation"/>
      <sheetName val="M Tool"/>
      <sheetName val="Mpole"/>
      <sheetName val="RN Globals"/>
      <sheetName val="CommonDataTemplate"/>
      <sheetName val="Advanced"/>
      <sheetName val="Link Budgets"/>
      <sheetName val="Tables"/>
      <sheetName val="MonteCarlo"/>
      <sheetName val="Balance"/>
      <sheetName val="RN Results"/>
      <sheetName val="Results"/>
      <sheetName val="Warnings"/>
      <sheetName val="Balancing Analysis"/>
      <sheetName val="Phase Template"/>
      <sheetName val="Defaults"/>
      <sheetName val="DL Noise Integral"/>
      <sheetName val="LNF"/>
      <sheetName val="LNF_DL"/>
      <sheetName val="LNF_DL_HHO"/>
      <sheetName val="Tools"/>
      <sheetName val="CE Tool"/>
      <sheetName val="DL CCH Power Tool"/>
      <sheetName val="Customize"/>
      <sheetName val="Rev. History"/>
      <sheetName val="Cost Contribution"/>
      <sheetName val="Celcom AS IS Capex"/>
      <sheetName val="Celcom AS IS OPEX"/>
      <sheetName val="Celcom TO BE OPEX"/>
      <sheetName val="HR OPEX Malaysia"/>
      <sheetName val="Off-Shoring OPEX India"/>
      <sheetName val="Sub-contracting"/>
      <sheetName val="MSDP Capex"/>
      <sheetName val="MSDP Opex"/>
      <sheetName val="Drive testing"/>
      <sheetName val="MO Growth 100"/>
      <sheetName val="NRO growth 100"/>
      <sheetName val="NOC India Offshoring"/>
      <sheetName val="Transition Cost Estimation "/>
      <sheetName val="Transformation Cost "/>
      <sheetName val="ISIT  Cost summary"/>
      <sheetName val="Site Maintenance"/>
      <sheetName val="Annual Business Case"/>
      <sheetName val="Advance "/>
      <sheetName val="UMS LT-1"/>
      <sheetName val="UMS LT-2"/>
      <sheetName val="UMS LT-3"/>
      <sheetName val="2701 Lead "/>
      <sheetName val="2701.1 Lead"/>
      <sheetName val="2701.2 Lead"/>
      <sheetName val="2701.3 Lead"/>
      <sheetName val="2701.4 Lead"/>
      <sheetName val="2701.5 Lead"/>
      <sheetName val="2701.6 Lead"/>
      <sheetName val="2701.7 Lead"/>
      <sheetName val="2701.8 Lead"/>
      <sheetName val="Work Step 2700 "/>
      <sheetName val="2701-Lead "/>
      <sheetName val="Summary Asuransi (Index)"/>
      <sheetName val="2701.1 Bintaro"/>
      <sheetName val="2701.1.1 PBC"/>
      <sheetName val="2701.1.2"/>
      <sheetName val="2701.2 Graha Raya"/>
      <sheetName val="2701.3 BTC"/>
      <sheetName val="2701.3.1 PBC"/>
      <sheetName val="2701.3.2"/>
      <sheetName val="2701.3.3"/>
      <sheetName val="2701.4 Pasar Senen V"/>
      <sheetName val="2701.4.1 PBC"/>
      <sheetName val="2701.4.2 PBC"/>
      <sheetName val="2701.4.3"/>
      <sheetName val="2701.4.4"/>
      <sheetName val="2701.5 Pasar Senen Jaya"/>
      <sheetName val="2700.5.1 PBC"/>
      <sheetName val="2701.5.2 "/>
      <sheetName val="2701.5.3"/>
      <sheetName val="2701.6 Slipi Jaya"/>
      <sheetName val="2701.6.1 PBC"/>
      <sheetName val="2701.6.2 PBC"/>
      <sheetName val="2701.6.3 "/>
      <sheetName val="2701.1.6.4"/>
      <sheetName val="2701.7 PBJ"/>
      <sheetName val="2701.7.1 PBC"/>
      <sheetName val="2701.7.2 "/>
      <sheetName val="2702.7.3 TOD "/>
      <sheetName val="2701.8 PKB"/>
      <sheetName val="2701.8.1"/>
      <sheetName val="Input Jurnal"/>
      <sheetName val="Voucher - ISO"/>
      <sheetName val="Input Jurnal (2)"/>
      <sheetName val="C.NO.1"/>
      <sheetName val="C.NO.2"/>
      <sheetName val="C.NO.8"/>
      <sheetName val="00-PHU"/>
      <sheetName val="LPKB"/>
      <sheetName val="00-DSAK"/>
      <sheetName val="DN1"/>
      <sheetName val="CN1"/>
      <sheetName val="Standart"/>
      <sheetName val="Oktober2000"/>
      <sheetName val="Table Standart Broiler"/>
      <sheetName val="StandartBroiler"/>
      <sheetName val="Desember 2000"/>
      <sheetName val="November2000"/>
      <sheetName val="Total Compensate"/>
      <sheetName val="KopontrenJenesSept2001"/>
      <sheetName val="KopontrenJenesOct2001"/>
      <sheetName val="KopontrenJenesNov2001"/>
      <sheetName val="KopontrenJenesDes2001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DEPK2003"/>
      <sheetName val="REKONSILIASI"/>
      <sheetName val="Sale FA"/>
      <sheetName val="Depr 2003 (rev)"/>
      <sheetName val="1151000088"/>
      <sheetName val="1151000089"/>
      <sheetName val="1152000088"/>
      <sheetName val="1152000089"/>
      <sheetName val="LTLGroup"/>
      <sheetName val="ANLKL"/>
      <sheetName val="If Loss cancelled"/>
      <sheetName val="1771-Y"/>
      <sheetName val="1771-Y-$ (E)"/>
      <sheetName val="Temp-Attachment"/>
      <sheetName val="Lampiran-Sementara"/>
      <sheetName val="Special Attach-Depr (Eng)"/>
      <sheetName val="Special Attach-Depr (Ind)"/>
      <sheetName val="Summary of Tax Calculation"/>
      <sheetName val="PPh29(Eng)"/>
      <sheetName val="PPh29"/>
      <sheetName val="Art.25 Inst"/>
      <sheetName val="Int Inc"/>
      <sheetName val="Exit Fiscal"/>
      <sheetName val="GeneralInfo"/>
      <sheetName val="Marshall"/>
      <sheetName val="data wp"/>
      <sheetName val="1771-$"/>
      <sheetName val="1771.2-$"/>
      <sheetName val="1771-I$"/>
      <sheetName val="1771-II$"/>
      <sheetName val="1771-III$"/>
      <sheetName val="1771-IV$"/>
      <sheetName val="1771-V$"/>
      <sheetName val="1771-VI$"/>
      <sheetName val="1771-VI$ (2)"/>
      <sheetName val="1771-$(E)"/>
      <sheetName val="1771.2-$(E)"/>
      <sheetName val="1771-I$(E)"/>
      <sheetName val="1771-II$(E)"/>
      <sheetName val="1771-III$(E)"/>
      <sheetName val="1771-IV$(E)"/>
      <sheetName val="1771-V$(E)"/>
      <sheetName val="1771-VI$(E)"/>
      <sheetName val="fasilitas"/>
      <sheetName val="kompensasi"/>
      <sheetName val="compensation"/>
      <sheetName val="transaction"/>
      <sheetName val="facility"/>
      <sheetName val="branch"/>
      <sheetName val="Lampiran Penyusutan (2)"/>
      <sheetName val="Depreciation attachment"/>
      <sheetName val="PPh25"/>
      <sheetName val="Art. 22&amp;23"/>
      <sheetName val="Renc_x0016__x0000__x0014__x0000__x000e__x0000__x0008__x0000__x0015__x0000__x0014__x0000__x0008__x0000_"/>
      <sheetName val="_x0000__x001d__x0000__x000f__x0000__x0015__x0000__x0017__x0000__x000f__x0000__x0016__x0000__x0016__x0000__x0010__x0000__x0015__x0000__x000f__x0000__x0014__x0000__x0015__x0000__x001a__x0000_"/>
      <sheetName val="؀܀؀ऀऀ਀਀ᤀࠀ᠀ࠀࠀЀԀԀԀԀԀԀЀ܀ऀऀԀࠀ਀᐀"/>
      <sheetName val="R-L Modifkasi"/>
      <sheetName val="RL007"/>
      <sheetName val="Rekap_AT"/>
      <sheetName val="Lamsus"/>
      <sheetName val="Aktiva_tetap"/>
      <sheetName val="pph21"/>
      <sheetName val="Saldo Laba"/>
      <sheetName val="KKP Pendapatan Audit"/>
      <sheetName val="Lap-Indonesia Audit"/>
      <sheetName val="Ak Tetap &amp; Amor 98-00 Final"/>
      <sheetName val=" Aktiva Tetap 00 (2)"/>
      <sheetName val=" Aktiva Tetap 00"/>
      <sheetName val="Rincian A.T 98 &amp; 99"/>
      <sheetName val="Trial Balance Audit"/>
      <sheetName val="Opinion"/>
      <sheetName val="Index KKP"/>
      <sheetName val="Saldo Awal Intern &amp; Audit"/>
      <sheetName val="Daftar Isi KKP"/>
      <sheetName val="mpensiun"/>
      <sheetName val="Jurnal Koreksi"/>
      <sheetName val="Data Realisasi ABI BD 2012"/>
      <sheetName val="Data Realisasi ABI BD 2012 (2)"/>
      <sheetName val="workdone plus"/>
      <sheetName val="Alokasi Biaya Bunga"/>
      <sheetName val="Draft Jurnal Juni 2012"/>
      <sheetName val="Draft Jurnal Maret"/>
      <sheetName val="Draft Jurnal Maret 2012"/>
      <sheetName val="Vipot"/>
      <sheetName val="f01 Juni 2012"/>
      <sheetName val="Compile"/>
      <sheetName val="KPI_DATABANK"/>
      <sheetName val="Upstream"/>
      <sheetName val="M&amp;T"/>
      <sheetName val="Refining"/>
      <sheetName val="Finance"/>
      <sheetName val="ISC"/>
      <sheetName val="IPRM"/>
      <sheetName val="GA"/>
      <sheetName val="Legal"/>
      <sheetName val="Audit"/>
      <sheetName val="CS (2)"/>
      <sheetName val="Crs &amp; Confr LN Transpor"/>
      <sheetName val="Rek 2008"/>
      <sheetName val="LIST "/>
      <sheetName val="Point to do"/>
      <sheetName val="Pending Item"/>
      <sheetName val="BSPL Komersial"/>
      <sheetName val="AR PL"/>
      <sheetName val="Analytical Expl"/>
      <sheetName val="Fixed Assets Fiscal 2004"/>
      <sheetName val="PAJE-04"/>
      <sheetName val="PRJE-04"/>
      <sheetName val="CAJE(CRJE)-04"/>
      <sheetName val="E-3.Aging"/>
      <sheetName val="E-4.Analisa Aging"/>
      <sheetName val="E-5.Aging Afiliasi"/>
      <sheetName val="E-6.AR TO"/>
      <sheetName val="E-7"/>
      <sheetName val="Pallet dll"/>
      <sheetName val="Asuransi G-2.1.1"/>
      <sheetName val="G-2.1.2"/>
      <sheetName val="G-2.2"/>
      <sheetName val="K-1.FA Movement"/>
      <sheetName val="K-2.FA Addition"/>
      <sheetName val="K-3.Predict.Test"/>
      <sheetName val="K-4.FA Register"/>
      <sheetName val="N-Subs Paym"/>
      <sheetName val="O-1"/>
      <sheetName val="O-2"/>
      <sheetName val="O-3"/>
      <sheetName val="Q-1.Loan Mov."/>
      <sheetName val="Q-2.Loan Schedule"/>
      <sheetName val="U-1a"/>
      <sheetName val="U-1.2.Margin Analysis"/>
      <sheetName val="U-2.1"/>
      <sheetName val="Vouching Biaya"/>
      <sheetName val="U-4.2"/>
      <sheetName val="U-4.3"/>
      <sheetName val="U-4.4"/>
      <sheetName val="PL-fis"/>
      <sheetName val="BS-fis"/>
      <sheetName val="PM and TE"/>
      <sheetName val="I.S. Fiscal"/>
      <sheetName val="CRJE"/>
      <sheetName val="Rest. 02"/>
      <sheetName val="PAJE(PRJE)03"/>
      <sheetName val="Cash Flow 2004"/>
      <sheetName val="E-1.2"/>
      <sheetName val="E-2.1"/>
      <sheetName val="G-1.3"/>
      <sheetName val="G-1.4"/>
      <sheetName val="G-1.5"/>
      <sheetName val="G-1.6"/>
      <sheetName val="G-2.1"/>
      <sheetName val="FA Register (K.1)"/>
      <sheetName val="Vouch Phase II (K.2)"/>
      <sheetName val="FA Fiscal (K.3)"/>
      <sheetName val="Ageing AP(N-1.1)"/>
      <sheetName val="Subs Payment AP(N-1.2)"/>
      <sheetName val="Att. O-2"/>
      <sheetName val="O-4"/>
      <sheetName val="O-5"/>
      <sheetName val="P-1.2"/>
      <sheetName val="Q-1.1"/>
      <sheetName val="Q-1.2"/>
      <sheetName val="Q-1.3"/>
      <sheetName val="(Bank Loan Mutation)Q-1.4"/>
      <sheetName val="Q-2"/>
      <sheetName val="JAMSOSTEK(R-2b)"/>
      <sheetName val="Pensiun fund(R-2c)"/>
      <sheetName val="U-1.1"/>
      <sheetName val="U-1.2"/>
      <sheetName val="U-1.3"/>
      <sheetName val="U-2.1(payroll)"/>
      <sheetName val="U-3.1"/>
      <sheetName val="U-4a"/>
      <sheetName val="CAJE Fathun"/>
      <sheetName val="CAJEAR-Deny"/>
      <sheetName val="PPN OUT"/>
      <sheetName val="PPN OUT1"/>
      <sheetName val="PPN OUT2"/>
      <sheetName val="CN2"/>
      <sheetName val="DN"/>
      <sheetName val="NO FAKTUR"/>
      <sheetName val="Product"/>
      <sheetName val="SRYDNCN"/>
      <sheetName val="List Inv"/>
      <sheetName val="1.Ageing AR"/>
      <sheetName val="2.1410"/>
      <sheetName val="3.1490"/>
      <sheetName val="4.1550-WIP"/>
      <sheetName val="5.(Art-23)"/>
      <sheetName val="6.(VAT-in)"/>
      <sheetName val="7.1.1830"/>
      <sheetName val="7.2.1831"/>
      <sheetName val="7.3.1832"/>
      <sheetName val="7.4.1860"/>
      <sheetName val="7.5.1861"/>
      <sheetName val="7.6.1870"/>
      <sheetName val="7.7.1880"/>
      <sheetName val="7.8.1881"/>
      <sheetName val="8.1420"/>
      <sheetName val="9.AP-ageing"/>
      <sheetName val="10.Loan GAC"/>
      <sheetName val="11a.2369"/>
      <sheetName val="11b.2302"/>
      <sheetName val="12.Revenue"/>
      <sheetName val="13.JobCost"/>
      <sheetName val="Ageing AR"/>
      <sheetName val="J (1420-Deposit)"/>
      <sheetName val="J (1490-Other AR)"/>
      <sheetName val="1881"/>
      <sheetName val="G-1.1(Art-23)"/>
      <sheetName val="G-1.2(VAT-in)"/>
      <sheetName val="1550-WIP"/>
      <sheetName val="2302.Accrued Tax"/>
      <sheetName val="2369.Accrued exp"/>
      <sheetName val="TICK MARK"/>
      <sheetName val="WB1"/>
      <sheetName val="Fixed Assets"/>
      <sheetName val="Prep exp. 2003"/>
      <sheetName val="NN1"/>
      <sheetName val="AP Cut off"/>
      <sheetName val="O 1 "/>
      <sheetName val="O3"/>
      <sheetName val="R Lead"/>
      <sheetName val="R2"/>
      <sheetName val="T 1"/>
      <sheetName val="T 2"/>
      <sheetName val="Pensiun fund"/>
      <sheetName val="Interest Income details"/>
      <sheetName val="Associates"/>
      <sheetName val="BOM"/>
      <sheetName val="BOM USD"/>
      <sheetName val="Assc bu"/>
      <sheetName val="C. Lead"/>
      <sheetName val="C.1 Cash &amp; Bank"/>
      <sheetName val="C.2 Cash Clearing"/>
      <sheetName val="CC.Confirmation Control"/>
      <sheetName val="Doc"/>
      <sheetName val="Address"/>
      <sheetName val="PPh23"/>
      <sheetName val="BP 04"/>
      <sheetName val="23 Summary"/>
      <sheetName val="PPh26"/>
      <sheetName val="26 Summary"/>
      <sheetName val="SEWA TB"/>
      <sheetName val="Pvt"/>
      <sheetName val="Vat GL"/>
      <sheetName val="Prepaid GL"/>
      <sheetName val="Sales GL"/>
      <sheetName val="Pvt Rev"/>
      <sheetName val="GL Rev Nov"/>
      <sheetName val="Credit"/>
      <sheetName val="Subsequent 2005"/>
      <sheetName val="SAP Running Repair - Swakelola"/>
      <sheetName val="Anggaran 2006"/>
      <sheetName val="Movement 2006"/>
      <sheetName val="Rekap Running 2006"/>
      <sheetName val="Kartu Anggaran 2005"/>
      <sheetName val="Rekap Budget 2006 to be vouched"/>
      <sheetName val="data request SAP Running 2006"/>
      <sheetName val="SAP Running Repair"/>
      <sheetName val="COST N SUM"/>
      <sheetName val="Hasil Vouching"/>
      <sheetName val="inven"/>
      <sheetName val="Neraca 1"/>
      <sheetName val="Neraca 2"/>
      <sheetName val="Neraca per book"/>
      <sheetName val="P&amp;L per book"/>
      <sheetName val="P&amp;L detail per book"/>
      <sheetName val="Neraca detail per book"/>
      <sheetName val="Lain-lain detail per book"/>
      <sheetName val="XXXXXXXXXXX"/>
      <sheetName val="IS-USD"/>
      <sheetName val="IS-RP"/>
      <sheetName val="IS-USD Budget"/>
      <sheetName val="IS-USD Budget (Chart)"/>
      <sheetName val="IS-USD Budget (Chart) (2)"/>
      <sheetName val="IS-RP Budget"/>
      <sheetName val="IS-RP Budget (Chart)"/>
      <sheetName val="IS-RP Budget (Chart) (2)"/>
      <sheetName val="0702 - Backup IS Rp"/>
      <sheetName val="BS-USD"/>
      <sheetName val="BS-RP"/>
      <sheetName val="CadUU13"/>
      <sheetName val="Distribusi"/>
      <sheetName val="PPIP"/>
      <sheetName val="Fak UU13"/>
      <sheetName val="Tabel Rek Ind"/>
      <sheetName val="Tabel Rek Ing"/>
      <sheetName val="Mort"/>
      <sheetName val="Dapes"/>
      <sheetName val="Rkn Bdn GSL 08"/>
      <sheetName val="Detail WBS - WPL"/>
      <sheetName val="C Cash in Bank"/>
      <sheetName val="C.6 Cut Off Cash"/>
      <sheetName val="Cut Off Cash"/>
      <sheetName val="Rekap FA kom (K-1)"/>
      <sheetName val="Tnh Bgn (K-1.1)"/>
      <sheetName val="Kend (K-1.2)"/>
      <sheetName val="Inv (K-1.3)"/>
      <sheetName val="ABJ (K-1.4)"/>
      <sheetName val="Penjualan (K-1.5)"/>
      <sheetName val="Rekap FA fis (K-2)"/>
      <sheetName val="Bgn (K-2.5)"/>
      <sheetName val="Kend (K-2.1)"/>
      <sheetName val="89-94 (K-2.1.1)"/>
      <sheetName val="95-00 (K-2.1.2)"/>
      <sheetName val="01-03 (K-2.1.3)"/>
      <sheetName val="BOKDR-04 (K-2.1.4)"/>
      <sheetName val="Inv (K-2.2)"/>
      <sheetName val="Inv HO (K-2.2.1)"/>
      <sheetName val="Inv BO (K-2.2.2)"/>
      <sheetName val="Inv 89-94 (K-2.2.3)"/>
      <sheetName val="ABJ fis (K-2.3)"/>
      <sheetName val="Penjualan (K-2.4)"/>
      <sheetName val="K-2.1.5"/>
      <sheetName val="GL Ytd 05"/>
      <sheetName val="ADMIN"/>
      <sheetName val="2h"/>
      <sheetName val="USD"/>
      <sheetName val="Top10-USD"/>
      <sheetName val="Top10-LC"/>
      <sheetName val="P-L Qtr"/>
      <sheetName val="KEY"/>
      <sheetName val="BSH (2)"/>
      <sheetName val="BSH"/>
      <sheetName val="HIT"/>
      <sheetName val="BS final"/>
      <sheetName val="fiscal pl"/>
      <sheetName val="WPComSummary"/>
      <sheetName val="RecPAybreport"/>
      <sheetName val="op.exp"/>
      <sheetName val="Selling"/>
      <sheetName val="Rec&amp;Payb-net"/>
      <sheetName val="Accruals"/>
      <sheetName val="SPT Masa_4(2) "/>
      <sheetName val="DBP_4(2)T&amp;B"/>
      <sheetName val="BP_4(2)T&amp;B "/>
      <sheetName val="SPT Masa"/>
      <sheetName val="DBP1"/>
      <sheetName val="DBP2"/>
      <sheetName val="DBP3"/>
      <sheetName val="DBP4"/>
      <sheetName val="DBP5"/>
      <sheetName val="DBP6"/>
      <sheetName val="DBP7"/>
      <sheetName val="DBP8"/>
      <sheetName val="DBP9"/>
      <sheetName val="Bukti Potong"/>
      <sheetName val="DPP"/>
      <sheetName val="GL 05"/>
      <sheetName val="BP 05"/>
      <sheetName val="Worksheet_03"/>
      <sheetName val="WP-SP-04"/>
      <sheetName val="CRJE-04"/>
      <sheetName val="G-3.1"/>
      <sheetName val="FA Reg"/>
      <sheetName val="Att N-1"/>
      <sheetName val="N-3"/>
      <sheetName val="Revenue cut-off"/>
      <sheetName val="EE "/>
      <sheetName val="XX"/>
      <sheetName val="Perhitungan def. tax"/>
      <sheetName val="WP_SP_04"/>
      <sheetName val="Memo BS Sby&amp; G&amp;U"/>
      <sheetName val="Memo Uang Muka"/>
      <sheetName val="REKAP Ptgngjwbn BS"/>
      <sheetName val="Vouch BS"/>
      <sheetName val="25 ND aja"/>
      <sheetName val="Memo Affiliasi"/>
      <sheetName val="ia"/>
      <sheetName val="I "/>
      <sheetName val="memo Jaminan UM"/>
      <sheetName val="memo gENERAL&amp; Poijt TO dO"/>
      <sheetName val="100000000"/>
      <sheetName val="Predictive Depreciation Expense"/>
      <sheetName val="K-Mutation"/>
      <sheetName val="Fixed Assets Fiscal FY 2003"/>
      <sheetName val="Fixed Assets Fiscal-master"/>
      <sheetName val="Predict.Insurance Exp &amp; Assets"/>
      <sheetName val="Predict.Rental Exp &amp; Assets"/>
      <sheetName val="Predict.Office Exp &amp; Assets"/>
      <sheetName val="Handling"/>
      <sheetName val="List AP"/>
      <sheetName val="Pre. exp_TO G 1-3"/>
      <sheetName val="I baru"/>
      <sheetName val="fa_fiskal"/>
      <sheetName val="PAJE-PRJE-CAJE"/>
      <sheetName val="P&amp;LFromSUN"/>
      <sheetName val="P&amp;LCalculation"/>
      <sheetName val="J001"/>
      <sheetName val="EXPLJ102"/>
      <sheetName val="CSDTYTD"/>
      <sheetName val="Ls_AgXLB_WorkbookFile"/>
      <sheetName val="TB98_oct99_sap99_WPL"/>
      <sheetName val="TB98,oct99&amp;sap99-WPL"/>
      <sheetName val="PL98"/>
      <sheetName val="RecoveredExternalLink1"/>
      <sheetName val="ssdh NI"/>
      <sheetName val="sblm NI"/>
      <sheetName val="3. Neraca dan RL"/>
      <sheetName val="Mei 2007"/>
      <sheetName val="N-1.1"/>
      <sheetName val="N-1.2"/>
      <sheetName val="UA"/>
      <sheetName val="UA-1"/>
      <sheetName val="VA"/>
      <sheetName val="Revmari"/>
      <sheetName val="Commsize"/>
      <sheetName val="Fixset"/>
      <sheetName val="Amort"/>
      <sheetName val="Financing"/>
      <sheetName val="Timedepo"/>
      <sheetName val="Valuation"/>
      <sheetName val="Penambahan - Gedung"/>
      <sheetName val="Penambahan - Komputer"/>
      <sheetName val="Penambahan - Office Equipment"/>
      <sheetName val="Penjualan - Computer"/>
      <sheetName val="Penjualan - Office Equipment"/>
      <sheetName val="NR'07"/>
      <sheetName val="RL'07"/>
      <sheetName val="POMALAA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GL to Audited"/>
      <sheetName val="Other corrections"/>
      <sheetName val=" art.21 recons"/>
      <sheetName val="Withholdings Recons"/>
      <sheetName val="Tax Credits"/>
      <sheetName val="Depr(E)"/>
      <sheetName val="Add FA"/>
      <sheetName val="Add(E)"/>
      <sheetName val="disposal"/>
      <sheetName val="Provisi -tax"/>
      <sheetName val="Prov(E)"/>
      <sheetName val="Write-off"/>
      <sheetName val="WO(E)"/>
      <sheetName val="List of NPL"/>
      <sheetName val="NPL(E)"/>
      <sheetName val="Grey"/>
      <sheetName val="BSPL,etc"/>
      <sheetName val="bspl(E)"/>
      <sheetName val="Fiscal Adjustments"/>
      <sheetName val="Daftar lampiran"/>
      <sheetName val="List Att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E-1771-VI"/>
      <sheetName val="FI-1771-VI"/>
      <sheetName val="Rules"/>
      <sheetName val="F1771"/>
      <sheetName val="F1771-I"/>
      <sheetName val="F1771-II"/>
      <sheetName val="F1771-III"/>
      <sheetName val="Komisaris"/>
      <sheetName val="FB"/>
      <sheetName val="Reconciliation"/>
      <sheetName val="shareholders"/>
      <sheetName val="disp calc"/>
      <sheetName val="FA List"/>
      <sheetName val="Depreciation RBW"/>
      <sheetName val="F1771-6"/>
      <sheetName val="Attachement"/>
      <sheetName val="other adj"/>
      <sheetName val="COGS adjustment"/>
      <sheetName val="penyusutan (E)"/>
      <sheetName val="Summary fiscal depr(E)"/>
      <sheetName val="Summary fiscal depr(I)"/>
      <sheetName val="ANTA"/>
      <sheetName val="BMRI"/>
      <sheetName val="BBCA"/>
      <sheetName val="DVLAN"/>
      <sheetName val="DYNA-N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PORTO 19 JUL"/>
      <sheetName val="N-ISAT"/>
      <sheetName val="ISAT"/>
      <sheetName val="ASGR-N"/>
      <sheetName val="uraian teknis"/>
      <sheetName val="Met-Tek"/>
      <sheetName val="Sc Bahan"/>
      <sheetName val="Man Power"/>
      <sheetName val="O&amp;O-Alat"/>
      <sheetName val="Sc Alat"/>
      <sheetName val="RENC MUTU"/>
      <sheetName val="TS (2)"/>
      <sheetName val="Jadwal (2)"/>
      <sheetName val="Sch Person"/>
      <sheetName val="Daftar Alat"/>
      <sheetName val="Konf"/>
      <sheetName val="Anal Mob"/>
      <sheetName val="lalu lintas"/>
      <sheetName val="Pemel Rutin"/>
      <sheetName val="girder 1"/>
      <sheetName val="girder 2"/>
      <sheetName val="BGS"/>
      <sheetName val="Met-Tek (2)"/>
      <sheetName val="Cover-depan"/>
      <sheetName val="H.Satuan"/>
      <sheetName val="SAP"/>
      <sheetName val="Eva Spek"/>
      <sheetName val="LP-CRT"/>
      <sheetName val="daf-3(OK)"/>
      <sheetName val="daf-7(OK)"/>
      <sheetName val="SITE-E"/>
      <sheetName val="lamp-d"/>
      <sheetName val="Foundation"/>
      <sheetName val="CONSUMABLE"/>
      <sheetName val="Steel-Twr"/>
      <sheetName val="BAG-III"/>
      <sheetName val="Eva_Spek"/>
      <sheetName val="Harga_Satuan"/>
      <sheetName val="BQ ARS"/>
      <sheetName val="ESCON"/>
      <sheetName val="daf_3_OK_"/>
      <sheetName val="daf_7_OK_"/>
      <sheetName val="DAF_2"/>
      <sheetName val="Daf 1"/>
      <sheetName val="DATA KRY"/>
      <sheetName val="PORMAT"/>
      <sheetName val="G A J I"/>
      <sheetName val="PK.KERJA"/>
      <sheetName val="THR"/>
      <sheetName val="PENSIUN"/>
      <sheetName val="T. KONSUMSI"/>
      <sheetName val="ASTEK"/>
      <sheetName val="PENGOBATAN"/>
      <sheetName val="REKREASI"/>
      <sheetName val="PENDIDIKAN"/>
      <sheetName val="PERJ. DNS"/>
      <sheetName val="ADM KTR"/>
      <sheetName val="EKS.UMUM"/>
      <sheetName val="TRANSPORT"/>
      <sheetName val="SEWA KTR-RMH"/>
      <sheetName val="AS. AKTIVA"/>
      <sheetName val="KONS-RISET"/>
      <sheetName val="RAPAT"/>
      <sheetName val="PEM.KTR"/>
      <sheetName val="PEM. KEND"/>
      <sheetName val="PEM.INVENT"/>
      <sheetName val="PEM. RM.DNS"/>
      <sheetName val="IZIN-PBB"/>
      <sheetName val="ENTERTAINT"/>
      <sheetName val="SUMBANGAN"/>
      <sheetName val="IKLAN"/>
      <sheetName val="PROMOSI"/>
      <sheetName val="PROSPEK"/>
      <sheetName val="FEE PENJ."/>
      <sheetName val="PENAGIHAN"/>
      <sheetName val="BY.USED CAR"/>
      <sheetName val="PENY.BGN"/>
      <sheetName val="PENY.RM DNS"/>
      <sheetName val="PENY. KEND"/>
      <sheetName val="PENY.BENGKEL-GDG"/>
      <sheetName val="PENY. INV"/>
      <sheetName val="BEBAN BUNGA"/>
      <sheetName val="ADM.BANK"/>
      <sheetName val="ZAKAT"/>
      <sheetName val="ONH"/>
      <sheetName val="PD.ADM JUAL"/>
      <sheetName val="PD.BABIT"/>
      <sheetName val="PD. BUNGA"/>
      <sheetName val="PD.DPST"/>
      <sheetName val="PD. PNJ SMT"/>
      <sheetName val="PD.JASA GIRO"/>
      <sheetName val="PD.CL AS"/>
      <sheetName val="PD. CAB"/>
      <sheetName val="PD.SEWA"/>
      <sheetName val="PD.HD FEE"/>
      <sheetName val="PD. PRV.FID"/>
      <sheetName val="FD. DEPOSIT"/>
      <sheetName val="PD. INSENTIF"/>
      <sheetName val="Daf_Isi"/>
      <sheetName val="Jrnl_Umum"/>
      <sheetName val="Nerc_Perc"/>
      <sheetName val="Sum_CoA"/>
      <sheetName val="Buku Besar "/>
      <sheetName val="Laba_Rugi"/>
      <sheetName val="Budget_Real"/>
      <sheetName val="Voucer"/>
      <sheetName val="Buku_Besar"/>
      <sheetName val="Penj_Nerc"/>
      <sheetName val="Sts_Sales"/>
      <sheetName val="EXP"/>
      <sheetName val="SDM (2)"/>
      <sheetName val="LAP-BLN DES2003"/>
      <sheetName val="REKAP APBD"/>
      <sheetName val="REKAP KOTOR"/>
      <sheetName val="arab"/>
      <sheetName val="ORG-CHART"/>
      <sheetName val="Ana-prel"/>
      <sheetName val="326BQSMB"/>
      <sheetName val="326BQSCC"/>
      <sheetName val="326BQSCF"/>
      <sheetName val="Hargamat"/>
      <sheetName val="APPENDIX-G"/>
      <sheetName val="APPENDIX-G table 2"/>
      <sheetName val="ARAP"/>
      <sheetName val="DAF.ALAT"/>
      <sheetName val="MPU-2"/>
      <sheetName val="Pealatan"/>
      <sheetName val="CV TAWAR (3)"/>
      <sheetName val="penawaran 11 jan 05"/>
      <sheetName val="jadwal (3)"/>
      <sheetName val="RAB (3)"/>
      <sheetName val="ARAB (3)"/>
      <sheetName val="BAHAN (3)"/>
      <sheetName val="DAF.ALAT (3)"/>
      <sheetName val="SRT"/>
      <sheetName val="CV TAWAR (2)"/>
      <sheetName val="METODHE"/>
      <sheetName val="ARAB (2)"/>
      <sheetName val="BAHAN (2)"/>
      <sheetName val="har-sat"/>
      <sheetName val="Anl-Teknik"/>
      <sheetName val="staf"/>
      <sheetName val="komponen"/>
      <sheetName val="Rekap-RAP"/>
      <sheetName val="bq-rap"/>
      <sheetName val="anl-rap"/>
      <sheetName val="MarcUp"/>
      <sheetName val="hotmix"/>
      <sheetName val="CV-TAWAR"/>
      <sheetName val="RAB STR REV LANDSCAPE"/>
      <sheetName val="Jml-Tot"/>
      <sheetName val="STR-TP"/>
      <sheetName val="Pondasi-TP"/>
      <sheetName val="REKAP REV"/>
      <sheetName val="RAB ME REV"/>
      <sheetName val="RAB STR REV "/>
      <sheetName val="NWP"/>
      <sheetName val="RAB STR"/>
      <sheetName val="RAB ME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SCHEDULE BAHAN"/>
      <sheetName val="vol pek (2)"/>
      <sheetName val="daftar hsp"/>
      <sheetName val="iktisar kusus"/>
      <sheetName val="H Satuan Dasar"/>
      <sheetName val="Analisa Teknik"/>
      <sheetName val="Analisa RAB"/>
      <sheetName val="R.A.B."/>
      <sheetName val="SCEDULE"/>
      <sheetName val="Rangking"/>
      <sheetName val="BAGAN"/>
      <sheetName val="LAMP PENWR"/>
      <sheetName val="SP ASTEK"/>
      <sheetName val="SubKon "/>
      <sheetName val="HASAT PEK"/>
      <sheetName val="RAB-Add"/>
      <sheetName val="HASAT DASAR"/>
      <sheetName val="Tawar"/>
      <sheetName val="REF.ONLY"/>
      <sheetName val="****00"/>
      <sheetName val="LCATAL"/>
      <sheetName val="B1"/>
      <sheetName val="B2"/>
      <sheetName val="D2"/>
      <sheetName val="FG"/>
      <sheetName val="D4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upahbahan"/>
      <sheetName val="fin-kab"/>
      <sheetName val="DAFTAR BESI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Shorts"/>
      <sheetName val="NYATDOK"/>
      <sheetName val="DATAADM"/>
      <sheetName val="IJINUSAHA"/>
      <sheetName val="SBU"/>
      <sheetName val="AKTE"/>
      <sheetName val="PENGURUS"/>
      <sheetName val="PLMJBT"/>
      <sheetName val="Analisa HS"/>
      <sheetName val="BQFA"/>
      <sheetName val="FACP"/>
      <sheetName val="CostFA"/>
      <sheetName val="instalFA"/>
      <sheetName val="Ind-Cost"/>
      <sheetName val="I-Cost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HRG ALAT"/>
      <sheetName val="ANL LS"/>
      <sheetName val="REKAP RAB BARU 11 Jan 05 "/>
      <sheetName val="RAB BARU 11 Jan 05"/>
      <sheetName val="REKAP STR"/>
      <sheetName val="BQ-Struktur MB"/>
      <sheetName val="REKAP ARS"/>
      <sheetName val="Rekap A. Emergency"/>
      <sheetName val="A. Emergency"/>
      <sheetName val="Rekap B. Laboratory"/>
      <sheetName val="B. Laboratory"/>
      <sheetName val="Rekap C. Radiology"/>
      <sheetName val="C. Radiology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ekap ME"/>
      <sheetName val="RAB MK all MB rofiq"/>
      <sheetName val="RAB ELEKTRIKAL rofiq"/>
      <sheetName val="ELECTRIC-MB"/>
      <sheetName val="Alat-P"/>
      <sheetName val="RAB Arsitektural"/>
      <sheetName val="C5.2"/>
      <sheetName val="C6.1"/>
      <sheetName val="C6.2"/>
      <sheetName val="TOC Retro Jiwa"/>
      <sheetName val="TOC Retro Fac"/>
      <sheetName val="TOC Retro XOL"/>
      <sheetName val="J - Pajak Dibayar Dimuka"/>
      <sheetName val="Symbol"/>
      <sheetName val="RL-3"/>
      <sheetName val="PENJ NERACA"/>
      <sheetName val="TM &amp; TBM"/>
      <sheetName val="HTG ESTATE"/>
      <sheetName val="HTG PKS"/>
      <sheetName val="RINC-RL,18,19"/>
      <sheetName val="PENJUALAN 2006"/>
      <sheetName val="RINC-HPP21,22,23"/>
      <sheetName val="HPPENJ-24"/>
      <sheetName val="HITUNG-HPP,25"/>
      <sheetName val="produksi"/>
      <sheetName val="CRJ-01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FARM "/>
      <sheetName val="SUPPLIER"/>
      <sheetName val="OM"/>
      <sheetName val="T5"/>
      <sheetName val="T4"/>
      <sheetName val="VROON"/>
      <sheetName val="L107"/>
      <sheetName val="ISMY"/>
      <sheetName val="TO"/>
      <sheetName val="OD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Ford Options"/>
      <sheetName val="HPP audit"/>
      <sheetName val="EK"/>
      <sheetName val="Kas dan Bank"/>
      <sheetName val="Investasi Saham"/>
      <sheetName val="Tanaman Perkebunan "/>
      <sheetName val="Tanaman Perkebunan 2"/>
      <sheetName val="List Inventory"/>
      <sheetName val="HU"/>
      <sheetName val="Hutang Lain2 HI"/>
      <sheetName val="Hutang Jangka Pjg"/>
      <sheetName val="Biaya yg msh hrs dibayar"/>
      <sheetName val="PEB"/>
      <sheetName val="OLT"/>
      <sheetName val="PEB &amp; OLT"/>
      <sheetName val="LAP-PENJ"/>
      <sheetName val="Beban Pokok Pend."/>
      <sheetName val="Penghasilan B.Lain-lain"/>
      <sheetName val="Tran. Hub. Istimewa"/>
      <sheetName val="Analytical Review Okt 31, 2008"/>
      <sheetName val="8600.05"/>
      <sheetName val="8600.10"/>
      <sheetName val="8600.10-1 "/>
      <sheetName val="8600.10-1.1"/>
      <sheetName val="8600.10-2"/>
      <sheetName val="8600.10-3"/>
      <sheetName val="8600.10-4"/>
      <sheetName val="8600.10-5"/>
      <sheetName val="8600.10-6"/>
      <sheetName val="8600.10-7"/>
      <sheetName val="TOT Admin Expense"/>
      <sheetName val="Vouching Opex"/>
      <sheetName val="mazda"/>
      <sheetName val="chery"/>
      <sheetName val="hino gubeng"/>
      <sheetName val="hino kletek"/>
      <sheetName val="HINO MALANG"/>
      <sheetName val="HINO GRESIK"/>
      <sheetName val="PRT_MLG"/>
      <sheetName val="prt"/>
      <sheetName val="GRESIK Mar_08"/>
      <sheetName val="GRESIK Mar_08 _2_"/>
      <sheetName val="GRESIK Apr_08 _2_"/>
      <sheetName val="GRESIK Mei_08 _3_"/>
      <sheetName val="GRESIK Juni_08 _4_"/>
      <sheetName val="akumulasi mar_jun_08"/>
      <sheetName val="GRESIK Juli_08 "/>
      <sheetName val="GRESIK Agusts_08 "/>
      <sheetName val="GRESIK September_08 _"/>
      <sheetName val="GRESIK Oktober_08 "/>
      <sheetName val="GRESIK AK JanOktober_08 "/>
      <sheetName val="GRESIK November_08  "/>
      <sheetName val="GRESIK Desember_08  "/>
      <sheetName val="GRESIK AK Jan-Des_08 "/>
      <sheetName val="rekonsel per bln"/>
      <sheetName val="rekonsel akumulasi"/>
      <sheetName val="10 Memo"/>
      <sheetName val="10 Lead"/>
      <sheetName val="10.1 Sales per customer"/>
      <sheetName val="Local per product"/>
      <sheetName val="10.2 Sales per product "/>
      <sheetName val="10.3 Cut-off test"/>
      <sheetName val="10.4 Sales Reasonable Test"/>
      <sheetName val="export per product"/>
      <sheetName val="export original"/>
      <sheetName val="local original"/>
      <sheetName val="10.5 Sales with Daily Kurs"/>
      <sheetName val="10.6 Sales Local"/>
      <sheetName val="10.7 Sales Export"/>
      <sheetName val="Kurs $ 2005"/>
      <sheetName val="8500.05"/>
      <sheetName val="8510.05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Detail CIP"/>
      <sheetName val="INTERCO"/>
      <sheetName val="Ex_Rate"/>
      <sheetName val="HOSept"/>
      <sheetName val="YTDS&amp;D"/>
      <sheetName val="Sept02"/>
      <sheetName val="1505-99"/>
      <sheetName val="1505-02"/>
      <sheetName val="CIP-Capco-1505-03"/>
      <sheetName val="1505-03 "/>
      <sheetName val="PL-Equator"/>
      <sheetName val="BS-Equator (2)"/>
      <sheetName val="AJE "/>
      <sheetName val="Past LK"/>
      <sheetName val="InvRp&amp;$"/>
      <sheetName val="InvRp-$"/>
      <sheetName val="JSiar"/>
      <sheetName val="Jangkauan"/>
      <sheetName val="Kennz"/>
      <sheetName val="Inhalt"/>
      <sheetName val="Allgem. Angaben"/>
      <sheetName val="Auftrag"/>
      <sheetName val="Sp-Erg"/>
      <sheetName val="PersStat"/>
      <sheetName val="Verm-lage"/>
      <sheetName val="Ertr-lage"/>
      <sheetName val="Umsatz HB II"/>
      <sheetName val="Umsatz regional"/>
      <sheetName val="Best.-veränd."/>
      <sheetName val="akt. Eigenleist."/>
      <sheetName val="SoErtr (1)"/>
      <sheetName val="SoErtr (2)"/>
      <sheetName val="MatAufw"/>
      <sheetName val="PersAufw"/>
      <sheetName val="Abschr. imm. WG +SA"/>
      <sheetName val="SoAufw (1)"/>
      <sheetName val="SoAufw (2)"/>
      <sheetName val="SoAufw (3)"/>
      <sheetName val="QualKost"/>
      <sheetName val="Beteil.-ertr."/>
      <sheetName val="Ertr. and. WP + Ausl."/>
      <sheetName val="Zinserträge"/>
      <sheetName val="Abschr. Fin.-anl."/>
      <sheetName val="Zinsaufw."/>
      <sheetName val="a.o. Ergebn."/>
      <sheetName val="Steuern"/>
      <sheetName val="Immater"/>
      <sheetName val="Sachanl"/>
      <sheetName val="FinAnl"/>
      <sheetName val="Vorraete"/>
      <sheetName val="FordLief"/>
      <sheetName val="FordVerb"/>
      <sheetName val="FordBet"/>
      <sheetName val="SonstFor"/>
      <sheetName val="Wertpap"/>
      <sheetName val="LiquMitt"/>
      <sheetName val="RAP aktiv"/>
      <sheetName val="Kap-Div (HB I)"/>
      <sheetName val="Kap-Div (HB II)"/>
      <sheetName val="SoPoRück"/>
      <sheetName val="Pens.-rückst."/>
      <sheetName val="Steuerrückst."/>
      <sheetName val="sonst. Rückst "/>
      <sheetName val="VerbKI(1)"/>
      <sheetName val="VerbKI(2)"/>
      <sheetName val="erhAnz"/>
      <sheetName val="VerbLief"/>
      <sheetName val="VerbWech"/>
      <sheetName val="VerbVerb"/>
      <sheetName val="VerbBet"/>
      <sheetName val="SonstVer"/>
      <sheetName val="RAP passiv"/>
      <sheetName val="Haft.-verh.+sofinVerpfl."/>
      <sheetName val="BILKURZ"/>
      <sheetName val="GUVKURZ"/>
      <sheetName val="AV Brutto"/>
      <sheetName val="AV Abschr."/>
      <sheetName val="Rücklagen"/>
      <sheetName val="Passiva"/>
      <sheetName val="GuV"/>
      <sheetName val="HB I ---&gt; HB II"/>
      <sheetName val="PAJE-2008"/>
      <sheetName val="PAJE-2009"/>
      <sheetName val="Fiscal"/>
      <sheetName val="BS-CF"/>
      <sheetName val="PinjPolis (3)"/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VAT 1-98 to 12-98"/>
      <sheetName val="IN RETURN NOT BOOKED"/>
      <sheetName val="Customize Your Invoice"/>
      <sheetName val="Macros"/>
      <sheetName val="ATW"/>
      <sheetName val="Lock"/>
      <sheetName val="Intl Data Table"/>
      <sheetName val="OPEX REPORT"/>
      <sheetName val="DOWNLOAD"/>
      <sheetName val="Safety Incidents"/>
      <sheetName val="Operating Incidents"/>
      <sheetName val="Liquids Production"/>
      <sheetName val="Gas Sales"/>
      <sheetName val="Earnings"/>
      <sheetName val="Affiliate Earnings"/>
      <sheetName val="FACTORS"/>
      <sheetName val="CASHOPX"/>
      <sheetName val="NONCSHOPEX"/>
      <sheetName val="WARNING"/>
      <sheetName val="LRR VOLUMES PAGE"/>
      <sheetName val="UPFACT DOWNLOAD"/>
      <sheetName val="OPEXDL2"/>
      <sheetName val="Gas Realisations @ STWD FX"/>
      <sheetName val="UNIT OPEX CALCULATION"/>
      <sheetName val="Inputs"/>
      <sheetName val="Tbc Jrn"/>
      <sheetName val="Engineering"/>
      <sheetName val="Retcostboard"/>
      <sheetName val="Macro"/>
      <sheetName val="Iss Jrn"/>
      <sheetName val="pll feb 06"/>
      <sheetName val="E2.2"/>
      <sheetName val="AR (2)"/>
      <sheetName val="Claim"/>
      <sheetName val="G-1 AdvP"/>
      <sheetName val="BDM"/>
      <sheetName val="G-2.1 Prep"/>
      <sheetName val="AT-Software"/>
      <sheetName val="AT-tdk terpakai"/>
      <sheetName val="AT-tdk terpakai (2)"/>
      <sheetName val="BYMHD"/>
      <sheetName val="UMD"/>
      <sheetName val="617900000"/>
      <sheetName val="825100000"/>
      <sheetName val="Interest ok"/>
      <sheetName val="COVER SHEET"/>
      <sheetName val="CF-SUMMARY"/>
      <sheetName val="CF-CLASSIFICATION"/>
      <sheetName val="CF-DETAILS"/>
      <sheetName val="PARAMETERS"/>
      <sheetName val="FA REGISTER"/>
      <sheetName val="FA DETAILS"/>
      <sheetName val="ADD_PERIOD"/>
      <sheetName val="DISP_PERIOD"/>
      <sheetName val="DISP_YEAR"/>
      <sheetName val="Ls_XLB_WorkbookFile"/>
      <sheetName val="a-kar001"/>
      <sheetName val="WERKS"/>
      <sheetName val="ORD"/>
      <sheetName val="AFASL"/>
      <sheetName val="Converted"/>
      <sheetName val="Building"/>
      <sheetName val="Building Equipment"/>
      <sheetName val="Machineries"/>
      <sheetName val="Tabel Machineries"/>
      <sheetName val="Transportations"/>
      <sheetName val="Furniture"/>
      <sheetName val="ASSET TRANSFER OUT"/>
      <sheetName val="FA Konsol"/>
      <sheetName val="K 1 FA Mutation"/>
      <sheetName val="K 1.1"/>
      <sheetName val="K 1.2"/>
      <sheetName val="K 1.3"/>
      <sheetName val="K 1.4"/>
      <sheetName val="K 2 FA Mutation"/>
      <sheetName val="K 3 FA Mutation Denpasar"/>
      <sheetName val="K 3.1"/>
      <sheetName val="K 3.2"/>
      <sheetName val="K 3.3"/>
      <sheetName val="K 3.4"/>
      <sheetName val="bdrl-usg"/>
      <sheetName val="budget00"/>
      <sheetName val="OLDPL kareb"/>
      <sheetName val="newpl kareb"/>
      <sheetName val="OLDPL"/>
      <sheetName val="Budget2001"/>
      <sheetName val="newpl"/>
      <sheetName val="plrep"/>
      <sheetName val="contr"/>
      <sheetName val="salesan"/>
      <sheetName val="VARCOST"/>
      <sheetName val="stkm"/>
      <sheetName val="contrmile"/>
      <sheetName val="def_tax cig"/>
      <sheetName val="def_tax kareb"/>
      <sheetName val="def_tax cons"/>
      <sheetName val="NEWMAP"/>
      <sheetName val="HYPERION"/>
      <sheetName val="stan"/>
      <sheetName val="rawmat"/>
      <sheetName val="sundries"/>
      <sheetName val="WASTE BY MATERIAL"/>
      <sheetName val="WASTE BY BRAND"/>
      <sheetName val="duration_LOCAL"/>
      <sheetName val="duration_IMP"/>
      <sheetName val="LOCALexcl.ADJA"/>
      <sheetName val="IMPexcl.ADJA"/>
      <sheetName val="estused"/>
      <sheetName val="stan(2)"/>
      <sheetName val="wastage(2)"/>
      <sheetName val="COSTING ----&gt;"/>
      <sheetName val="STOCK END"/>
      <sheetName val="PROPORTIONAL"/>
      <sheetName val="BENSON "/>
      <sheetName val="LUCKY"/>
      <sheetName val="LUCKY LIGHT"/>
      <sheetName val="PALL MALL KS"/>
      <sheetName val="PALL MALL LGHT"/>
      <sheetName val="PALL MALL MTHL"/>
      <sheetName val="ARDATH"/>
      <sheetName val="ARDATH LIGHT"/>
      <sheetName val="ARDATH MENTHOL"/>
      <sheetName val="COMM KS"/>
      <sheetName val="ARDATH LS"/>
      <sheetName val="COMM LS"/>
      <sheetName val="INDIGO"/>
      <sheetName val="COST AVE"/>
      <sheetName val="VARIANCE"/>
      <sheetName val="VAR_CPM"/>
      <sheetName val="overview"/>
      <sheetName val="ANALYSIS VARIANCE"/>
      <sheetName val="ALL_Excl.Dunhil"/>
      <sheetName val="AALL"/>
      <sheetName val="ALLcigr"/>
      <sheetName val="DLI"/>
      <sheetName val="DIS"/>
      <sheetName val="DIM"/>
      <sheetName val="DKS"/>
      <sheetName val="DKM"/>
      <sheetName val="KAH"/>
      <sheetName val="KAM"/>
      <sheetName val="KANLI"/>
      <sheetName val="KANLIM"/>
      <sheetName val="KAN"/>
      <sheetName val="WHHP"/>
      <sheetName val="WHSP"/>
      <sheetName val="COMFILLS"/>
      <sheetName val="COMFILKS"/>
      <sheetName val="BR"/>
      <sheetName val="MBS"/>
      <sheetName val="MBP"/>
      <sheetName val="AFNSV"/>
      <sheetName val="AFNIC"/>
      <sheetName val="AConC"/>
      <sheetName val="ENTRY"/>
      <sheetName val="Assum"/>
      <sheetName val="VarCostComfil"/>
      <sheetName val="Marshalling"/>
      <sheetName val="NDE expenses"/>
      <sheetName val="Other positive-negative adj."/>
      <sheetName val="Related party"/>
      <sheetName val="Fiscal form"/>
      <sheetName val="Additional FA (Eng)"/>
      <sheetName val="Tambahan aktiva"/>
      <sheetName val="GainLoss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Fiscal form (2)"/>
      <sheetName val="HIT 2"/>
      <sheetName val="ABSENSI "/>
      <sheetName val="ABSENSI  NS"/>
      <sheetName val="ABSENSI  NS (2)"/>
      <sheetName val="Tabel Gaji"/>
      <sheetName val="AC BCA"/>
      <sheetName val="AC BCA (compare)"/>
      <sheetName val="WBS - A"/>
      <sheetName val="A.2"/>
      <sheetName val="A.2-1"/>
      <sheetName val="A.2-1.1"/>
      <sheetName val="L.2"/>
      <sheetName val="FA FISCAL"/>
      <sheetName val="A.1"/>
      <sheetName val="A Recap"/>
      <sheetName val="L.1"/>
      <sheetName val="L.1.2"/>
      <sheetName val="CC1.1"/>
      <sheetName val="F Konf"/>
      <sheetName val="F Recap"/>
      <sheetName val="WBS - L"/>
      <sheetName val="H.2"/>
      <sheetName val="N.2 Konf"/>
      <sheetName val="L.3.1"/>
      <sheetName val="L.3.2"/>
      <sheetName val="L.3.3"/>
      <sheetName val="Q.1"/>
      <sheetName val="R.2"/>
      <sheetName val="R.3"/>
      <sheetName val="R.4"/>
      <sheetName val="R.5"/>
      <sheetName val="T.1"/>
      <sheetName val="T.2"/>
      <sheetName val="T.3"/>
      <sheetName val="T.4"/>
      <sheetName val="Tax0910"/>
      <sheetName val="DTA-0910"/>
      <sheetName val="ADJUSTMENT AKHIR TAHUN"/>
      <sheetName val="REGRISTRASI"/>
      <sheetName val="DAF - CAB 2003 (2)"/>
      <sheetName val="JUDUL OWNER"/>
      <sheetName val="DATA DARI TB DARI BRANCHCOMP"/>
      <sheetName val="YN-PPN01"/>
      <sheetName val="YN-SDB"/>
      <sheetName val="YNpdp-custodian"/>
      <sheetName val="YNpdp-custodian ADA REKSA DANA"/>
      <sheetName val="YN-PPN Keluaran"/>
      <sheetName val="YN_Psewa"/>
      <sheetName val="Pendapatan Sewa"/>
      <sheetName val="Pendapatan Sewa - PRINT"/>
      <sheetName val="Inv.BPP"/>
      <sheetName val="CJE"/>
      <sheetName val="B.13"/>
      <sheetName val="D1.1"/>
      <sheetName val="D1.2"/>
      <sheetName val="P.2"/>
      <sheetName val="P.5"/>
      <sheetName val="P.6"/>
      <sheetName val="P.7"/>
      <sheetName val="G1-1"/>
      <sheetName val="G1-2"/>
      <sheetName val="L-4"/>
      <sheetName val="L-5"/>
      <sheetName val="II.1"/>
      <sheetName val="II.2"/>
      <sheetName val="II.3"/>
      <sheetName val="II.4"/>
      <sheetName val="II.5"/>
      <sheetName val="II.6"/>
      <sheetName val="IV.1"/>
      <sheetName val="XXXXX0"/>
      <sheetName val="100000"/>
      <sheetName val="200000"/>
      <sheetName val="300000"/>
      <sheetName val="bs sep"/>
      <sheetName val="is sep"/>
      <sheetName val="p &amp; l"/>
      <sheetName val="Mgt_P&amp;L"/>
      <sheetName val="MJ"/>
      <sheetName val="MI"/>
      <sheetName val="GLJ"/>
      <sheetName val="Hyperion_486"/>
      <sheetName val="COS"/>
      <sheetName val="Prov obs"/>
      <sheetName val="Stk take"/>
      <sheetName val="chemical"/>
      <sheetName val="oal"/>
      <sheetName val="B.1"/>
      <sheetName val="B.2"/>
      <sheetName val="D2.3"/>
      <sheetName val="D3"/>
      <sheetName val="L1.1"/>
      <sheetName val="L2"/>
      <sheetName val="A2-Summary"/>
      <sheetName val="A2.1"/>
      <sheetName val="A2.1.2"/>
      <sheetName val="A2.1.1"/>
      <sheetName val="A2.2"/>
      <sheetName val="A2.3"/>
      <sheetName val="A2.4"/>
      <sheetName val="A2.5"/>
      <sheetName val="A2.6"/>
      <sheetName val="A2.7"/>
      <sheetName val="G.1.3"/>
      <sheetName val="G.2.2"/>
      <sheetName val="G.2.3"/>
      <sheetName val="G.2.4"/>
      <sheetName val="G.2.5"/>
      <sheetName val="L3"/>
      <sheetName val="L3.1"/>
      <sheetName val="L3.2"/>
      <sheetName val="L3.3"/>
      <sheetName val="CAM-A"/>
      <sheetName val="CAM-B"/>
      <sheetName val="TOC-A.1"/>
      <sheetName val="TOC-A.2"/>
      <sheetName val="TOC-A.3"/>
      <sheetName val="TOC-A.4"/>
      <sheetName val="TOC-B.1"/>
      <sheetName val="TOC-B.2"/>
      <sheetName val="TOC-B.3"/>
      <sheetName val="TB_09"/>
      <sheetName val="F.1.1.1"/>
      <sheetName val="F.2.1"/>
      <sheetName val="F.3"/>
      <sheetName val="C.2.1"/>
      <sheetName val="C.14"/>
      <sheetName val="D1.3"/>
      <sheetName val="L.1.1"/>
      <sheetName val="L.2.1"/>
      <sheetName val="L.2.1.1"/>
      <sheetName val="L.2.2"/>
      <sheetName val="L.2.2.1"/>
      <sheetName val="L.2.2.2"/>
      <sheetName val="L.2.2.3"/>
      <sheetName val="L.2.2.4"/>
      <sheetName val="L.2.2.5"/>
      <sheetName val="A.2.1.1 report"/>
      <sheetName val="A.2.1.1"/>
      <sheetName val="A.2.1.2"/>
      <sheetName val="A.2.3"/>
      <sheetName val="A.2.4"/>
      <sheetName val="A.2.5"/>
      <sheetName val="A.2.6"/>
      <sheetName val="A.2.7"/>
      <sheetName val="A.2.8"/>
      <sheetName val="A.2.9"/>
      <sheetName val="G.1.1.1"/>
      <sheetName val="L.3.1.1"/>
      <sheetName val="L.3.3.1"/>
      <sheetName val="L.3.4"/>
      <sheetName val="L.3.5"/>
      <sheetName val="Q.1.1"/>
      <sheetName val="Q.1.2"/>
      <sheetName val="Q.1.3"/>
      <sheetName val="Q.2"/>
      <sheetName val="Q.2.1"/>
      <sheetName val="Q.3"/>
      <sheetName val="R.1"/>
      <sheetName val="R.6"/>
      <sheetName val="R.7"/>
      <sheetName val="R.8"/>
      <sheetName val="MKBD"/>
      <sheetName val="Un-AJE"/>
      <sheetName val="WPL "/>
      <sheetName val="F.2.1.1"/>
      <sheetName val="F.3-1"/>
      <sheetName val="B1.2"/>
      <sheetName val="L1.2"/>
      <sheetName val="L1.2.1"/>
      <sheetName val="L1.2.2"/>
      <sheetName val="L1.3"/>
      <sheetName val="B2.1"/>
      <sheetName val="A2-1-1"/>
      <sheetName val="A2-1-2"/>
      <sheetName val="A2-1-3"/>
      <sheetName val="G2"/>
      <sheetName val="L3-1"/>
      <sheetName val="L3-2"/>
      <sheetName val="L3-3"/>
      <sheetName val="L3-3-1"/>
      <sheetName val="H2"/>
      <sheetName val="H2.1"/>
      <sheetName val="H2.2"/>
      <sheetName val="F.4"/>
      <sheetName val="B1-1"/>
      <sheetName val="B1-2"/>
      <sheetName val="B1-3"/>
      <sheetName val="G1.1"/>
      <sheetName val="G1.2"/>
      <sheetName val="Q.1-2"/>
      <sheetName val="R.1-2"/>
      <sheetName val="S.1-2"/>
      <sheetName val="T2-1"/>
      <sheetName val="Cost Summary"/>
      <sheetName val="Jobsite"/>
      <sheetName val="JKTA"/>
      <sheetName val="Mine Serve"/>
      <sheetName val="Proposed 2003 Salary Range"/>
      <sheetName val="2003PEDist"/>
      <sheetName val="Matrix_2003"/>
      <sheetName val="Matrix03"/>
      <sheetName val="Matrix_2002 (3)"/>
      <sheetName val="Matrix"/>
      <sheetName val="PE Distribution"/>
      <sheetName val="Matrix_2001"/>
      <sheetName val="2002 NS Range"/>
      <sheetName val="2003 NS Range"/>
      <sheetName val="Compa"/>
      <sheetName val="Corporate tax"/>
      <sheetName val="Installment calculation"/>
      <sheetName val="Summary Pending"/>
      <sheetName val="Others Payable"/>
      <sheetName val="Attachment 1"/>
      <sheetName val="Attachment 2"/>
      <sheetName val="Sheet"/>
      <sheetName val="Stock 28072010"/>
      <sheetName val="Stock 24082010"/>
      <sheetName val="Stock 26082010 "/>
      <sheetName val="TB 20072010"/>
      <sheetName val="Gl P&amp;L"/>
      <sheetName val="GL Passiva"/>
      <sheetName val="GL Asset"/>
      <sheetName val="TB_PLY"/>
      <sheetName val="Pa(r)je Dec 05"/>
      <sheetName val="CAJE Dec 05"/>
      <sheetName val="KK Casfh Flow07"/>
      <sheetName val="BS JUNE 10"/>
      <sheetName val="GL Apr _ JUNE 10"/>
      <sheetName val="Bonus provision"/>
      <sheetName val="Audit fee provision"/>
      <sheetName val="GSA Com"/>
      <sheetName val="QF Mar to June 10"/>
      <sheetName val="Recon for Mar_ Mar 10"/>
      <sheetName val="Interco HTTSIN "/>
      <sheetName val="F-6"/>
      <sheetName val="D-1.1"/>
      <sheetName val="D-1.2"/>
      <sheetName val="D-1.3"/>
      <sheetName val="D-1.4"/>
      <sheetName val="L1-1"/>
      <sheetName val="E-1.2.1"/>
      <sheetName val="E-1.3"/>
      <sheetName val="E-3.1"/>
      <sheetName val="E-5"/>
      <sheetName val="E-6"/>
      <sheetName val="R5"/>
      <sheetName val="A2-1.Furniture"/>
      <sheetName val="A2-1.Furniture-Year End"/>
      <sheetName val="A2-2.Computer"/>
      <sheetName val="A2-2.Computer Year End"/>
      <sheetName val="A2-3. Office Equipt"/>
      <sheetName val="A2-3. Office Equipt Year End"/>
      <sheetName val="A2-4.LEASING VHC"/>
      <sheetName val="A2-4.LEASING VHC Year End"/>
      <sheetName val="A2-5.Renovation "/>
      <sheetName val="A2-6.Building+Land"/>
      <sheetName val="A2-7. Vehicle"/>
      <sheetName val="A2-8 LICENSE PC"/>
      <sheetName val="A2-9"/>
      <sheetName val="A2-10."/>
      <sheetName val="A2-11"/>
      <sheetName val="A2-12"/>
      <sheetName val="J-1.1"/>
      <sheetName val="J-1.2"/>
      <sheetName val="F1-1"/>
      <sheetName val="F1-2"/>
      <sheetName val="G-2.3"/>
      <sheetName val="G-2.4"/>
      <sheetName val="G-2.5"/>
      <sheetName val="G-2.6"/>
      <sheetName val="G-2.7"/>
      <sheetName val="G2-1"/>
      <sheetName val="G2-2"/>
      <sheetName val="G2-3"/>
      <sheetName val="G2-4"/>
      <sheetName val="G2-5"/>
      <sheetName val="L2-3.1"/>
      <sheetName val="L2-1"/>
      <sheetName val="L2-2"/>
      <sheetName val="L2-3"/>
      <sheetName val="L2-3.2"/>
      <sheetName val="F2-1"/>
      <sheetName val="F2-2"/>
      <sheetName val="F2-3"/>
      <sheetName val="F2-4"/>
      <sheetName val="G3-1"/>
      <sheetName val="M1-1"/>
      <sheetName val="R2-1"/>
      <sheetName val="R2-2"/>
      <sheetName val="R2-2.1"/>
      <sheetName val="R2-3"/>
      <sheetName val="R3"/>
      <sheetName val="R4"/>
      <sheetName val="R6"/>
      <sheetName val="R7"/>
      <sheetName val="R7-1"/>
      <sheetName val="PBJ TB"/>
      <sheetName val="Bio Assets"/>
      <sheetName val="Landrights"/>
      <sheetName val="Employee loans 2007"/>
      <sheetName val="Employee loans 2006"/>
      <sheetName val="BS-Rupiah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Other Forex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ownused"/>
      <sheetName val="ownused-bbm"/>
      <sheetName val="ownused-nbbm"/>
      <sheetName val="U-1-SALESBYCUST"/>
      <sheetName val="Gl prepared by coy"/>
      <sheetName val="WBS 1"/>
      <sheetName val="Data-CF2003"/>
      <sheetName val="CF-2003"/>
      <sheetName val="WBS 2"/>
      <sheetName val="DIT"/>
      <sheetName val="Detail WBS"/>
      <sheetName val="List CAJE"/>
      <sheetName val="List PAJE"/>
      <sheetName val="Taccount CAJE &amp; Paje"/>
      <sheetName val="Note analitical review"/>
      <sheetName val="Inv-Con"/>
      <sheetName val="Aff transaction"/>
      <sheetName val="T-acc Elimination"/>
      <sheetName val="Detail WBS 1 C+P"/>
      <sheetName val="Supp ICF-C"/>
      <sheetName val="Detail DCF-C"/>
      <sheetName val="DCF-C(tidak update)"/>
      <sheetName val="ICF-C(tidak update)"/>
      <sheetName val="DCF-Update"/>
      <sheetName val="Detail DCF-P"/>
      <sheetName val="DCF-P"/>
      <sheetName val="supp ICF-P"/>
      <sheetName val="Detail WBS 2 C+P"/>
      <sheetName val="DIT-HIM"/>
      <sheetName val="Detail WPL C+P"/>
      <sheetName val="DIT meimei"/>
      <sheetName val="T-ACC PAJE&amp;PRJE"/>
      <sheetName val="PAJE-P"/>
      <sheetName val="PRJE-P"/>
      <sheetName val="T-ACC CAJE&amp;CRJE"/>
      <sheetName val="CAJE-P"/>
      <sheetName val="CRJE-P"/>
      <sheetName val="T-ACC ELIMINASI"/>
      <sheetName val="Balance sheets"/>
      <sheetName val="Modal shm"/>
      <sheetName val="Detail piutang BSP"/>
      <sheetName val=" longterm loan (blm update)"/>
      <sheetName val="kurs BI selama Jan - Mar 07"/>
      <sheetName val="List of contents"/>
      <sheetName val="R-Sales "/>
      <sheetName val=" Cogs "/>
      <sheetName val="Selling &amp; GE"/>
      <sheetName val="Income Taxes"/>
      <sheetName val="Debtors-BS"/>
      <sheetName val="Creditors-BS"/>
      <sheetName val="Interco-BSP"/>
      <sheetName val="Interco-BPP"/>
      <sheetName val="Interco-HIM"/>
      <sheetName val="Interco-Nibung"/>
      <sheetName val="PT.MB"/>
      <sheetName val="CFA &amp; Depr"/>
      <sheetName val="Prod &amp; Karyawan"/>
      <sheetName val="shipping_program"/>
      <sheetName val="govt.Pinang"/>
      <sheetName val="govt.mlwn"/>
      <sheetName val="govt.mlwn (3)"/>
      <sheetName val="govt.mlwn (2)"/>
      <sheetName val="Adm Fee"/>
      <sheetName val="sales Mlw"/>
      <sheetName val="comm"/>
      <sheetName val="Mkt fee"/>
      <sheetName val="govt mlw"/>
      <sheetName val="govt mlw (2)"/>
      <sheetName val="govt prima"/>
      <sheetName val="govt pinang"/>
      <sheetName val="correc jour"/>
      <sheetName val="mkt fee mlw"/>
      <sheetName val="mktfee pri"/>
      <sheetName val="mkt fee pin"/>
      <sheetName val="comm mlw"/>
      <sheetName val="comm pri"/>
      <sheetName val="comm pin"/>
      <sheetName val="sales Pri"/>
      <sheetName val="sales Pin"/>
      <sheetName val="sortby_MO_CF"/>
      <sheetName val="T-Account Adj"/>
      <sheetName val="T-Account Elim"/>
      <sheetName val="DETAIL (EY SG - finalised)"/>
      <sheetName val="Elim (CJE - finalised by EYSG)"/>
      <sheetName val="BAVJun-Des07|June 07 update EY "/>
      <sheetName val="DETAIL (Revised - AC column)"/>
      <sheetName val="IFRS Adj"/>
      <sheetName val="T-Account IFRS"/>
      <sheetName val="Biological Asset Valuation"/>
      <sheetName val="Simulasi Elim"/>
      <sheetName val="Juli Audit 2007"/>
      <sheetName val="u-1-5-2-Sales to UPMS"/>
      <sheetName val="u-1-5-1-Sales to UP"/>
      <sheetName val="u-1-5- Sales to UPMS and UP"/>
      <sheetName val="U-1-NON BBM - export"/>
      <sheetName val="U-1-NON BBM - local"/>
      <sheetName val="U-1-BBM export"/>
      <sheetName val="U-1-5-MBAKAR"/>
      <sheetName val="U-1-4-MDIESEL"/>
      <sheetName val="U-1-3-MSOLAR "/>
      <sheetName val="U-1-2-MTANAH"/>
      <sheetName val="U-1-1-PREMIUM"/>
      <sheetName val="U-1-BBM local"/>
      <sheetName val="triwulan-4"/>
      <sheetName val="triwulan-3"/>
      <sheetName val="triwulan-2"/>
      <sheetName val="triwulan-1"/>
      <sheetName val="U-1RET002"/>
      <sheetName val="Location and Statistic Code"/>
      <sheetName val="salesprice 2005"/>
      <sheetName val="salesprice 2004"/>
      <sheetName val="FD-premium"/>
      <sheetName val="FD-solar"/>
      <sheetName val="FD-mfo"/>
      <sheetName val="FD-kero"/>
      <sheetName val="FD-diesel"/>
      <sheetName val="Outstanding PNBP Tunai"/>
      <sheetName val="Delivery"/>
      <sheetName val="Delivery -1"/>
      <sheetName val="unusual SKPP"/>
      <sheetName val="point ML"/>
      <sheetName val="u-1-5-2"/>
      <sheetName val="u-1-5-1"/>
      <sheetName val="u-1-5"/>
      <sheetName val="ARBV Consolidated"/>
      <sheetName val="ARBV IS Consolidated"/>
      <sheetName val="ARBV Cash flows"/>
      <sheetName val="AR BV"/>
      <sheetName val="GFI BVI"/>
      <sheetName val="Solegna BV"/>
      <sheetName val="IS-ARBV"/>
      <sheetName val="IS-GFI BVI"/>
      <sheetName val="IS-Solegna BV"/>
      <sheetName val="AR BV-Balance sheet"/>
      <sheetName val="Solegna-Balance sheet"/>
      <sheetName val="GFI-Balance sheet"/>
      <sheetName val="Solegna-Ytd"/>
      <sheetName val="GFI- Ytd"/>
      <sheetName val="Solegna - This Month"/>
      <sheetName val="GFI-This Month"/>
      <sheetName val="PM (Dec 31, 2005)"/>
      <sheetName val="PRJE - December 31, 2005"/>
      <sheetName val="CAJE - December 31, 2005 "/>
      <sheetName val="Lead TB"/>
      <sheetName val="Trial Balance Dec 31, 05"/>
      <sheetName val="C Memo (1)"/>
      <sheetName val="C-11"/>
      <sheetName val="C-12"/>
      <sheetName val="C-13"/>
      <sheetName val="E-2.4"/>
      <sheetName val="Aging Receivable"/>
      <sheetName val="Aging Receivable (2)"/>
      <sheetName val="F-2.1"/>
      <sheetName val="F-2.4"/>
      <sheetName val="F-2.5"/>
      <sheetName val="F-2.6"/>
      <sheetName val="F-2.7"/>
      <sheetName val="G-1.1 Memo"/>
      <sheetName val="G-1.1.1 "/>
      <sheetName val="CashFlow Combined"/>
      <sheetName val="Expense clasiffication"/>
      <sheetName val="TB-December 31, 2005"/>
      <sheetName val="T - Account"/>
      <sheetName val="Fiscal per pak agus"/>
      <sheetName val="Fiscal  per audit"/>
      <sheetName val="Tax-IDR"/>
      <sheetName val="TAX-USD"/>
      <sheetName val="Analytical WBS1"/>
      <sheetName val="Analytical WBS2"/>
      <sheetName val="Analytical WPL"/>
      <sheetName val="CASH &amp; BANK (C)"/>
      <sheetName val="Analytical Cash"/>
      <sheetName val="TRADE AR (E-1)"/>
      <sheetName val="AR-USD"/>
      <sheetName val="AR-VAT"/>
      <sheetName val="OTHER AR (E-2)"/>
      <sheetName val="Detail Miscellaneous"/>
      <sheetName val="INVENTORY (F)"/>
      <sheetName val="Production of methanol"/>
      <sheetName val="ADVANCE&amp;PREPAID EXPENSES (G-2)"/>
      <sheetName val="COP-LOAN"/>
      <sheetName val="ADV"/>
      <sheetName val="details confirmation Loan &amp; Adv"/>
      <sheetName val="Prepaid insurance (G2.1)"/>
      <sheetName val="cOVER INSURANCE (G.2.2)"/>
      <sheetName val="Plan &amp; insurance exp(U.4-9)"/>
      <sheetName val="Others asset (J)"/>
      <sheetName val="AP TRADE (N)"/>
      <sheetName val="Detail AP Supplier"/>
      <sheetName val="Detail AP Others"/>
      <sheetName val="subsequent payment"/>
      <sheetName val="ACCRUED (P)"/>
      <sheetName val="Accrued insurance(P.1)"/>
      <sheetName val="GR-IR"/>
      <sheetName val="TAXES PAYABLE (O)"/>
      <sheetName val="CAPITAL (T)"/>
      <sheetName val="REVENUE (U-1)"/>
      <sheetName val="Analytical Revenue"/>
      <sheetName val="Cut of sales"/>
      <sheetName val="COGS (U-2)"/>
      <sheetName val="Analitical COGS "/>
      <sheetName val="OPEX (U-3)"/>
      <sheetName val="analitical opex"/>
      <sheetName val="Detail COGS and OPEX USD"/>
      <sheetName val="Detail COGS and OPEX IDR"/>
      <sheetName val="OTHER INC (EXP) (U-4)"/>
      <sheetName val="Accrue interst income"/>
      <sheetName val="Gain(loss) forex"/>
      <sheetName val="PAJE "/>
      <sheetName val="CAJE "/>
      <sheetName val="Materiality IDR &amp; USD"/>
      <sheetName val="XXXXXXXX"/>
      <sheetName val="Ay080671"/>
      <sheetName val="Prl-99 (2)"/>
      <sheetName val="Note to FS"/>
      <sheetName val="Prl-99"/>
      <sheetName val="Rugi-Laba"/>
      <sheetName val="WBS-trial"/>
      <sheetName val="WPL-trial"/>
      <sheetName val="WBS-March31,2005"/>
      <sheetName val="WPL-March31,2005"/>
      <sheetName val="Depre Test"/>
      <sheetName val="Depre Test adi"/>
      <sheetName val="Machinary yg depr tdk 9 bln"/>
      <sheetName val="Machinary 2006 (2)"/>
      <sheetName val="MAchenery 2005"/>
      <sheetName val="Off &amp; Komp USD full depr"/>
      <sheetName val="2002 komp IDR full depr"/>
      <sheetName val="2002 IDR full Depr equip"/>
      <sheetName val="add machinery"/>
      <sheetName val="add vehicle"/>
      <sheetName val="add office equip"/>
      <sheetName val="add office equip IDR"/>
      <sheetName val="add leasehold"/>
      <sheetName val="vouch addition"/>
      <sheetName val="Compare Saldo"/>
      <sheetName val="PM,TE &amp; SAD"/>
      <sheetName val="Deff Tax"/>
      <sheetName val="Int Inc U.6-1"/>
      <sheetName val="vehicles"/>
      <sheetName val="LEAS"/>
      <sheetName val="AMOR"/>
      <sheetName val="Loan Covenant"/>
      <sheetName val="F.5"/>
      <sheetName val="F.6"/>
      <sheetName val="J.2"/>
      <sheetName val="Pe"/>
      <sheetName val="Pen"/>
      <sheetName val="O.4"/>
      <sheetName val="U.1.1"/>
      <sheetName val="U.1.2"/>
      <sheetName val="U.1.3"/>
      <sheetName val="U.2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Other Assets"/>
      <sheetName val="Notes Payable"/>
      <sheetName val="AP trade"/>
      <sheetName val="Taxes payable"/>
      <sheetName val="Advance from customer"/>
      <sheetName val="Pension Fund"/>
      <sheetName val="Deferred tax liabilities"/>
      <sheetName val="Unrealized Gain on MF"/>
      <sheetName val="Other charges (income)"/>
      <sheetName val="L-Otr.Ast "/>
      <sheetName val="G.2.1 (PPh Ps 22)"/>
      <sheetName val="is-sum"/>
      <sheetName val="isdetail"/>
      <sheetName val="bs-sum"/>
      <sheetName val="bsdetail"/>
      <sheetName val="WBS I"/>
      <sheetName val="WBS II"/>
      <sheetName val="I.AR"/>
      <sheetName val="I.AP"/>
      <sheetName val="Memo Journal"/>
      <sheetName val="K (Dec)"/>
      <sheetName val="Predictive depre"/>
      <sheetName val="O Prepaid"/>
      <sheetName val="O Payable"/>
      <sheetName val="Sales Cut Off"/>
      <sheetName val="Purchase Cut Off"/>
      <sheetName val="U.1 Lead"/>
      <sheetName val="U.1.1.1 Sales Cut Off AP"/>
      <sheetName val="U.1.1.2 Sales Cut Off WCP"/>
      <sheetName val="U.1.2.1 Test Recorded Sales AP"/>
      <sheetName val="U.1.2.2 Test Recorded Sales WCP"/>
      <sheetName val="U.2 Lead"/>
      <sheetName val="U.2.1 COGS Test - coba"/>
      <sheetName val="U.3 Lead"/>
      <sheetName val="U3.1 Breakdown"/>
      <sheetName val="U.4 Lead"/>
      <sheetName val="C.1 Forex Test"/>
      <sheetName val="C.2 Cut Off"/>
      <sheetName val="CC Confirmation Cash"/>
      <sheetName val="E.1 Aging AR"/>
      <sheetName val="E.2 Test Aging AR"/>
      <sheetName val="E.3 AR Turn Over"/>
      <sheetName val="E.4 Subsequent AR"/>
      <sheetName val="EE Conf. AR"/>
      <sheetName val="F.1 RM and WIP"/>
      <sheetName val="F.2 Finished Goods"/>
      <sheetName val="F.3 Material In Transit"/>
      <sheetName val="F.4 Provision Inventory"/>
      <sheetName val="F.4.1 Test Provision"/>
      <sheetName val="F.5 Inventory Turn Over"/>
      <sheetName val="F.6 Roll Forward"/>
      <sheetName val="F.7 Test Pricing Inventory"/>
      <sheetName val="F.8 Inventory Reconciliation"/>
      <sheetName val="A_4_2"/>
      <sheetName val="A_4_3"/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DEC05 (2)"/>
      <sheetName val="Items 2005"/>
      <sheetName val="Items 0606"/>
      <sheetName val="Items 0706"/>
      <sheetName val="Items 0806"/>
      <sheetName val="Items 0906"/>
      <sheetName val="Items 1006 "/>
      <sheetName val="Items 1106 "/>
      <sheetName val="Items 1206"/>
      <sheetName val="Provision-2006"/>
      <sheetName val="PR0104"/>
      <sheetName val="PR0204"/>
      <sheetName val="PR0304"/>
      <sheetName val="PR0404"/>
      <sheetName val="PR0504"/>
      <sheetName val="PR0604"/>
      <sheetName val="PR0704"/>
      <sheetName val="PR0804"/>
      <sheetName val="PR0904"/>
      <sheetName val="PR1004"/>
      <sheetName val="PR1104"/>
      <sheetName val="PR1204"/>
      <sheetName val="PR0105"/>
      <sheetName val="PR0205"/>
      <sheetName val="PR0305"/>
      <sheetName val="PR0405"/>
      <sheetName val="PR0505"/>
      <sheetName val="PR0605"/>
      <sheetName val="PR0705"/>
      <sheetName val="PR0805"/>
      <sheetName val="PR0905"/>
      <sheetName val="PR1005"/>
      <sheetName val="PR1105"/>
      <sheetName val="PR1205"/>
      <sheetName val="PR0106"/>
      <sheetName val="PR0206"/>
      <sheetName val="PR0306"/>
      <sheetName val="PR0406"/>
      <sheetName val="PR0506"/>
      <sheetName val="PR0606"/>
      <sheetName val="PR0706"/>
      <sheetName val="PR0806"/>
      <sheetName val="PR0906"/>
      <sheetName val="PR1006"/>
      <sheetName val="PR1106"/>
      <sheetName val="PR1206"/>
      <sheetName val="Audit Issues"/>
      <sheetName val="A 3-1"/>
      <sheetName val="A 3-2"/>
      <sheetName val="A 3-3"/>
      <sheetName val="M.2 Lead - Due To"/>
      <sheetName val="M.2.1 Movement Due To"/>
      <sheetName val="MM Due to Confirm."/>
      <sheetName val="M.3 Advance Payable"/>
      <sheetName val="M.3.1 Advance Pay. AP"/>
      <sheetName val="M.3.2 Advance Pay. WCP"/>
      <sheetName val="O Lead - Tax Pay."/>
      <sheetName val="O.1 PPh art 21"/>
      <sheetName val="O.2 PPh art 23"/>
      <sheetName val="O.3 PPh art 26"/>
      <sheetName val="O.4 Vat out"/>
      <sheetName val="O.4.1 Recon Sales"/>
      <sheetName val="O.4.2 VAT - Installation"/>
      <sheetName val="O.4.3 Dasa"/>
      <sheetName val="O.4.4 DP Received"/>
      <sheetName val="O.4.5 Retur"/>
      <sheetName val="P.1 Lead - Other Pay."/>
      <sheetName val="P.1.1 OUCL"/>
      <sheetName val="P.2 Lead - Accrued Exp"/>
      <sheetName val="P.3 Lead - Employees' Benefit"/>
      <sheetName val="P.3.1 Movement PSAK 24"/>
      <sheetName val="P.3.2 Recon Actuary"/>
      <sheetName val="P.3.3 Individual PVO"/>
      <sheetName val="T Lead - SHE"/>
      <sheetName val="T.1 Recon RE"/>
      <sheetName val="TT Capital Conf."/>
      <sheetName val="Predictive FA Fiscal"/>
      <sheetName val="lre"/>
      <sheetName val="bre"/>
      <sheetName val="lrf"/>
      <sheetName val="FIXED FLOAT"/>
      <sheetName val="11493-FIX"/>
      <sheetName val="11499"/>
      <sheetName val="TRAV ADV"/>
      <sheetName val="OTHER ADV"/>
      <sheetName val="PREPAID EXP"/>
      <sheetName val="INSC EXP"/>
      <sheetName val="CURRENT LIAB"/>
      <sheetName val="PPh23$22"/>
      <sheetName val="AccList"/>
      <sheetName val="PnL"/>
      <sheetName val="TB_PL_02_03"/>
      <sheetName val="P_LFiskal"/>
      <sheetName val="BLS03"/>
      <sheetName val="Tmp"/>
      <sheetName val="OHDFIN"/>
      <sheetName val="OHDMGM"/>
      <sheetName val="OHDTRN"/>
      <sheetName val="OHDHRD"/>
      <sheetName val="OHDMKT"/>
      <sheetName val="OHDPS"/>
      <sheetName val="OHDSLS"/>
      <sheetName val="FI"/>
      <sheetName val="DbCC"/>
      <sheetName val="OHD-Proj"/>
      <sheetName val="OHD-CC"/>
      <sheetName val="LLItems"/>
      <sheetName val="FleetPurch"/>
      <sheetName val="CAPEX REKAP"/>
      <sheetName val="LL Calc"/>
      <sheetName val="SAPDb"/>
      <sheetName val="EwyAdj"/>
      <sheetName val="DbProj"/>
      <sheetName val="SAPAcc"/>
      <sheetName val="NEWCOPA"/>
      <sheetName val="COPA"/>
      <sheetName val="Copa2"/>
      <sheetName val="Margin Calc"/>
      <sheetName val="NewCopa2"/>
      <sheetName val="Reconstr"/>
      <sheetName val="SM"/>
      <sheetName val="OHD"/>
      <sheetName val="SMb"/>
      <sheetName val="BSb"/>
      <sheetName val="CFb"/>
      <sheetName val="OHDb"/>
      <sheetName val="LLb"/>
      <sheetName val="CAPb"/>
      <sheetName val="SM1"/>
      <sheetName val="BS1"/>
      <sheetName val="OH1"/>
      <sheetName val="LL1"/>
      <sheetName val="CAP1"/>
      <sheetName val="PL2"/>
      <sheetName val="SM2"/>
      <sheetName val="OH2"/>
      <sheetName val="LL2"/>
      <sheetName val="CAP2"/>
      <sheetName val="TOP F-123 (2)"/>
      <sheetName val="F-123"/>
      <sheetName val="TOP F-123"/>
      <sheetName val="Contracts, Parts &amp; Tech"/>
      <sheetName val="CSARL File Location"/>
      <sheetName val="PPH21_Cal"/>
      <sheetName val="Equal"/>
      <sheetName val="Equal For Tax"/>
      <sheetName val="Rekap SPT_Per Des Ok"/>
      <sheetName val="1721 KIP"/>
      <sheetName val="1721 TED"/>
      <sheetName val="1721 BHI"/>
      <sheetName val="1721 SGT"/>
      <sheetName val="1721 SMD"/>
      <sheetName val="BenefitHouse"/>
      <sheetName val="BenefitHouse_new"/>
      <sheetName val=" K-1 PPE reporting "/>
      <sheetName val="asset dec'09 rEV2"/>
      <sheetName val="Asset Transaction09"/>
      <sheetName val="Mrt"/>
      <sheetName val="List by classs"/>
      <sheetName val="asset transaction08"/>
      <sheetName val="asset depreciation08"/>
      <sheetName val="tb08.02.02.09"/>
      <sheetName val="Asset sales"/>
      <sheetName val="Useful life"/>
      <sheetName val="111121105"/>
      <sheetName val="PMHD"/>
      <sheetName val="INTRA"/>
      <sheetName val="CAD PIUT"/>
      <sheetName val="BANK-INTRANSIT"/>
      <sheetName val="AR-INTRANSIT"/>
      <sheetName val="AUP"/>
      <sheetName val="TOP20"/>
      <sheetName val="JOURNAL-BDM"/>
      <sheetName val="Cisco"/>
      <sheetName val="Tax (2)"/>
      <sheetName val="Reklase"/>
      <sheetName val="WLS"/>
      <sheetName val="trf gl"/>
      <sheetName val="Sheet1 (4)"/>
      <sheetName val="Deposit POS"/>
      <sheetName val="212400100"/>
      <sheetName val="1105-B&amp;I-OK"/>
      <sheetName val="1106-M&amp;E"/>
      <sheetName val="1101-LR-OK"/>
      <sheetName val="1102-B&amp;I-OK"/>
      <sheetName val="1103-M&amp;E"/>
      <sheetName val="1104-M&amp;E"/>
      <sheetName val="1107-V&amp;T"/>
      <sheetName val="1108-V&amp;T"/>
      <sheetName val="1109-T&amp;O"/>
      <sheetName val=" Leasing"/>
      <sheetName val="KOMPARASI"/>
      <sheetName val="Sale-Leaseback"/>
      <sheetName val="jan04"/>
      <sheetName val="Sale-Leaseback (2)"/>
      <sheetName val="Land Not Used-print"/>
      <sheetName val="Land Not Used"/>
      <sheetName val="HQ"/>
      <sheetName val="SUM-NAT"/>
      <sheetName val="Asset disposal"/>
      <sheetName val="Detail-SAP"/>
      <sheetName val="Summary (2)"/>
      <sheetName val="PPH GB"/>
      <sheetName val="INV (2)"/>
      <sheetName val="KEND (2)"/>
      <sheetName val="jnrl reverse"/>
      <sheetName val="Depr-Inv"/>
      <sheetName val="Depr-Kend"/>
      <sheetName val="Depr-Bgn"/>
      <sheetName val="Jnrl Reklase"/>
      <sheetName val="Rev-ADP"/>
      <sheetName val="Saldo"/>
      <sheetName val="Tax Comp"/>
      <sheetName val="Detail DTA"/>
      <sheetName val="to FS"/>
      <sheetName val="PAJE-RJE"/>
      <sheetName val="CAJE-RJE"/>
      <sheetName val="CF Package Jun10"/>
      <sheetName val="CF report"/>
      <sheetName val="Tax Comp Juni 2010"/>
      <sheetName val="I-2"/>
      <sheetName val="Flow Loan"/>
      <sheetName val="VA-1(DL)"/>
      <sheetName val="VA-2(FOH)"/>
      <sheetName val="VC_Opex"/>
      <sheetName val="COGS_PBC"/>
      <sheetName val="TB as of 30.06.2010"/>
      <sheetName val="Tax payable(O)"/>
      <sheetName val="Tax21 (O-1)"/>
      <sheetName val="Tax23 (O-2)"/>
      <sheetName val="Tax25 (O-3)"/>
      <sheetName val="O-4 VAT"/>
      <sheetName val="O-4.1VAT Recon"/>
      <sheetName val="O-5 Tax 23 Prepaid"/>
      <sheetName val="BS+PL"/>
      <sheetName val="Trf-SAP"/>
      <sheetName val="PCA-SBG"/>
      <sheetName val="Reklase Intra"/>
      <sheetName val="TB Dec printed  29-02-08"/>
      <sheetName val="AssetDisp.Fiscal"/>
      <sheetName val="Sum_AssetDisp"/>
      <sheetName val="AssetDispComm"/>
      <sheetName val="Tetap&amp;Waktu"/>
      <sheetName val="TB2010"/>
      <sheetName val="Forex Leasing"/>
      <sheetName val="Leasing 2010 USD"/>
      <sheetName val="EmpHouseRent"/>
      <sheetName val="PPh25Prepaid_2010"/>
      <sheetName val="Asset Fiscal"/>
      <sheetName val="RekonPPh21"/>
      <sheetName val="Flow of COGS"/>
      <sheetName val="Detail Nov 09"/>
      <sheetName val="Asset data"/>
      <sheetName val="Dep1012"/>
      <sheetName val="Bal2010"/>
      <sheetName val="Sheet1 (5)"/>
      <sheetName val="Lease2009"/>
      <sheetName val="Dtl2009"/>
      <sheetName val="Dtl2010"/>
      <sheetName val="Dep2010"/>
      <sheetName val="Bal Dec 2010"/>
      <sheetName val="Dep10-12"/>
      <sheetName val="Sep2010"/>
      <sheetName val="Asset Acq Nov 2010"/>
      <sheetName val="asset trransfer"/>
      <sheetName val="SSP SPT 21 26"/>
      <sheetName val="SSP SPT 42"/>
      <sheetName val="SSP SPT 23 26"/>
      <sheetName val="POT 23 26"/>
      <sheetName val="DBP"/>
      <sheetName val="BP23"/>
      <sheetName val="BP23 (2)"/>
      <sheetName val="SSP SPT 22"/>
      <sheetName val="POT 42"/>
      <sheetName val="SSP SPT 25"/>
      <sheetName val="KODE"/>
      <sheetName val="DWP"/>
      <sheetName val="LOOKUP"/>
      <sheetName val="PM-PL"/>
      <sheetName val="Reports"/>
      <sheetName val="VI"/>
      <sheetName val="III.1"/>
      <sheetName val="III.2"/>
      <sheetName val="C10a"/>
      <sheetName val="C10c"/>
      <sheetName val="CGS"/>
      <sheetName val="MKT"/>
      <sheetName val="Pos"/>
      <sheetName val="SK HTM"/>
      <sheetName val="TLKM-J"/>
      <sheetName val="N-TLKM"/>
      <sheetName val="Table Array"/>
      <sheetName val="TU By Div (2)"/>
      <sheetName val="detail pph from tu"/>
      <sheetName val="INC"/>
      <sheetName val="MED"/>
      <sheetName val="ENT"/>
      <sheetName val="CUST"/>
      <sheetName val="Sum_1211120_30 &amp; 60"/>
      <sheetName val="1211120-Query"/>
      <sheetName val="1211130-Query"/>
      <sheetName val="1211160-Query"/>
      <sheetName val="Details GR_1211120,30 &amp; 60 "/>
      <sheetName val="7411230"/>
      <sheetName val="7411231"/>
      <sheetName val="7411240"/>
      <sheetName val="7411242"/>
      <sheetName val="7411242-GL"/>
      <sheetName val="7411250"/>
      <sheetName val="7411260"/>
      <sheetName val="7411260-GL"/>
      <sheetName val="7411268"/>
      <sheetName val="7411268-GL"/>
      <sheetName val="Detail Direct PO_ZSSBPOHIST (2)"/>
      <sheetName val="Sum_Direct Purchase"/>
      <sheetName val="Detail Direct PO_ZSSBPOHISTORY "/>
      <sheetName val="Tax Comp 2010"/>
      <sheetName val="TB_Periode14"/>
      <sheetName val="cashflow Package_2010"/>
      <sheetName val="Direct CF_reporting"/>
      <sheetName val="K 2_1"/>
      <sheetName val="def tax"/>
      <sheetName val="LR Fiskal"/>
      <sheetName val="Rekon Fiscal"/>
      <sheetName val="FA Fiskal"/>
      <sheetName val="List FA-Fis"/>
      <sheetName val="FA-Kom'04 (2)"/>
      <sheetName val="Addition FA"/>
      <sheetName val="FA Mutation"/>
      <sheetName val="CAJE and CRJE"/>
      <sheetName val="C "/>
      <sheetName val="I.1 AR"/>
      <sheetName val="I.2 AP"/>
      <sheetName val="K "/>
      <sheetName val="O.1 Prepaid"/>
      <sheetName val="O.2 Payable"/>
      <sheetName val="Point To Do SBY"/>
      <sheetName val="R.1 RECON FISCAL"/>
      <sheetName val="R.1 Def. Tax"/>
      <sheetName val="R.1.1 N.D.E"/>
      <sheetName val="Rental"/>
      <sheetName val="R.1.2 Interest Inc."/>
      <sheetName val="R.1.3 Vehicle depre."/>
      <sheetName val="R.1.4 Depreciation"/>
      <sheetName val="R.1.7 Leasing"/>
      <sheetName val="R.1.8 Disposal FA"/>
      <sheetName val="R.1.6 Amort."/>
      <sheetName val="R.1.5 Real Bad Stock"/>
      <sheetName val="LESIND"/>
      <sheetName val="RKIN"/>
      <sheetName val="SSM"/>
      <sheetName val="UA Jul - Oct"/>
      <sheetName val="Summary diff ARE"/>
      <sheetName val="Sum All"/>
      <sheetName val="BPW-Europe"/>
      <sheetName val="SING"/>
      <sheetName val="SRI L"/>
      <sheetName val="CBD"/>
      <sheetName val="MALE"/>
      <sheetName val="VIET"/>
      <sheetName val="Thai"/>
      <sheetName val="BPWI"/>
      <sheetName val="Main table"/>
      <sheetName val="Expats' Rental"/>
      <sheetName val="Booked Rentals"/>
      <sheetName val="Accrued Rentals"/>
      <sheetName val="E_7_1"/>
      <sheetName val="ORIGINAL"/>
      <sheetName val="Contracts_ Parts _ Tech"/>
      <sheetName val="1771_2"/>
      <sheetName val="TB per Dec 08 Final 6feb09 7"/>
      <sheetName val="CAJE Lease 08"/>
      <sheetName val="U_1_2"/>
      <sheetName val="U_1_3"/>
      <sheetName val="U_1_5"/>
      <sheetName val="G_2"/>
      <sheetName val="G_1"/>
      <sheetName val="PAJE&amp;PRJE"/>
      <sheetName val="set PM&amp;TE"/>
      <sheetName val="WBS 1 &amp; 2, WPL"/>
      <sheetName val="Cash(C)"/>
      <sheetName val="FA(K)"/>
      <sheetName val="AR(E)"/>
      <sheetName val="AR OTHERS-TRADE ART 23 (E.3)"/>
      <sheetName val="Intercompany (I)"/>
      <sheetName val="Inv. (F)"/>
      <sheetName val="prepaid exp(J)"/>
      <sheetName val="AP(N)"/>
      <sheetName val="Accrued Payable(P-1)"/>
      <sheetName val="Leasing(Q)"/>
      <sheetName val="Unearned revenue(P-2)"/>
      <sheetName val="cap.stock(T)"/>
      <sheetName val="sales(U-1)"/>
      <sheetName val="Cost of revenues(U-2)"/>
      <sheetName val="Opex(U-3)"/>
      <sheetName val="Other inc.(U-4)"/>
      <sheetName val="gross profit"/>
      <sheetName val="Assets&amp;liab in foreign curr."/>
      <sheetName val="BS 2005"/>
      <sheetName val="LIAB 2005"/>
      <sheetName val="WPL 2005"/>
      <sheetName val="BS_DTA"/>
      <sheetName val="DIT 05 AUDIT"/>
      <sheetName val="Fiscal Comp 05"/>
      <sheetName val="Restatement 2004"/>
      <sheetName val="To Report (FS)"/>
      <sheetName val="Fisc. Rec."/>
      <sheetName val="DIT BS"/>
      <sheetName val="DIT Flow"/>
      <sheetName val="Report Purposes"/>
      <sheetName val="1ST CLOSING"/>
      <sheetName val="Intercoy Reconciliation"/>
      <sheetName val="E-3-1 AFDA Analysis"/>
      <sheetName val="SOLAR ONLY"/>
      <sheetName val="sampling"/>
      <sheetName val="Leasing_"/>
      <sheetName val="M-1"/>
      <sheetName val="M-2"/>
      <sheetName val="M-3"/>
      <sheetName val="N-2-1"/>
      <sheetName val="P-1.3"/>
      <sheetName val="P-1.9"/>
      <sheetName val="P-2-1"/>
      <sheetName val="CFI Balance"/>
      <sheetName val="CSUL"/>
      <sheetName val="U-1-1"/>
      <sheetName val="U-2-1"/>
      <sheetName val="U-2-1.1"/>
      <sheetName val="U-2-2"/>
      <sheetName val="U-2-2-1"/>
      <sheetName val="U-2-3"/>
      <sheetName val="U-2-3-1"/>
      <sheetName val="U-3-1"/>
      <sheetName val="U-3-1-1"/>
      <sheetName val="U-3-2"/>
      <sheetName val="U-3-2-1"/>
      <sheetName val="U-4-1"/>
      <sheetName val="AP reval"/>
      <sheetName val="Flow of Loan"/>
      <sheetName val="List AR"/>
      <sheetName val="not up date"/>
      <sheetName val="Analytical WBSWPL (not update)"/>
      <sheetName val="Leasing (not up date)"/>
      <sheetName val="Analytical (not up date)"/>
      <sheetName val="COS REV (not up date)"/>
      <sheetName val="OPEX (not up date)"/>
      <sheetName val="Other Inc Charges (not up date)"/>
      <sheetName val="COS RATE"/>
      <sheetName val="AdjAmount_311206"/>
      <sheetName val="Quantity Base"/>
      <sheetName val="Blc_QTY_aftrQADJ"/>
      <sheetName val="Inv_311206"/>
      <sheetName val="AdjQty_311206"/>
      <sheetName val="WIP"/>
      <sheetName val="MoveCurrAll"/>
      <sheetName val="moveaftervar"/>
      <sheetName val="VARMTN"/>
      <sheetName val="VAROVH"/>
      <sheetName val="VARFUEL"/>
      <sheetName val="VAREQP"/>
      <sheetName val="VARTYRE"/>
      <sheetName val="VARSI"/>
      <sheetName val="VARMPR"/>
      <sheetName val="VARSUB"/>
      <sheetName val="VAROTH"/>
      <sheetName val="Pst_akt"/>
      <sheetName val="MP"/>
      <sheetName val="TND"/>
      <sheetName val="03-07"/>
      <sheetName val="Move"/>
      <sheetName val="Aktuaria07"/>
      <sheetName val="Not Aktif 2008 (2)"/>
      <sheetName val="Not Aktif 2008"/>
      <sheetName val="Jubilee PT CK 2008"/>
      <sheetName val="DPTU ok"/>
      <sheetName val="DPLK"/>
      <sheetName val="NON DPTU &amp; DPLK"/>
      <sheetName val="DPTU ok (2)"/>
      <sheetName val="DPLK (2)"/>
      <sheetName val="NON DPTU &amp; DPLK (2)"/>
      <sheetName val="PM &amp; TE"/>
      <sheetName val="PAJE,PRJE"/>
      <sheetName val="Passed Adj"/>
      <sheetName val="T account"/>
      <sheetName val="ML Point"/>
      <sheetName val="E-1 (Aging)"/>
      <sheetName val="Sample Selection"/>
      <sheetName val="G-5"/>
      <sheetName val="G-6"/>
      <sheetName val="G-6.1"/>
      <sheetName val="H Lead"/>
      <sheetName val="H-5.1"/>
      <sheetName val="Status Tax"/>
      <sheetName val="J Memo"/>
      <sheetName val="I-1 Lead"/>
      <sheetName val="LS-Pajak dibyr Dimuka"/>
      <sheetName val="Inv2005-01"/>
      <sheetName val="Jan05"/>
      <sheetName val="WIP Rate"/>
      <sheetName val="COS Analysis"/>
      <sheetName val="Quantity Prod"/>
      <sheetName val="Adjustment on RE Parent"/>
      <sheetName val="CONSOL '09"/>
      <sheetName val="Restatement Entries"/>
      <sheetName val="Investment KE"/>
      <sheetName val="Investment IM"/>
      <sheetName val="Elimination 09"/>
      <sheetName val="CF 2007 Before restate"/>
      <sheetName val="Detail BS_PL"/>
      <sheetName val="Fixed Assets'09"/>
      <sheetName val="InterCo AR_AP"/>
      <sheetName val="(DTA)DIT"/>
      <sheetName val="T-Account "/>
      <sheetName val="PSAK 24 to Report"/>
      <sheetName val="InterCo Revenue_COGS"/>
      <sheetName val="COGS Details"/>
      <sheetName val="July 31, 2005 - WBS1"/>
      <sheetName val="July 31, 2005 - WBS2"/>
      <sheetName val="July 31, 2005 - WPL"/>
      <sheetName val="VAT"/>
      <sheetName val="PM TE"/>
      <sheetName val="E-1.atch"/>
      <sheetName val="E-1.Subqnt"/>
      <sheetName val="Test Pricing"/>
      <sheetName val="G-atc"/>
      <sheetName val="N-atch"/>
      <sheetName val="U-3.2"/>
      <sheetName val="U-3.3"/>
      <sheetName val="U-3.4"/>
      <sheetName val="U-3.5"/>
      <sheetName val="U-3.5.1"/>
      <sheetName val="TOC Purc"/>
      <sheetName val="TOC Sales"/>
      <sheetName val="TotEx"/>
      <sheetName val="C(Cash&amp;bank)"/>
      <sheetName val="ADJ CODA TUS(S)PL"/>
      <sheetName val="ADJ CODA PTTU"/>
      <sheetName val="ADJ CODA TUS(S)PL (2)"/>
      <sheetName val="U4.2.1"/>
      <sheetName val="U4.2"/>
      <sheetName val="PPh23 th.04"/>
      <sheetName val="N  3"/>
      <sheetName val="N 4"/>
      <sheetName val="CC AP"/>
      <sheetName val="Sub Payment"/>
      <sheetName val="P-2.1 Def Income"/>
      <sheetName val="P3 LaborLaw"/>
      <sheetName val="O Taxes Payable"/>
      <sheetName val="O-1Art21"/>
      <sheetName val="O-3VATOut"/>
      <sheetName val="O-3.1 VAT Out Recon"/>
      <sheetName val="M1 ADJ KURS CB LOAN"/>
      <sheetName val="MM-Loan"/>
      <sheetName val="TT-Equity"/>
      <sheetName val="T Equity"/>
      <sheetName val="O.1 (Art 21)"/>
      <sheetName val="O.2 (Art 23)"/>
      <sheetName val="Person Incharge"/>
      <sheetName val="ELIM UCC"/>
      <sheetName val="CONSOL '08"/>
      <sheetName val="Reclass Entry07"/>
      <sheetName val="COGS (1)"/>
      <sheetName val="Reclass08"/>
      <sheetName val="Effect Tax Rate"/>
      <sheetName val="Fixed Assets'08"/>
      <sheetName val="Elimination InterCo"/>
      <sheetName val="InterCo_"/>
      <sheetName val="Movement for CF"/>
      <sheetName val="Reclassification FY07"/>
      <sheetName val="ELIM Sale of Asset"/>
      <sheetName val="RE Reconciliation"/>
      <sheetName val="Contribution Paid"/>
      <sheetName val="Natra Raya"/>
      <sheetName val="Equity Method"/>
      <sheetName val="Minority Interest"/>
      <sheetName val="Add inf CF"/>
      <sheetName val="COGS (2)"/>
      <sheetName val="Sales Parameter"/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ONSOL '07 &amp; 08"/>
      <sheetName val="Elimination 07"/>
      <sheetName val="Investment 07"/>
      <sheetName val="Elimination 08"/>
      <sheetName val="Investment 08"/>
      <sheetName val="AGUSTUS"/>
      <sheetName val="Colsolidasi"/>
      <sheetName val="TMT"/>
      <sheetName val="CK"/>
      <sheetName val="TU"/>
      <sheetName val="SSB"/>
      <sheetName val="CP"/>
      <sheetName val="MST"/>
      <sheetName val="CKB"/>
      <sheetName val="CONSOL '05"/>
      <sheetName val="EJE '05"/>
      <sheetName val="AJE PSAK 4"/>
      <sheetName val="EJE to be added"/>
      <sheetName val="EJE to be deleted"/>
      <sheetName val="t acc 2005"/>
      <sheetName val="Fixed Assets'05"/>
      <sheetName val="CONSOL '06"/>
      <sheetName val="Fixed Assets'06"/>
      <sheetName val="RECON CJ SALES"/>
      <sheetName val="SALES USD (2)"/>
      <sheetName val="SALES IDR (2)"/>
      <sheetName val="WHT Jan -Des 2010"/>
      <sheetName val="SALES USD"/>
      <sheetName val="SALES IDR"/>
      <sheetName val="SALES USD_CJ"/>
      <sheetName val="SALES IDR_CJ"/>
      <sheetName val="#REF!"/>
      <sheetName val="Summary Pengiriman Dist Sept 08"/>
      <sheetName val="CREDIT LIMIT"/>
      <sheetName val="Proyeksi Cash In"/>
      <sheetName val="AR OVD"/>
      <sheetName val="AR N_ OD"/>
      <sheetName val="PIC MKT"/>
      <sheetName val="Distributor"/>
      <sheetName val="Rekonsiliasi Aug_08"/>
      <sheetName val="Rekonsiliasi Juli_08"/>
      <sheetName val="Rekonsiliasi Juni_08"/>
      <sheetName val="Rekonsiliasi April _08"/>
      <sheetName val="Rekonsiliasi May_08"/>
      <sheetName val="Pengiriman Distri_ Aug 08"/>
      <sheetName val="Molasses _Juli 08"/>
      <sheetName val="Gudang _ Gula Murah08"/>
      <sheetName val="Tab DPA"/>
      <sheetName val="Spec"/>
      <sheetName val="Calc (Awal)"/>
      <sheetName val="AFTER 55"/>
      <sheetName val="VESTED"/>
      <sheetName val="DBvsLL(V)"/>
      <sheetName val="C-trans"/>
      <sheetName val="DBvsLL(T)"/>
      <sheetName val="DCvsLL(V)"/>
      <sheetName val="DCvsLL(T)"/>
      <sheetName val="DBvsLL(T) (2)"/>
      <sheetName val="List_DPvsLL (2)"/>
      <sheetName val="T Mortalita"/>
      <sheetName val="Fyos&lt;1"/>
      <sheetName val="Recap55"/>
      <sheetName val="List_13"/>
      <sheetName val="T LL"/>
      <sheetName val="List_DPvsLL"/>
      <sheetName val="List_indDP"/>
      <sheetName val="ProjBen"/>
      <sheetName val="T1_ValPF"/>
      <sheetName val="T_Pelu"/>
      <sheetName val="Tab_k150"/>
      <sheetName val="C-vested"/>
      <sheetName val="T1_Val150"/>
      <sheetName val="T2_Val150"/>
      <sheetName val="Tab_Ann"/>
      <sheetName val="T2_ValPF"/>
      <sheetName val="SummRecX55"/>
      <sheetName val="SummRec55"/>
      <sheetName val="Tab_Iuran"/>
      <sheetName val="KONS BID P_N"/>
      <sheetName val="SANGATA_BUNYU"/>
      <sheetName val="U1 Sales"/>
      <sheetName val="Sales Cut-Off"/>
      <sheetName val="U2 COGS"/>
      <sheetName val="U-2.2"/>
      <sheetName val="U-2.3"/>
      <sheetName val="U-2.4"/>
      <sheetName val="U-2.5"/>
      <sheetName val="U-2.6"/>
      <sheetName val="U-2.7"/>
      <sheetName val="U3.1 Selling expenses"/>
      <sheetName val="U-3.1.1"/>
      <sheetName val="U3.2 G&amp;A expenses"/>
      <sheetName val="U4 Memo"/>
      <sheetName val="U-4.2 forex Pending"/>
      <sheetName val="Summary recon sd Nov 09"/>
      <sheetName val="Detail recon sd Nov 09"/>
      <sheetName val="Summary Jan-Nov 09"/>
      <sheetName val="Summary Jan-Des 09 "/>
      <sheetName val="AGS"/>
      <sheetName val="SAP USD - New"/>
      <sheetName val="WHT (PPh23) Monthly"/>
      <sheetName val="SAP IDR-New"/>
      <sheetName val="PPn Monthly"/>
      <sheetName val="whtax31des09"/>
      <sheetName val="SAP (USD)"/>
      <sheetName val="SAP (IDR)"/>
      <sheetName val="Intercoy"/>
      <sheetName val="CAJE CRJE"/>
      <sheetName val="CF 09"/>
      <sheetName val="Direct CF'09 "/>
      <sheetName val="Direct CF'08"/>
      <sheetName val="A4 Dec 2010"/>
      <sheetName val="C_1"/>
      <sheetName val="C_2"/>
      <sheetName val="C_3"/>
      <sheetName val="Corp_new"/>
      <sheetName val="DIT_FA"/>
      <sheetName val="VA_1"/>
      <sheetName val="VA_2"/>
      <sheetName val="VA_3"/>
      <sheetName val="VC_1"/>
      <sheetName val="VC_2"/>
      <sheetName val="VC_3"/>
      <sheetName val="TB201012"/>
      <sheetName val="TB201009"/>
      <sheetName val="Audited Balance 2008 - 2009"/>
      <sheetName val="TB YTD 3rd Closing"/>
      <sheetName val="TB After 2nd Draft"/>
      <sheetName val="Notes Reclassification "/>
      <sheetName val="Reclassification of Accounts"/>
      <sheetName val="For Reporting Purposes"/>
      <sheetName val="Rekonsiliasi Fiskal new TB"/>
      <sheetName val="P-1-2"/>
      <sheetName val="P-1-3"/>
      <sheetName val="P-1-4"/>
      <sheetName val="P-1.4.2"/>
      <sheetName val="P-1.4.3"/>
      <sheetName val="P-1-5"/>
      <sheetName val="P-1.5.2 Attch A."/>
      <sheetName val="P-1.5.2 Attch B"/>
      <sheetName val="P-1.5.3 &amp; 1.6.3"/>
      <sheetName val="P-1-6"/>
      <sheetName val="Diff"/>
      <sheetName val="Pred Test"/>
      <sheetName val="P-1.6.2"/>
      <sheetName val="Calc Prov"/>
      <sheetName val="P-1-7"/>
      <sheetName val="Mekanisme Jurnal Accrued"/>
      <sheetName val="movement awal"/>
      <sheetName val="P-1-8"/>
      <sheetName val="E-4 AFDA"/>
      <sheetName val="E-6 Aging"/>
      <sheetName val="E-7 Subs."/>
      <sheetName val="E-7.1"/>
      <sheetName val="E-8"/>
      <sheetName val="E (2)"/>
      <sheetName val="G-1 Lead"/>
      <sheetName val="G-Nature"/>
      <sheetName val="G-1.5.1"/>
      <sheetName val="Comparison with TMT Group"/>
      <sheetName val="CF Non Cash Activity"/>
      <sheetName val="DIT_BS"/>
      <sheetName val="DIT_PL 30_"/>
      <sheetName val="DIT_BS 30_"/>
      <sheetName val="CF 08"/>
      <sheetName val="PY PAJE PRJE"/>
      <sheetName val="J_1"/>
      <sheetName val="N_2"/>
      <sheetName val="Q_1"/>
      <sheetName val="Q_2"/>
      <sheetName val="U_2_2 "/>
      <sheetName val="S_1 CK"/>
      <sheetName val="U_1"/>
      <sheetName val="U_2_1"/>
      <sheetName val="U_2_3"/>
      <sheetName val="U_3_1"/>
      <sheetName val="U_3_2"/>
      <sheetName val="U_4"/>
      <sheetName val="Due to Tax Rate"/>
      <sheetName val="DIT-FA"/>
      <sheetName val="DTA _WP"/>
      <sheetName val="For Rep Let "/>
      <sheetName val="Due to Tax Rate (2)"/>
      <sheetName val="DIT - EY BS 25%"/>
      <sheetName val="Rekonsiliasi Fiskal old"/>
      <sheetName val="TB 2009_Old"/>
      <sheetName val="TE"/>
      <sheetName val="A4-2002"/>
      <sheetName val="CF-2002"/>
      <sheetName val="CF supp-2002"/>
      <sheetName val="CF supp"/>
      <sheetName val="T-Acc"/>
      <sheetName val="LCM "/>
      <sheetName val="Kdetail"/>
      <sheetName val="O-1-1"/>
      <sheetName val="O-1-2"/>
      <sheetName val="O-1-3"/>
      <sheetName val="O-1-4"/>
      <sheetName val="V1"/>
      <sheetName val="U-1 (2)"/>
      <sheetName val="quantity-sales"/>
      <sheetName val="GPA "/>
      <sheetName val="U-1 Analysis"/>
      <sheetName val="xport-cut"/>
      <sheetName val="local-cut (2)"/>
      <sheetName val="U-2 "/>
      <sheetName val="U2-1"/>
      <sheetName val="Costing-Test"/>
      <sheetName val="quantity-COGS"/>
      <sheetName val="purchase-cutoff"/>
      <sheetName val="U-3 (2)"/>
      <sheetName val="U-4 (2)"/>
      <sheetName val="U-5 (2)"/>
      <sheetName val="U-5-1"/>
      <sheetName val="i test"/>
      <sheetName val="Tax Rec"/>
      <sheetName val="NDE-i"/>
      <sheetName val="PPE-fis"/>
      <sheetName val="lease-forex"/>
      <sheetName val="FSC- Lease Rec"/>
      <sheetName val="monetary"/>
      <sheetName val="FPR"/>
      <sheetName val="PTTU P &amp; L 2002"/>
      <sheetName val="APX. 1 &amp; 5"/>
      <sheetName val="APX. 2 &amp; 3"/>
      <sheetName val="APX. 4"/>
      <sheetName val="APX. 6"/>
      <sheetName val="APX. 6 Addition (Audit)"/>
      <sheetName val="APX. 7"/>
      <sheetName val="APX. 8"/>
      <sheetName val="APX. 9"/>
      <sheetName val="APX.9 (Audit)"/>
      <sheetName val="APX. 10"/>
      <sheetName val="APX. 11"/>
      <sheetName val="APX. 12"/>
      <sheetName val="APX. 13"/>
      <sheetName val="APX. 14"/>
      <sheetName val="APX. 15"/>
      <sheetName val="APX. 16"/>
      <sheetName val="APX. 17"/>
      <sheetName val="Neraca 31 Des 2007"/>
      <sheetName val="K-Memo"/>
      <sheetName val="K-Flow"/>
      <sheetName val="FA Addition"/>
      <sheetName val="K-1 Land"/>
      <sheetName val="K-2 CIP"/>
      <sheetName val="K-3 140,150,151 Motor veh own"/>
      <sheetName val="K-4 160 Computer"/>
      <sheetName val="K-5 170 &amp; 180 Office &amp; Equip"/>
      <sheetName val="K-6 Plant &amp; equip"/>
      <sheetName val="K-7 vehicle leased"/>
      <sheetName val="K-8 110 Plant &amp; equip"/>
      <sheetName val=" FA Sample"/>
      <sheetName val="2004 htm"/>
      <sheetName val="Lamp tax calc"/>
      <sheetName val="Lamp tax calc 08"/>
      <sheetName val="Mata uang Asing"/>
      <sheetName val="Kas dan Setara"/>
      <sheetName val="Uang M dan Biaya Dibayar dimuka"/>
      <sheetName val="Beban Ditangguhkan"/>
      <sheetName val="Beban yg Masih H. Dibayar"/>
      <sheetName val="Pen. Ditangguhkan"/>
      <sheetName val="Uang Jaminan Penyewa"/>
      <sheetName val="Hutang kpd P. Saham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antor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NONBANGUNAN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Detail CF 2010 Budget "/>
      <sheetName val="WIM1"/>
      <sheetName val="WIM2"/>
      <sheetName val="BIC"/>
      <sheetName val="JL INTAN"/>
      <sheetName val="KKP_II_2_2_1_2"/>
      <sheetName val="GLRCTB10"/>
      <sheetName val="ark 09"/>
      <sheetName val="ark 09New"/>
      <sheetName val="Lamp tax Calc09 280210"/>
      <sheetName val="summary DTA"/>
      <sheetName val="Prop Inv"/>
      <sheetName val="Aktiva Tetap old"/>
      <sheetName val="Pendptn Sewa + Rev Client"/>
      <sheetName val="Pdpt Sewa fr client"/>
      <sheetName val="Lamp tax calc 250209 Revs"/>
      <sheetName val="Lamp tax calc 250209"/>
      <sheetName val="lamp tax calc Old 150210"/>
      <sheetName val="COVER DRAFT "/>
      <sheetName val="BULAN PERIODE"/>
      <sheetName val="A.RATIO(1)"/>
      <sheetName val="NERACA(2)"/>
      <sheetName val="RL(3)"/>
      <sheetName val="ARUSKAS bulanan(4)"/>
      <sheetName val="ARUSKAS12BLN(5)"/>
      <sheetName val="PENJ.NRC(6-7)"/>
      <sheetName val="Pers Bahan Penunjang(8)"/>
      <sheetName val="AKT-TETAP(9)"/>
      <sheetName val="Lamp.UM Kernel(10)"/>
      <sheetName val="DP SUPPLIER(11)"/>
      <sheetName val="Lamp. Hut. Dagang kernel(12-13)"/>
      <sheetName val="Lamp. Hut Suplier(14-15)"/>
      <sheetName val="LAP PENJ REVISI(17)"/>
      <sheetName val="Rincian HPP(18)"/>
      <sheetName val="Laporan Laba Rugi(16)"/>
      <sheetName val="HPP(19)"/>
      <sheetName val="HPPENJ(20)"/>
      <sheetName val="STOCK(21)"/>
      <sheetName val="MP HPP"/>
      <sheetName val="KARTU PIUTANG "/>
      <sheetName val="Hutang Supplier Dll"/>
      <sheetName val="TBPEB05"/>
      <sheetName val="TB BIAYA2 LINK KE LAP LABA RUGI"/>
      <sheetName val="TB BPL &amp; BPTL LINK KE RINCI HPP"/>
      <sheetName val="ACCRUE ONGKOS ANGKUT PKO &amp; PKE"/>
      <sheetName val="FA Mar 05"/>
      <sheetName val="DATA AP"/>
      <sheetName val="NERACA(TAHUNAN 2)"/>
      <sheetName val="RL(Tahunan 3)"/>
      <sheetName val="HPP KOMPARATIF"/>
      <sheetName val="REKON PPN KELUARAN"/>
      <sheetName val="PERTAMINA"/>
      <sheetName val="MP REV PENJ INV 069"/>
      <sheetName val="PERSEDIAAN BAHAN PENUNJANG"/>
      <sheetName val="HPP_19_"/>
      <sheetName val="AA.5-Atc"/>
      <sheetName val="AA.5.1-PBC"/>
      <sheetName val="Atch AA.4 "/>
      <sheetName val="Data Bunga BKP"/>
      <sheetName val="Atch AA.3 "/>
      <sheetName val="Atch. AA.2"/>
      <sheetName val="AA.2.1"/>
      <sheetName val="Atch. AA.1"/>
      <sheetName val="AA.1.1(2) BNI"/>
      <sheetName val="SHM-DES-2005"/>
      <sheetName val="DPS-KSEI-DES 05"/>
      <sheetName val="SHM1205"/>
      <sheetName val="Biaya PIR"/>
      <sheetName val="Hsl-Pen"/>
      <sheetName val="sat-baru"/>
      <sheetName val="infras"/>
      <sheetName val="CHEK"/>
      <sheetName val="BMP"/>
      <sheetName val="Cash-print"/>
      <sheetName val="BOT"/>
      <sheetName val="tt-biaya"/>
      <sheetName val="Data Prod_Graf"/>
      <sheetName val="GRAFTANKOS"/>
      <sheetName val="Data SRL"/>
      <sheetName val="Data Cost1"/>
      <sheetName val="Dt Breakdown"/>
      <sheetName val="PK Olah"/>
      <sheetName val="PK RM"/>
      <sheetName val="Graf SRL"/>
      <sheetName val="PCr"/>
      <sheetName val="Janload"/>
      <sheetName val="GRAF COST"/>
      <sheetName val="DATA COST"/>
      <sheetName val="LA02"/>
      <sheetName val="LA03"/>
      <sheetName val="LAJan"/>
      <sheetName val="LAFeb"/>
      <sheetName val="LAMar"/>
      <sheetName val="Slow"/>
      <sheetName val="Fast"/>
      <sheetName val="Dead"/>
      <sheetName val="Olah"/>
      <sheetName val="MONITOR"/>
      <sheetName val="BBM"/>
      <sheetName val="po-ho"/>
      <sheetName val="SPB-HO"/>
      <sheetName val="LAY"/>
      <sheetName val="per team"/>
      <sheetName val="SAROLANGUN"/>
      <sheetName val="hasil nilai"/>
      <sheetName val="BERITA ACARA"/>
      <sheetName val="AKHIR"/>
      <sheetName val="COV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HITAM ULU"/>
      <sheetName val="BELUM A tg"/>
      <sheetName val="REKAP SRL"/>
      <sheetName val="BELUM A  SAROLANGUN"/>
      <sheetName val="BELUM A  MERANGIN"/>
      <sheetName val="BELUM &quot;A&quot;"/>
      <sheetName val="REKAP MRG"/>
      <sheetName val="COVERR"/>
      <sheetName val="ULAS"/>
      <sheetName val="01"/>
      <sheetName val="01a"/>
      <sheetName val="New assumption"/>
      <sheetName val="AF (1)"/>
      <sheetName val="Peralatan juli 2009"/>
      <sheetName val="Data Pembanding"/>
      <sheetName val="List Mesin"/>
      <sheetName val="Hit Bangunan"/>
      <sheetName val="AF"/>
      <sheetName val="Nilai Tanah"/>
      <sheetName val="SRN PLKP"/>
      <sheetName val="Areal Tanam"/>
      <sheetName val="5R-B"/>
      <sheetName val="06"/>
      <sheetName val="1 - Laporan CILAKI  -  OK"/>
      <sheetName val="2 - cileles  -  ok"/>
      <sheetName val="3 - BAYAH  -  OK"/>
      <sheetName val="4 - TUGU  -  OK"/>
      <sheetName val="5 - CIKEMBAR  OK"/>
      <sheetName val="CIPARI - CILACAP"/>
      <sheetName val="REKAP NILAI"/>
      <sheetName val="DCF KARET"/>
      <sheetName val="indks"/>
      <sheetName val="Data Tan"/>
      <sheetName val="Data Banding TNH"/>
      <sheetName val="D-f"/>
      <sheetName val="JANUARI 1"/>
      <sheetName val="JANUARI 2"/>
      <sheetName val="Mandays"/>
      <sheetName val="Rekap TBM"/>
      <sheetName val="CPT_TM_NORMA"/>
      <sheetName val="RAWAT"/>
      <sheetName val="Produksi Inti"/>
      <sheetName val="Field Cost_TM"/>
      <sheetName val="01_CWM  Circle Weeding Manual "/>
      <sheetName val="02_CPT Chemist"/>
      <sheetName val="03_Rawat Path Chemis"/>
      <sheetName val="04_Buat Path Manual"/>
      <sheetName val="05_Buat Rawat TPH Manual"/>
      <sheetName val="06_Weeding Gwg. Manual (DAK)"/>
      <sheetName val="07_Weeding Gwg Chemist"/>
      <sheetName val="08_Spot Lalang"/>
      <sheetName val="09_Wiping Lalang"/>
      <sheetName val="10_Prunning"/>
      <sheetName val="11_Kastrasi Ablasi"/>
      <sheetName val="12_Deteksi EWS"/>
      <sheetName val="13_Sensus Pokok"/>
      <sheetName val="14_Sensus Produksi"/>
      <sheetName val="15_Konsolidasi Pokok Doyong"/>
      <sheetName val="16_Pemupukan Ure_TSPdll"/>
      <sheetName val="17_Pemupukan Tan.Kos"/>
      <sheetName val="TBM 0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TIMBANG BRONDOLAN"/>
      <sheetName val="PANEN"/>
      <sheetName val="RAB2008 Bukit"/>
      <sheetName val="HK_08"/>
      <sheetName val="wlalang"/>
      <sheetName val="NormaTBM"/>
      <sheetName val="TBM0"/>
      <sheetName val="Norma CPT TBM"/>
      <sheetName val="Norma CPT TM"/>
      <sheetName val="OPENING"/>
      <sheetName val="NORMA_PN"/>
      <sheetName val="NORMA1_TBM"/>
      <sheetName val="CPT TM"/>
      <sheetName val="8B.Biaya Umum (2)"/>
      <sheetName val="10B.Asset Non Tanaman (2)"/>
      <sheetName val="1.SETUP"/>
      <sheetName val="2.1.Asumsi Dasar"/>
      <sheetName val="2.2.Asumsi Dasar BLA"/>
      <sheetName val="2B.Nursery (baru)"/>
      <sheetName val="2B.Nursery (baru) (2)"/>
      <sheetName val="2B.1.Nursery (Existing)"/>
      <sheetName val="2B.1.Nursery (Existing)1"/>
      <sheetName val="3.Areal Stetmen"/>
      <sheetName val="1B.Land Clearing"/>
      <sheetName val="3B.Immature"/>
      <sheetName val="4.Master Block LC"/>
      <sheetName val="4B.Mature"/>
      <sheetName val="5.Master Block Tanaman"/>
      <sheetName val="5B.Gaji MANDOR"/>
      <sheetName val="6.Organisasi"/>
      <sheetName val="6B.Gaji KEBUN"/>
      <sheetName val="7.Cost Center"/>
      <sheetName val="7B.Gaji NON KEBUN"/>
      <sheetName val="8.Kendaraan"/>
      <sheetName val="8B.Biaya Umum"/>
      <sheetName val="9.WORKSHOP"/>
      <sheetName val="9B.INFRASTRUKTUR"/>
      <sheetName val="10.Machine"/>
      <sheetName val="10B.Asset Non Tanaman"/>
      <sheetName val="11.Stasiun PKS"/>
      <sheetName val="11B.Material PKS"/>
      <sheetName val="12.Profil Produksi"/>
      <sheetName val="12.B.Pembebasan Lahan"/>
      <sheetName val="13.Sejarah Produksi"/>
      <sheetName val="13.B.Perizinan"/>
      <sheetName val="14.Yield Distribution "/>
      <sheetName val="14B.HK RAWAT"/>
      <sheetName val="16.Rekomendasi Pupuk Bibit"/>
      <sheetName val="17.Pupuk TBM"/>
      <sheetName val="18.Rekomendasi Pupuk TM"/>
      <sheetName val="19.PERUN &amp; JALAN"/>
      <sheetName val="20.PARIT"/>
      <sheetName val="21.JEMBATAN"/>
      <sheetName val="22.BANGUNAN"/>
      <sheetName val="23.FSLTS KEBUN"/>
      <sheetName val="24.STS PERUMAHAN"/>
      <sheetName val="25.STS SARANA HRD"/>
      <sheetName val="26.STS VH&amp;HE"/>
      <sheetName val="27.STATUS INFRA"/>
      <sheetName val="28.Bibitan KS"/>
      <sheetName val="29.Bibitan Karet"/>
      <sheetName val="30.Prod Oil Palm"/>
      <sheetName val="31.Prod Rubber"/>
      <sheetName val="32.1.Harga pupuk"/>
      <sheetName val="32.2.Harga agrochemical"/>
      <sheetName val="32.3.Harga tools"/>
      <sheetName val="33.Harga kontraktor"/>
      <sheetName val="BA-TAPAK RUMAH"/>
      <sheetName val="BA-KOLAM BBT.II"/>
      <sheetName val="BA-LUBANG TANAM"/>
      <sheetName val="REK ACTUAL BA JUN"/>
      <sheetName val="BA Umum"/>
      <sheetName val="BA 0540"/>
      <sheetName val="REK KEB 4"/>
      <sheetName val="REK KEB 3"/>
      <sheetName val="REK KEB 2"/>
      <sheetName val="REK KEB 1"/>
      <sheetName val="BA-RM.TEKNIK"/>
      <sheetName val="BA-RINTIS"/>
      <sheetName val="BA-JALAN"/>
      <sheetName val="BA-JEMBATAN"/>
      <sheetName val="BA-PARIT"/>
      <sheetName val="BA-PINTU AIR"/>
      <sheetName val="G10-03-04"/>
      <sheetName val="G10-05-06"/>
      <sheetName val="G10-07-08"/>
      <sheetName val="BAYAR-ARDES"/>
      <sheetName val="G10-11-12"/>
      <sheetName val="G10-13-14"/>
      <sheetName val="G10-15-16"/>
      <sheetName val="BAYAR-MUS"/>
      <sheetName val="Ba Bbt_01"/>
      <sheetName val="Ba Bbt_02"/>
      <sheetName val="REK KEB GBSM"/>
      <sheetName val="Grand_Sum"/>
      <sheetName val="Twin Flip"/>
      <sheetName val="Roller Coaster"/>
      <sheetName val="Daf. Isi "/>
      <sheetName val="An-Str "/>
      <sheetName val="An-Finsh"/>
      <sheetName val="Hrg Besi"/>
      <sheetName val="(I-2)1.2"/>
      <sheetName val="(I-4)1.4"/>
      <sheetName val="(I-2)1.2 (2)"/>
      <sheetName val="(1-1)1.1@ Pemutihan"/>
      <sheetName val="(I-4)1.4 (2)"/>
      <sheetName val="(I-3)1.3"/>
      <sheetName val="(II-2)2.2.1 (2)"/>
      <sheetName val="(II-2)2.2.1"/>
      <sheetName val="(II-6)2.2.6"/>
      <sheetName val="(II-6)2.2.7"/>
      <sheetName val="(II-1) 2.1"/>
      <sheetName val="(II-4)2.2.3"/>
      <sheetName val="(II-5)2.2.4 (2)"/>
      <sheetName val="(II-3)2.2.2"/>
      <sheetName val="(II-8)2.2.8"/>
      <sheetName val="(III-1)3.1"/>
      <sheetName val="(III-2)3.2"/>
      <sheetName val="(II-7)2.2.7"/>
      <sheetName val="(II-9)2.2.9"/>
      <sheetName val="(II-10)2.2.10"/>
      <sheetName val="(III-3)3.3"/>
      <sheetName val="(III-3)3.4"/>
      <sheetName val="(IV-1)4.1."/>
      <sheetName val="CALC_SHEET"/>
      <sheetName val="rekap versi cco"/>
      <sheetName val="A.Pendahuluan"/>
      <sheetName val="A.Pekerjaan&amp;Umum"/>
      <sheetName val="B.Dam"/>
      <sheetName val="C.Intake"/>
      <sheetName val="D.Headrace"/>
      <sheetName val="E.Sandtrap"/>
      <sheetName val="F.Headpond"/>
      <sheetName val="G.Penstock"/>
      <sheetName val="H.Power House"/>
      <sheetName val="I.Tailrace"/>
      <sheetName val="J.Rumah Operator "/>
      <sheetName val="K.Jalan Akses"/>
      <sheetName val="projection sd sept 10"/>
      <sheetName val="RAB BARU"/>
      <sheetName val="uat orek2an (2)"/>
      <sheetName val="uat orek2an"/>
      <sheetName val="rekap buat hit"/>
      <sheetName val="rekap 1"/>
      <sheetName val="orek2an"/>
      <sheetName val="rekap  (3)"/>
      <sheetName val="rekap  (2)"/>
      <sheetName val="KONTROL"/>
      <sheetName val="s-curve"/>
      <sheetName val="s-c JAN"/>
      <sheetName val="s-curve (3)"/>
      <sheetName val="s-curve (2)"/>
      <sheetName val="daftar harsat"/>
      <sheetName val="daftar kuantitas"/>
      <sheetName val="projection sd sept 10 (2)"/>
      <sheetName val="RAB bend sd pembuang"/>
      <sheetName val="PO -PT HK"/>
      <sheetName val="PELUANG PENARIKAN"/>
      <sheetName val="PERBD. FSK,INV,PENG"/>
      <sheetName val="PENG. BIAYA"/>
      <sheetName val="REKAP INVES &amp; PENG. BIAYA - GAB"/>
      <sheetName val="REKAP PROG. FISIK-GABUNGAN"/>
      <sheetName val="REKAP PROG.FISIK-RAB BARU"/>
      <sheetName val="RINC. PROG. FISIK-RAB KONVERSI"/>
      <sheetName val="RINC. PROG. FISIK-RAB BARU (HK)"/>
      <sheetName val="RINC. PROG. FSK-RAB LAMA (ASLI)"/>
      <sheetName val="STD-Plasma"/>
      <sheetName val="STD-Inti "/>
      <sheetName val="Invest-inti"/>
      <sheetName val="Cempaga-Finance"/>
      <sheetName val="CAJE 2005"/>
      <sheetName val="Client Adj Gress"/>
      <sheetName val="BS-DTA"/>
      <sheetName val="BS-Others"/>
      <sheetName val="BS-Royalty"/>
      <sheetName val="AY-Bank"/>
      <sheetName val="AY-Machine"/>
      <sheetName val="AY-Reclass-add"/>
      <sheetName val="AY-Others"/>
      <sheetName val="MF-Reclass"/>
      <sheetName val="MF-Reval"/>
      <sheetName val="MF-Correction"/>
      <sheetName val="Sales-Incentive"/>
      <sheetName val="Client-Adj"/>
      <sheetName val="PO-COMMITMENT"/>
      <sheetName val="Final"/>
      <sheetName val="CAJE 2005_not update"/>
      <sheetName val="Fwrd Ctr MM"/>
      <sheetName val="132006 Mkt Rights"/>
      <sheetName val="Loan Dec"/>
      <sheetName val="133004"/>
      <sheetName val="Refund Deposit"/>
      <sheetName val="TMF Aventis"/>
      <sheetName val="Sales N"/>
      <sheetName val="133005"/>
      <sheetName val="133001"/>
      <sheetName val="131002 Oth AR"/>
      <sheetName val="132001 Prepaid Rent"/>
      <sheetName val="132003 Prepaid Oth"/>
      <sheetName val="133002 Adv Empl"/>
      <sheetName val="132004 Prepaid Import"/>
      <sheetName val="235003 Accr Mkt Exp"/>
      <sheetName val="Prepaid Hrd &amp; Loan"/>
      <sheetName val="Acc Liab Inv"/>
      <sheetName val="126001-AR DVL"/>
      <sheetName val="Payroll Recon"/>
      <sheetName val="CIP FA 1"/>
      <sheetName val="Emma recon"/>
      <sheetName val="Disc Nov02"/>
      <sheetName val="Audit Aje#5"/>
      <sheetName val="Audit Aje"/>
      <sheetName val="Client Aje1"/>
      <sheetName val="Client Aje"/>
      <sheetName val="Royalty10"/>
      <sheetName val="JV Promo Comm10"/>
      <sheetName val="recon bca jkt"/>
      <sheetName val="By Adm BCA"/>
      <sheetName val="Temporary Receipt"/>
      <sheetName val="recl cc-FA"/>
      <sheetName val="sold rack steel"/>
      <sheetName val="settl PC-1459"/>
      <sheetName val="recl CC"/>
      <sheetName val="recl JV437"/>
      <sheetName val="SL1202"/>
      <sheetName val="PBC-Consol"/>
      <sheetName val="By currency"/>
      <sheetName val="PDN 1"/>
      <sheetName val="A4-Holding"/>
      <sheetName val="ATMR&amp;CAR"/>
      <sheetName val="Cash flow-BO"/>
      <sheetName val="Cash flow-Consol"/>
      <sheetName val="BIIF jkt"/>
      <sheetName val="BII Fin HK-BS"/>
      <sheetName val="BII Fin HK-RL"/>
      <sheetName val="CLA"/>
      <sheetName val="Gov_Bonds"/>
      <sheetName val="MODAL &amp; CF"/>
      <sheetName val="Segment"/>
      <sheetName val="SegAktiva"/>
      <sheetName val="SegPasiva"/>
      <sheetName val="SegR-L"/>
      <sheetName val="AJE (old)"/>
      <sheetName val="Jurnal AAl &gt; cost ke equity"/>
      <sheetName val="jornal"/>
      <sheetName val="RL-PRINT"/>
      <sheetName val="RL-Product"/>
      <sheetName val="Inv-PT"/>
      <sheetName val="Segmen Usaha"/>
      <sheetName val="Makro"/>
      <sheetName val="B4.1.4.3.3"/>
      <sheetName val="01-adm"/>
      <sheetName val="02"/>
      <sheetName val="03"/>
      <sheetName val="04"/>
      <sheetName val="07"/>
      <sheetName val="09"/>
      <sheetName val="K.2.2.1"/>
      <sheetName val="N.2.1"/>
      <sheetName val="U.2.1.2 - old"/>
      <sheetName val="U.2.1.2"/>
      <sheetName val="U.2.1.3"/>
      <sheetName val="U.2.2"/>
      <sheetName val="U.2.2.1"/>
      <sheetName val="U.3.1"/>
      <sheetName val="Beginning Balance"/>
      <sheetName val="TB MYOB"/>
      <sheetName val="source"/>
      <sheetName val="TB0"/>
      <sheetName val="BalanceSheet"/>
      <sheetName val="IncomeStatement"/>
      <sheetName val="Bank Rec"/>
      <sheetName val="Prepaid 25.2"/>
      <sheetName val="Due From_Int. Co.2"/>
      <sheetName val="Prepaid VAT local.2"/>
      <sheetName val="Prepaid VAT import.2"/>
      <sheetName val="Prepaid 22.2"/>
      <sheetName val="Fiscal Tax.2"/>
      <sheetName val="Prepaid Expenses.2"/>
      <sheetName val="Deposits.2"/>
      <sheetName val="Fixed Assets.,2"/>
      <sheetName val="Inventory Dec"/>
      <sheetName val="AP.2"/>
      <sheetName val="OP-interco.1"/>
      <sheetName val="Accruals.2"/>
      <sheetName val="WHT PPh23.2"/>
      <sheetName val="Tax-others.2"/>
      <sheetName val="Accr-Tax 26"/>
      <sheetName val="VAT Payable.2"/>
      <sheetName val="Sales.2"/>
      <sheetName val="AR Dec.2"/>
      <sheetName val="Shareholder's Equity"/>
      <sheetName val="cadillac"/>
      <sheetName val="avanza"/>
      <sheetName val="Salary Allocation"/>
      <sheetName val="Piutang Sewa '05"/>
      <sheetName val="PDMK"/>
      <sheetName val="Rollfwd"/>
      <sheetName val="RPO"/>
      <sheetName val="opname sample"/>
      <sheetName val="Additions"/>
      <sheetName val="TOD"/>
      <sheetName val="CONTENTS"/>
      <sheetName val="C.1 Bank Guarantee"/>
      <sheetName val="C.2 Revaluate test"/>
      <sheetName val="C.3 Cut Off Cash"/>
      <sheetName val="Ref"/>
      <sheetName val="Pos326"/>
      <sheetName val="C RF - 1"/>
      <sheetName val="C RF - 2"/>
      <sheetName val="C Lead "/>
      <sheetName val="C.4.1"/>
      <sheetName val="C4.2"/>
      <sheetName val="C.5"/>
      <sheetName val="C.6"/>
      <sheetName val="Countries FIs"/>
      <sheetName val="By CFA Region"/>
      <sheetName val="4_1 Placement w_o_b"/>
      <sheetName val="ShareCapital "/>
      <sheetName val="Fiscal Computation"/>
      <sheetName val="FA_Dep"/>
      <sheetName val="FA SOLD"/>
      <sheetName val="FA_Buy(Sell)'06"/>
      <sheetName val="Software"/>
      <sheetName val="HHFN1030-300906"/>
      <sheetName val="CRI1"/>
      <sheetName val="BSHJE"/>
      <sheetName val="SCORE"/>
      <sheetName val="ICBS"/>
      <sheetName val="CONSOL"/>
      <sheetName val="WC_Boxes"/>
      <sheetName val="Working Capital P&amp;L"/>
      <sheetName val="Forecast"/>
      <sheetName val="WC Indirects"/>
      <sheetName val="WoCa Output"/>
      <sheetName val="BLO Working Capital"/>
      <sheetName val="WC_KPIa"/>
      <sheetName val="WoCa KPI sheet"/>
      <sheetName val="Indirect Adj."/>
      <sheetName val="Essbase Retrieve"/>
      <sheetName val="Cust Ops Retrieve"/>
      <sheetName val="GMW Retrieve"/>
      <sheetName val="WoCa Forecast"/>
      <sheetName val="Interbank detail"/>
      <sheetName val="APP_2_3"/>
      <sheetName val="__TEU"/>
      <sheetName val="CF-C"/>
      <sheetName val="CF-P"/>
      <sheetName val="Restructuring"/>
      <sheetName val="CAJE-CRJE BLOK I"/>
      <sheetName val="FA-C (2)"/>
      <sheetName val="Freeze Account"/>
      <sheetName val="GT_Custom"/>
      <sheetName val="Middle, retail,Mikro&amp;credt card"/>
      <sheetName val="Middle"/>
      <sheetName val="Micro"/>
      <sheetName val="ChartData"/>
      <sheetName val="Major assumption"/>
      <sheetName val="fin-proj (KRW)_combined"/>
      <sheetName val="fin-proj (KRW)_HPH_Total"/>
      <sheetName val="fin-proj (KRW)_HJS_Total"/>
      <sheetName val="fin-proj (US$)_combined"/>
      <sheetName val="IRR calc_combined"/>
      <sheetName val="Equipment Loan_combined"/>
      <sheetName val="loan schedule_combined"/>
      <sheetName val="SF Return"/>
      <sheetName val="SF Project cost"/>
      <sheetName val="SF CF"/>
      <sheetName val="SF P&amp;L"/>
      <sheetName val="Sen table"/>
      <sheetName val="PIP"/>
      <sheetName val="Revenue_HJS_Gamman"/>
      <sheetName val="Costs HJS_Gamman"/>
      <sheetName val="capex &amp; asset_HJS_Gamman"/>
      <sheetName val="fin-proj (KRW)_HJS_Gamman"/>
      <sheetName val="Revenue_Gamcheon"/>
      <sheetName val="Costs_Gamcheon"/>
      <sheetName val="capex &amp; asset_Gamcheon"/>
      <sheetName val="fin-proj (KRW)_Gamcheon"/>
      <sheetName val="Revenue_HJS_KY"/>
      <sheetName val="Costs HJS_KY"/>
      <sheetName val="capex &amp; asset_HJS_KY"/>
      <sheetName val="fin-proj (US$)_HJS_Total"/>
      <sheetName val="IRR calc_HJS"/>
      <sheetName val="fin-proj (KRW)_HJS_KY"/>
      <sheetName val="Revenue_HPH_Gamman"/>
      <sheetName val="Costs HPH_Gamman"/>
      <sheetName val="capex &amp; asset_HPH_Gamman"/>
      <sheetName val="fin-proj (KRW)_HPH_Gamman"/>
      <sheetName val="Revenue_HBCT"/>
      <sheetName val="Costs HBCT"/>
      <sheetName val="capex &amp; asset_HBCT"/>
      <sheetName val="fin-proj (KRW)_HBCT"/>
      <sheetName val="Major assumption HPH"/>
      <sheetName val="Revenue_HPH_KY"/>
      <sheetName val="Costs HPH_KY"/>
      <sheetName val="capex &amp; asset_HPH_KY"/>
      <sheetName val="fin-proj (KRW)_HPH_KY"/>
      <sheetName val="fin-proj (US$)_HPH_Total"/>
      <sheetName val="IRR calc_HPH"/>
      <sheetName val="Equipment Loan HPH"/>
      <sheetName val="loan schedule_HPH"/>
      <sheetName val="mortality_yr_d"/>
      <sheetName val="mort_mth_d"/>
      <sheetName val="mortality_yr_i"/>
      <sheetName val="mort_mth_i"/>
      <sheetName val="mortality_yr_w"/>
      <sheetName val="mort_mth_w"/>
      <sheetName val="mort_mth_md"/>
      <sheetName val="MD_Tbl"/>
      <sheetName val="Hit_Usia"/>
      <sheetName val="salary_factor"/>
      <sheetName val="Benefit_Tab_LSA_payment"/>
      <sheetName val="Benefit_Tab_LSA"/>
      <sheetName val="Parameter_text"/>
      <sheetName val="Data_kary"/>
      <sheetName val="Data_Analisa"/>
      <sheetName val="PSAK"/>
      <sheetName val="check_hasil_NKKIPt_1 to NKKIPt"/>
      <sheetName val="check_hasil_LSA"/>
      <sheetName val="Data_kary_NKKIP_ROR"/>
      <sheetName val="NKKIPt&amp;deltaBen"/>
      <sheetName val="NKKIP_ROR"/>
      <sheetName val="Data_kary_PSC"/>
      <sheetName val="PSC"/>
      <sheetName val="PSC_hasil"/>
      <sheetName val="data_berhenti 2005"/>
      <sheetName val="Discl_present"/>
      <sheetName val="Disclosure"/>
      <sheetName val="AGL_presntn"/>
      <sheetName val="Discl_present_lsa"/>
      <sheetName val="Disclosure_LSA"/>
      <sheetName val="AGL_presntn_lsa"/>
      <sheetName val="Disclosure_Data"/>
      <sheetName val="Disclosure_PSC"/>
      <sheetName val="Bank Conf"/>
      <sheetName val="Detail AR"/>
      <sheetName val="Confir"/>
      <sheetName val="PSL 21 sept 2009"/>
      <sheetName val="PPh 25"/>
      <sheetName val="pasal 4 ayat (2)"/>
      <sheetName val="Data_lippo"/>
      <sheetName val="Lead-BS"/>
      <sheetName val="Bank Recon"/>
      <sheetName val="Search for Unrecorded Liabilty"/>
      <sheetName val="FA Movement"/>
      <sheetName val="Asset Verification"/>
      <sheetName val="Acct"/>
      <sheetName val="Activity"/>
      <sheetName val="Batam1apr00"/>
      <sheetName val="Batam"/>
      <sheetName val="AcrApr"/>
      <sheetName val="0001"/>
      <sheetName val="9912"/>
      <sheetName val="9911"/>
      <sheetName val="9910"/>
      <sheetName val="9909"/>
      <sheetName val="9908"/>
      <sheetName val="BatamFcst"/>
      <sheetName val="AcrMay"/>
      <sheetName val="Aje&amp;Rje"/>
      <sheetName val="H1-A"/>
      <sheetName val="H1-B"/>
      <sheetName val="H1-C"/>
      <sheetName val="I1-A"/>
      <sheetName val="I1-B"/>
      <sheetName val="L1-A1"/>
      <sheetName val="L1-A2"/>
      <sheetName val="L1-B"/>
      <sheetName val="L1-C"/>
      <sheetName val="COGS Segment"/>
      <sheetName val="TBDEC03"/>
      <sheetName val="TBOCT03"/>
      <sheetName val="TBDEC02"/>
      <sheetName val="AP-PLANNING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Transaksi Hubungan Istimewa"/>
      <sheetName val="rokok promosi"/>
      <sheetName val="rokok rusak"/>
      <sheetName val="coa(input saldo awal)"/>
      <sheetName val="cek akun"/>
      <sheetName val="Rekonsel"/>
      <sheetName val="TB SPRP"/>
      <sheetName val="C - Cash on hand and in banks"/>
      <sheetName val="C.1 - CIB"/>
      <sheetName val="C.2 - Unusual Bank"/>
      <sheetName val="D - Short-term investment"/>
      <sheetName val="D.1 - STI"/>
      <sheetName val="E.1 - Trade receivable"/>
      <sheetName val="E.1.1 - Accounts receivable"/>
      <sheetName val="E.2 -Other receivable (payable)"/>
      <sheetName val="E.2.2 - Rekap NR"/>
      <sheetName val="E.2.2.1 - NR-ISM"/>
      <sheetName val="E.2.1 - Recap SKP Objection"/>
      <sheetName val="F - Inventories"/>
      <sheetName val="F.3 - Deadstock"/>
      <sheetName val="F.4 - GLVsMaster"/>
      <sheetName val="F6.2PKS Prod"/>
      <sheetName val="F.8.1 - Inventory"/>
      <sheetName val="F.8.2. - COMWIL"/>
      <sheetName val="G -Prepaid exp, tax and advance"/>
      <sheetName val="G.1-Prepai PPh23"/>
      <sheetName val="K - Fixed Assets"/>
      <sheetName val="K.1.2 - Costha"/>
      <sheetName val="K.1.2.1 - Cost pemutihan"/>
      <sheetName val="K.1.2.2 - Accum Pemutihan"/>
      <sheetName val="K.1.2.3 - Ha Putih"/>
      <sheetName val="K.1.2.4 - Rekap SPK LC"/>
      <sheetName val="J - Other Assets"/>
      <sheetName val="J.2 - Def Landright"/>
      <sheetName val="J.1 - Nusrsery"/>
      <sheetName val="J.5.1 - Pension"/>
      <sheetName val="M - Notes Payable"/>
      <sheetName val="M.1 - Rekap NP&amp;bunga"/>
      <sheetName val="M1.2 - NP SP"/>
      <sheetName val="M.1.1 - NP ISM"/>
      <sheetName val="M.1 3 - NP IP"/>
      <sheetName val="N - AP trade"/>
      <sheetName val="O - Taxes payable"/>
      <sheetName val="O.1 - Vat"/>
      <sheetName val="P.1 - Accrued expense"/>
      <sheetName val="P.2 - Advance from customer"/>
      <sheetName val="Q - Pension Fund"/>
      <sheetName val="R - Deferred tax liabilities"/>
      <sheetName val="T.1 - Unrealized Gain on MF"/>
      <sheetName val="U.1 - Sales"/>
      <sheetName val="U.1.3 - Sales Analytical"/>
      <sheetName val="FFB-PKE Prod"/>
      <sheetName val="FFB Production"/>
      <sheetName val="U.2.1 - cogs"/>
      <sheetName val="U.2.1.1.1 - DC-Analytical"/>
      <sheetName val="U.2.1.1.1.1 - Harvesting"/>
      <sheetName val="U.2.1.1.1.2 - Upkeeping"/>
      <sheetName val="SPK"/>
      <sheetName val="U.2.1.1.1.3 - Manuring"/>
      <sheetName val="Fert Price"/>
      <sheetName val="Alokasi FOH"/>
      <sheetName val="Source MJ"/>
      <sheetName val="U.2.2.4 - Pre-Selling"/>
      <sheetName val="U.2.3.2 - Rent&amp;Elect"/>
      <sheetName val="U.2.4 - Other charges (income)"/>
      <sheetName val="U.2.5 - Dividen"/>
      <sheetName val="CAPEXV"/>
      <sheetName val="SUMMARY-VREVIEW"/>
      <sheetName val="SUMMARY-CAT B2"/>
      <sheetName val="CAPEX IT 2002 - 2006"/>
      <sheetName val="CAPEX BOGOR FACTORY"/>
      <sheetName val="W-RATE"/>
      <sheetName val="Other Receivable non related"/>
      <sheetName val="Inventories1"/>
      <sheetName val="Interest yg akan dikoreksi"/>
      <sheetName val="loan wilmar 3"/>
      <sheetName val="loan sap 3"/>
      <sheetName val="loan sap 4"/>
      <sheetName val="loan BPK"/>
      <sheetName val="loan JJP"/>
      <sheetName val="loan PMJ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GL 01 report 00"/>
      <sheetName val="2001 per GL (2)"/>
      <sheetName val="2001 per month (2)"/>
      <sheetName val="2001 per GL (1)"/>
      <sheetName val=" 2001 per month (1)"/>
      <sheetName val="N o v"/>
      <sheetName val="Income Statm"/>
      <sheetName val="Rek Fiskal"/>
      <sheetName val="Fiscal Rec"/>
      <sheetName val="Rek Fiskal-detail"/>
      <sheetName val="Art.25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2001 per month (1)"/>
      <sheetName val="J a n"/>
      <sheetName val="D e c"/>
      <sheetName val="Txp"/>
      <sheetName val="biaya lain"/>
      <sheetName val="Congress"/>
      <sheetName val="Rent&amp;Taxes"/>
      <sheetName val="assets disposal"/>
      <sheetName val="BIKs"/>
      <sheetName val="Template"/>
      <sheetName val="Calcs"/>
      <sheetName val="SummWk"/>
      <sheetName val="SummMo"/>
      <sheetName val="Newmont #4"/>
      <sheetName val="Freeport McMoran"/>
      <sheetName val="Depreciation  schedule"/>
      <sheetName val="gol1"/>
      <sheetName val="gol2"/>
      <sheetName val="SSP (5)"/>
      <sheetName val="SPM (1195.2)"/>
      <sheetName val="SPM (1195.1)"/>
      <sheetName val="INDUK (BELI)"/>
      <sheetName val="INDUK"/>
      <sheetName val="BIODATA"/>
      <sheetName val="DEPAN"/>
      <sheetName val="LAMP. A3"/>
      <sheetName val="REKAP B2, B4"/>
      <sheetName val="Depreciation &amp; Peny."/>
      <sheetName val="Art. 23 reconciliation"/>
      <sheetName val="BSPL"/>
      <sheetName val="3100"/>
      <sheetName val="3500"/>
      <sheetName val="3550"/>
      <sheetName val="3800"/>
      <sheetName val="4700"/>
      <sheetName val="4800"/>
      <sheetName val="5000"/>
      <sheetName val="6000"/>
      <sheetName val="6100"/>
      <sheetName val="6200"/>
      <sheetName val="6300"/>
      <sheetName val="2nd of 2000"/>
      <sheetName val="Attach-2"/>
      <sheetName val="Attch-3"/>
      <sheetName val="1999-FA"/>
      <sheetName val="@GeneralInfo"/>
      <sheetName val="@Marshal"/>
      <sheetName val="Fiscal Adj"/>
      <sheetName val="@biaya lain-lain"/>
      <sheetName val="@profit - loss"/>
      <sheetName val="@profit - loss (2)"/>
      <sheetName val="@neraca"/>
      <sheetName val="@REC-FISCAL"/>
      <sheetName val="@depr-fisc(1)"/>
      <sheetName val="FA-DEPR"/>
      <sheetName val="VAT-RECON"/>
      <sheetName val="@PPh ps 22"/>
      <sheetName val="@Exit fiscal"/>
      <sheetName val="@PPh 25"/>
      <sheetName val="@Art 23(prepaid)"/>
      <sheetName val="@Pengurus"/>
      <sheetName val="@dftlamp"/>
      <sheetName val="Art21-recon"/>
      <sheetName val="Honorer"/>
      <sheetName val="@final,23,26recon"/>
      <sheetName val="@Art25 calc"/>
      <sheetName val="A-English"/>
      <sheetName val="B-English"/>
      <sheetName val="IDENTITAS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Iktisar koreksi"/>
      <sheetName val="Iktisar koreksi -E"/>
      <sheetName val="DEPRECIATION (E)"/>
      <sheetName val="EXPENSELIST"/>
      <sheetName val="Art.25 Inst."/>
      <sheetName val="Art.25 Inst. (E)"/>
      <sheetName val="Reconcile23"/>
      <sheetName val="Balancesheets-I"/>
      <sheetName val="Balancesheet-E"/>
      <sheetName val="TB1197"/>
      <sheetName val="penyusutan(I)"/>
      <sheetName val="FI-1771-P1"/>
      <sheetName val="FI-1771-P2"/>
      <sheetName val="NOPEMBER"/>
      <sheetName val="REKAP BULANAN"/>
      <sheetName val="21-A"/>
      <sheetName val="data-21-A"/>
      <sheetName val="21-A12"/>
      <sheetName val="Depr 2001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Interface"/>
      <sheetName val="s_annual_fsjun03"/>
      <sheetName val="s_annual_1"/>
      <sheetName val="s_annual_2"/>
      <sheetName val="s_annual_3"/>
      <sheetName val="commissioners"/>
      <sheetName val="d_com"/>
      <sheetName val="expo"/>
      <sheetName val="Avg spread"/>
      <sheetName val="NII"/>
      <sheetName val="exp_deducted"/>
      <sheetName val="roe"/>
      <sheetName val="pfm"/>
      <sheetName val="App 2"/>
      <sheetName val="SUD"/>
      <sheetName val="STB"/>
      <sheetName val="JKK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LMA 7 Peb"/>
      <sheetName val=" LMA 14 Peb"/>
      <sheetName val="LMA 21 Peb"/>
      <sheetName val="LMA 28 Peb"/>
      <sheetName val="Marshall-JSS"/>
      <sheetName val="Marshall-CMA"/>
      <sheetName val="F1771-VI"/>
      <sheetName val="Peny-JSS"/>
      <sheetName val="Peny-CMA"/>
      <sheetName val="TaxCMA"/>
      <sheetName val="TaxJSS"/>
      <sheetName val="PLconsold"/>
      <sheetName val="pph-25"/>
      <sheetName val="25installment"/>
      <sheetName val="Reasonableness test"/>
      <sheetName val="JE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UBLISINDO"/>
      <sheetName val="Art. 25 calc"/>
      <sheetName val="Angsuran PPh 25"/>
      <sheetName val="Marshal-KSO"/>
      <sheetName val="Marshal-MGTI"/>
      <sheetName val="Penyusutan5.1"/>
      <sheetName val="Penyusutan5.2"/>
      <sheetName val="Depr Schedule"/>
      <sheetName val="CIP2000"/>
      <sheetName val="Pemegang saham"/>
      <sheetName val="shareholder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1771-Y I"/>
      <sheetName val="1771-Y E"/>
      <sheetName val="Lampiran (E)"/>
      <sheetName val="Depresiasi (E)"/>
      <sheetName val="B8"/>
      <sheetName val="H1.A"/>
      <sheetName val="H1.B"/>
      <sheetName val="H1.C"/>
      <sheetName val="I1.A"/>
      <sheetName val="I1.B"/>
      <sheetName val="L1.A"/>
      <sheetName val="L1.B"/>
      <sheetName val="L1.C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Marshal (3)"/>
      <sheetName val="Marshal (4)"/>
      <sheetName val="4th of 2001"/>
      <sheetName val="director"/>
      <sheetName val="FA-gainloss"/>
      <sheetName val="Laba-rugi aktiva"/>
      <sheetName val="peny-2001"/>
      <sheetName val="Depr-2001"/>
      <sheetName val="1770-Y"/>
      <sheetName val="4300"/>
      <sheetName val="6700"/>
      <sheetName val="64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Att. 9"/>
      <sheetName val="F1771-1"/>
      <sheetName val="F1771-2"/>
      <sheetName val="F1771-3"/>
      <sheetName val="F1771-4"/>
      <sheetName val="F1771-5"/>
      <sheetName val="Attachment (2)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Corporate Reporter"/>
      <sheetName val="FX Exposure"/>
      <sheetName val="Trial Bal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Cad_Tbs Mob"/>
      <sheetName val="Cad_HPP"/>
      <sheetName val="P&amp;B_Selain_Bunga_2005 (2)"/>
      <sheetName val="Skema jual"/>
      <sheetName val="JUAL_UNIT"/>
      <sheetName val="Angs. Jual_05"/>
      <sheetName val="Plan Piutg 2005"/>
      <sheetName val="Pendap&amp;Beban Lain"/>
      <sheetName val="Rkp Anggaran"/>
      <sheetName val="Penebusan"/>
      <sheetName val="P&amp;B_Selain_Bunga_2005"/>
      <sheetName val="P&amp;B_Selain_Bunga_2004"/>
      <sheetName val="Omzet_Spareparts_2005"/>
      <sheetName val="Omzet_Spareparts_2004"/>
      <sheetName val="Omzet Service"/>
      <sheetName val="Biaya Umum &amp; Adm"/>
      <sheetName val="Biaya Umum &amp; Adm (2)"/>
      <sheetName val="Angs.Bank"/>
      <sheetName val="Hutang Lainnya"/>
      <sheetName val="Bayar Tebus"/>
      <sheetName val="Angs.B.Group"/>
      <sheetName val="Slide by month"/>
      <sheetName val="Breakdown-KPI"/>
      <sheetName val="fin bud OPU Transport"/>
      <sheetName val="KPI Difinisi"/>
      <sheetName val="KPI PER BULAN"/>
      <sheetName val="Financialhighlight"/>
      <sheetName val="Unit Opr"/>
      <sheetName val="Komp. Budget"/>
      <sheetName val="Rev.COGS.OPEX Bizplan 09"/>
      <sheetName val="CM-COST"/>
      <sheetName val="Analisa Revenue"/>
      <sheetName val="Review Tgl 15"/>
      <sheetName val="MPP Bizplan 09"/>
      <sheetName val="Sumber Data"/>
      <sheetName val="MARKETING"/>
      <sheetName val="HR 09"/>
      <sheetName val="HR 08"/>
      <sheetName val="CAPEX KENDRAAN"/>
      <sheetName val="CAPEX NON KENDARAAN"/>
      <sheetName val="NEWDEBT"/>
      <sheetName val="PENJUALAN ASSET"/>
      <sheetName val="TLP"/>
      <sheetName val="TRAINING"/>
      <sheetName val="CUSTUME"/>
      <sheetName val="USI3"/>
      <sheetName val="LIST dn (4)"/>
      <sheetName val="LIST dn (3)"/>
      <sheetName val="LIST dn (2)"/>
      <sheetName val="dwim3 (2)"/>
      <sheetName val="dwim3"/>
      <sheetName val="dwim2"/>
      <sheetName val="DWIM"/>
      <sheetName val="MIRA"/>
      <sheetName val="MITSU (2)"/>
      <sheetName val="MITSU"/>
      <sheetName val="NUSA"/>
      <sheetName val="CABDI"/>
      <sheetName val="SSL"/>
      <sheetName val="SNP (3)"/>
      <sheetName val="SNP (2)"/>
      <sheetName val="SNP"/>
      <sheetName val="CHYSLO (5)"/>
      <sheetName val="CHYSLO (6)"/>
      <sheetName val="CHYSLO (7)"/>
      <sheetName val="CHYSLO (3)"/>
      <sheetName val="CHYSLO (4)"/>
      <sheetName val="CHYSLO (2)"/>
      <sheetName val="CHYSLO"/>
      <sheetName val="BALINDO"/>
      <sheetName val="Lima Saudara (2)"/>
      <sheetName val="Lima Saudara"/>
      <sheetName val="ABP REv"/>
      <sheetName val="dmp"/>
      <sheetName val="CBSP"/>
      <sheetName val="USI"/>
      <sheetName val="DGI"/>
      <sheetName val="MELATY"/>
      <sheetName val="kbm"/>
      <sheetName val="ABP"/>
      <sheetName val="MIGS"/>
      <sheetName val="LIST dn"/>
      <sheetName val="MASTER (2)"/>
      <sheetName val="MINGGUAN"/>
      <sheetName val="Bulan"/>
      <sheetName val="Bulldozer"/>
      <sheetName val="Drill"/>
      <sheetName val="Shovel"/>
      <sheetName val="Excavator"/>
      <sheetName val="Tronton"/>
      <sheetName val="Crusher"/>
      <sheetName val="Handak"/>
      <sheetName val="OLI"/>
      <sheetName val="rata-rata"/>
      <sheetName val="Rencana"/>
      <sheetName val="MARMER"/>
      <sheetName val="TRASS"/>
      <sheetName val="OLI PAKAI"/>
      <sheetName val="SPARE PART"/>
      <sheetName val="OLI HEQ"/>
      <sheetName val="DOR"/>
      <sheetName val="Ref- Curr. code"/>
      <sheetName val="worksheet DBP updated march16"/>
      <sheetName val="CODE,NAME"/>
      <sheetName val="description"/>
      <sheetName val="Marshal -1"/>
      <sheetName val="ING Basis"/>
      <sheetName val="TB 2006"/>
      <sheetName val="Shunde"/>
      <sheetName val="KNIT"/>
      <sheetName val="SCORE_RC_Code"/>
      <sheetName val="K.3.3"/>
      <sheetName val="OFFICE"/>
      <sheetName val="Exc. Rate"/>
      <sheetName val="Order_Nov_w45"/>
      <sheetName val="bantu"/>
      <sheetName val="TAX LIST"/>
      <sheetName val="Journal Template"/>
      <sheetName val="A.4. Trial Balance"/>
      <sheetName val="A.4.1 AKTIVA"/>
      <sheetName val="A.4.2 PASIVA"/>
      <sheetName val="A.4.3 P&amp;L"/>
      <sheetName val=" CAJE"/>
      <sheetName val="C.1 - C-4 Bank Recons"/>
      <sheetName val="C.5 Deposit on call"/>
      <sheetName val="C.6 Bank CO"/>
      <sheetName val="CC. BAnk Confirmation Control"/>
      <sheetName val="E. Lead"/>
      <sheetName val="E-1. Reval Forex"/>
      <sheetName val="E.1.1 SUMMARY  Aging AR"/>
      <sheetName val="E-1.1.1 AGING AR"/>
      <sheetName val="E-2 Mutation Of AR_2"/>
      <sheetName val="E-3 subsequent"/>
      <sheetName val="E-4.SUMARY ROLL FRWRD AR"/>
      <sheetName val="E4.1.PERTAMINA"/>
      <sheetName val="E- 4.2 SCU"/>
      <sheetName val="E-4.3ELMIK"/>
      <sheetName val="E-4.4 EWS"/>
      <sheetName val="E-4.5MDM"/>
      <sheetName val="E-4.6ANADARCO"/>
      <sheetName val="EE. Confirmation control"/>
      <sheetName val="G-1.1 Adv Project - Intrcm"/>
      <sheetName val=" G-1.2 Detail Adv Employee"/>
      <sheetName val="G-1.3AGING ADVANCE"/>
      <sheetName val="G-1.4 Subsequent ADV_EMPY"/>
      <sheetName val=" G-1.5Subsequent ADV_INTCM"/>
      <sheetName val="G-2.1Art 22"/>
      <sheetName val="G2.2Prepaid 23"/>
      <sheetName val="G-2.3Prepaid 25"/>
      <sheetName val="G-2.4PPN"/>
      <sheetName val="K-Lead"/>
      <sheetName val="K-1 Mutasi "/>
      <sheetName val="K-1.1 Detail Acquisition"/>
      <sheetName val="K-1.1.1 detail FA"/>
      <sheetName val="L. Deferred Tax"/>
      <sheetName val="L.1 PPH_BADAN"/>
      <sheetName val="L-1.1 Rincian_Koreksi_Fiscal"/>
      <sheetName val="N. Lead"/>
      <sheetName val="N.1PRHTNGAN AP-KURS DEC 29,2006"/>
      <sheetName val="N.1.1 SUMMARY Aging AP "/>
      <sheetName val="N.1.1.1Aging AP"/>
      <sheetName val="N.2 MUTATION OF AP"/>
      <sheetName val="N.3 Subsequent AP"/>
      <sheetName val="NN. Confr Control AP"/>
      <sheetName val="N-4 SUMMARY ROLL FRWRD AP"/>
      <sheetName val="N-4.1 PATRA LOGISTIK"/>
      <sheetName val="N-4.2 SCU"/>
      <sheetName val="N-4.3 GEOSAINS"/>
      <sheetName val="N-4.4ELNUSA -HOLDING"/>
      <sheetName val="N-4.5 TRIAS"/>
      <sheetName val="N-4.6 KOP Expro"/>
      <sheetName val="N-4.7 Allen"/>
      <sheetName val="O. Tax Payable"/>
      <sheetName val="O-1 PPh4(3)"/>
      <sheetName val="O-1,1"/>
      <sheetName val="O-2 pph pasal 23"/>
      <sheetName val="O-2.1."/>
      <sheetName val="O-3 PPh21 (2)"/>
      <sheetName val="P-1. CUSTOMER DEPOSIT"/>
      <sheetName val="P-1.1 KURS - DEC 29, 2006"/>
      <sheetName val="P-1.2 DETAIL CUST DEPOSIT"/>
      <sheetName val="P-2. Accrued Expense"/>
      <sheetName val="p2.1DETAIL_Acc Aff"/>
      <sheetName val="P2.2DETAIL ACCR INTRCMP"/>
      <sheetName val="P2.3DETAIL ACCR TP"/>
      <sheetName val="P2.4 Subsequent Accrued"/>
      <sheetName val="P-3. GR_IR ACCOUNT"/>
      <sheetName val="P-3.1 detail GR_IR"/>
      <sheetName val="Q. Lead"/>
      <sheetName val="Q.1 Aging Long Term Payable"/>
      <sheetName val="R. Other liabilities"/>
      <sheetName val="T. equity"/>
      <sheetName val="TT Confirmation Control"/>
      <sheetName val="U-1. Revenue"/>
      <sheetName val="U-1.1  DETAIL AFFILIATED"/>
      <sheetName val="U-1.2 DETAIL INTERCOMPANY"/>
      <sheetName val="U-1.3 DETAIL THIRD PARTY"/>
      <sheetName val="U-1.4 Cut Off Revenue"/>
      <sheetName val="U-2. Cost of sales"/>
      <sheetName val="U-2.1detail cost of sales"/>
      <sheetName val="U-3. Operating Exp"/>
      <sheetName val="U-3.1detail operating exp"/>
      <sheetName val="U-4. Other Incm (Exp)"/>
      <sheetName val="COGS STD"/>
      <sheetName val="COGS cek"/>
      <sheetName val="COGS upload"/>
      <sheetName val="ALL ok"/>
      <sheetName val="COGS utk di upload"/>
      <sheetName val="ReportSales"/>
      <sheetName val="COGS Utk Upload"/>
      <sheetName val="TOP Report"/>
      <sheetName val="F1-09"/>
      <sheetName val="F2-09"/>
      <sheetName val="F3-09"/>
      <sheetName val="Jurnal Dividen-Kalbe"/>
      <sheetName val="Elim Summary"/>
      <sheetName val="Consolidation (MI)"/>
      <sheetName val="KAgeo"/>
      <sheetName val="Adj consol"/>
      <sheetName val="TBMAP-HO"/>
      <sheetName val="TB-HO"/>
      <sheetName val="Adjusting Entries"/>
      <sheetName val="TB-HO-07-&amp; 06"/>
      <sheetName val="Ratios"/>
      <sheetName val="Internal AJE"/>
      <sheetName val="NewTB"/>
      <sheetName val="Investment SAAC"/>
      <sheetName val="GLInvestment"/>
      <sheetName val="TB_CW"/>
      <sheetName val="TB_CW (2)"/>
      <sheetName val="TBMAP-HO (2)"/>
      <sheetName val="BUKTI JURNAL"/>
      <sheetName val="KERTAS KERJA TB"/>
      <sheetName val="F3 NRV test"/>
      <sheetName val="Rollforward"/>
      <sheetName val="Q1 Lead WB"/>
      <sheetName val="Q1.1"/>
      <sheetName val="Q1.2 Agreement"/>
      <sheetName val="Q1.2.1 Covenant"/>
      <sheetName val="QQ1"/>
      <sheetName val="Q1 Lead SJ"/>
      <sheetName val="Q2.1 Agreement"/>
      <sheetName val="Q2.1.1 Covenant"/>
      <sheetName val="Q2.2 Summary Interest"/>
      <sheetName val="QQ2"/>
      <sheetName val="E Lead - WB"/>
      <sheetName val="E-1.3 Cut off Sales"/>
      <sheetName val="E Lead - SH"/>
      <sheetName val="E Lead - KB"/>
      <sheetName val="E-3.2"/>
      <sheetName val="E-3.3 Cut off Sales "/>
      <sheetName val="E Lead - U2"/>
      <sheetName val="E-4.2"/>
      <sheetName val="E-4.3 Cut off Sales  "/>
      <sheetName val="Montlhy Analysis"/>
      <sheetName val="Net"/>
      <sheetName val="Debit"/>
      <sheetName val="TB-LPG"/>
      <sheetName val="C Significant Issue"/>
      <sheetName val="FormGL"/>
      <sheetName val="VA lead"/>
      <sheetName val="VA1 "/>
      <sheetName val="VA2"/>
      <sheetName val="Profitaly"/>
      <sheetName val="Sales-03 Revisi"/>
      <sheetName val="BS 09"/>
      <sheetName val="Lanjutan Jurnal"/>
      <sheetName val="kk-HPP"/>
      <sheetName val="kk-Sales Ytd 2007"/>
      <sheetName val="BS.2007"/>
      <sheetName val="IS (2)"/>
      <sheetName val="Jurnal cc"/>
      <sheetName val="Per 29 D"/>
      <sheetName val="RptTaxInvRekap.rpt"/>
      <sheetName val="AR Detail SPM bdg+mdn"/>
      <sheetName val="AR SPM RPTbdg+mdn"/>
      <sheetName val="Pocari"/>
      <sheetName val="AR Detail SPM"/>
      <sheetName val="AR SPM RPT"/>
      <sheetName val="TREND HO"/>
      <sheetName val="TREND AR SPM Gabungan"/>
      <sheetName val="BDG"/>
      <sheetName val="SUMMARY AR"/>
      <sheetName val="AR Detail DIST"/>
      <sheetName val="AR DIST RPT"/>
      <sheetName val="Bank Guarantee"/>
      <sheetName val="BG Triwulan"/>
      <sheetName val="List RK Dist"/>
      <sheetName val="Journal Memorial"/>
      <sheetName val="PL Summary"/>
      <sheetName val="PL Detail"/>
      <sheetName val="Ref 1"/>
      <sheetName val="Ref 1.2"/>
      <sheetName val="Ref 2"/>
      <sheetName val="Ref 3"/>
      <sheetName val="Ref 4"/>
      <sheetName val="Ref 5"/>
      <sheetName val="Ref 6"/>
      <sheetName val="Ref 7"/>
      <sheetName val="ID"/>
      <sheetName val="B3"/>
      <sheetName val="B32"/>
      <sheetName val="B4"/>
      <sheetName val="DA1"/>
      <sheetName val="DA2"/>
      <sheetName val="DA3"/>
      <sheetName val="DB1"/>
      <sheetName val="DB2"/>
      <sheetName val="DB3"/>
      <sheetName val="DB4"/>
      <sheetName val="KUM"/>
      <sheetName val="Sederhana"/>
      <sheetName val="Counts"/>
      <sheetName val="Manual"/>
      <sheetName val="Sales-1"/>
      <sheetName val="Sales-2"/>
      <sheetName val="Sales-3"/>
      <sheetName val="COGS "/>
      <sheetName val="Prod Cost (M)"/>
      <sheetName val="Prod Cost (Y)"/>
      <sheetName val="Other Inc-Exp"/>
      <sheetName val="Nop'07"/>
      <sheetName val="Dec'07"/>
      <sheetName val="Nov (koreksi)"/>
      <sheetName val="Dec'08"/>
      <sheetName val="BS 09 May"/>
      <sheetName val="Denominated in Forex"/>
      <sheetName val="Analytical BS"/>
      <sheetName val="Analytical PL"/>
      <sheetName val="PM, TE &amp; SAD"/>
      <sheetName val="By Notes Layout"/>
      <sheetName val="Revised 7 Jan 2011"/>
      <sheetName val="MapData"/>
      <sheetName val="By Group Map"/>
      <sheetName val="LS AY and PY"/>
      <sheetName val="Con"/>
      <sheetName val="Uncon"/>
      <sheetName val="By.fkl"/>
      <sheetName val="Pyst.fkl"/>
      <sheetName val="Int.fkl"/>
      <sheetName val="Nrc.fkl"/>
      <sheetName val="nrc&amp;rl"/>
      <sheetName val="1771.I"/>
      <sheetName val="1771.I1c"/>
      <sheetName val="1771.I1e"/>
      <sheetName val="1771.I3"/>
      <sheetName val="1771.I4"/>
      <sheetName val="Aging Pulp"/>
      <sheetName val="BS.2010"/>
      <sheetName val="BS.01"/>
      <sheetName val="BS.02"/>
      <sheetName val="BS.03"/>
      <sheetName val="BS.04"/>
      <sheetName val="BS05"/>
      <sheetName val="BS.06"/>
      <sheetName val="BS.06 (2)"/>
      <sheetName val="BS.07"/>
      <sheetName val="BS.08"/>
      <sheetName val="BS 09A"/>
      <sheetName val="BS.8A"/>
      <sheetName val="TB 1010"/>
      <sheetName val="TB1209"/>
      <sheetName val="TB 1210"/>
      <sheetName val="TB Syteline"/>
      <sheetName val="BS.09A"/>
      <sheetName val="BS.10"/>
      <sheetName val="BS.11"/>
      <sheetName val="BS.12"/>
      <sheetName val="BS.12 (2)"/>
      <sheetName val="BS.13"/>
      <sheetName val="BS.14"/>
      <sheetName val="PPH 25Babp"/>
      <sheetName val="DivTax (2)"/>
      <sheetName val="Perhit.ERB"/>
      <sheetName val="DivTax"/>
      <sheetName val="Fiskal_09"/>
      <sheetName val="Draft CF"/>
      <sheetName val="TB Dec 10"/>
      <sheetName val="Ledger Dec 10"/>
      <sheetName val="CF - NEW"/>
      <sheetName val="by notes"/>
      <sheetName val="LS AY and PY(1)"/>
      <sheetName val="PL-lamp1771"/>
      <sheetName val="Notes_TA"/>
      <sheetName val="Notes-provision"/>
      <sheetName val="Notes-salary"/>
      <sheetName val="nde-jkt"/>
      <sheetName val="nde-bdg"/>
      <sheetName val="nde-sby"/>
      <sheetName val="Kom awal Depr'09"/>
      <sheetName val="Kom_09"/>
      <sheetName val="Capex'09"/>
      <sheetName val="Kom_2009"/>
      <sheetName val="POS DIPERIKSA"/>
      <sheetName val="B.3"/>
      <sheetName val="B.4"/>
      <sheetName val="PPN1"/>
      <sheetName val="PPN2"/>
      <sheetName val="PR"/>
      <sheetName val="Pos Koreksi"/>
      <sheetName val="B.3.1Penyusutan "/>
      <sheetName val="B.3.2"/>
      <sheetName val="DataWP"/>
      <sheetName val="Abstraksi "/>
      <sheetName val="PosDiperiksa"/>
      <sheetName val="B.2.1"/>
      <sheetName val="B.2.2"/>
      <sheetName val="B.2.3"/>
      <sheetName val="B.2.3.1"/>
      <sheetName val="B.3.1."/>
      <sheetName val="B.3.3"/>
      <sheetName val="B.3.4 "/>
      <sheetName val="E.7 hit PPN"/>
      <sheetName val="E.7.1 Rekap SPM"/>
      <sheetName val="E.7.2"/>
      <sheetName val="Nothit25"/>
      <sheetName val="Nothit21"/>
      <sheetName val="Nothit23"/>
      <sheetName val="NothitFinal "/>
      <sheetName val="NothitPPN"/>
      <sheetName val="Konpm"/>
      <sheetName val="Rekpk"/>
      <sheetName val="Rekpk2"/>
      <sheetName val="Rekpenj."/>
      <sheetName val="Stock Euy (3)"/>
      <sheetName val="DAFTAR PPh 23"/>
      <sheetName val="tELITI FK"/>
      <sheetName val="tELITI FK (2)"/>
      <sheetName val="Neraca WP"/>
      <sheetName val="Neraca FISKUS"/>
      <sheetName val="LR (2)"/>
      <sheetName val="LR (3)"/>
      <sheetName val="HPP SPAREPART"/>
      <sheetName val="BankBCA"/>
      <sheetName val="Analisa Penerimaan"/>
      <sheetName val="Analisa Pengeluaran"/>
      <sheetName val="Analisa Pengeluaran1"/>
      <sheetName val="Stock Euy"/>
      <sheetName val="Stock Euy (2)"/>
      <sheetName val="pENJ. NISSAN"/>
      <sheetName val="kkp21"/>
      <sheetName val="PPNKeluar "/>
      <sheetName val="PPNMasukan"/>
      <sheetName val="Lamp.LPP "/>
      <sheetName val="dataKPP"/>
      <sheetName val="Bypassindo 01"/>
      <sheetName val="Klarifikasi PM"/>
      <sheetName val="Klarifikasi PPN"/>
      <sheetName val="Lamp."/>
      <sheetName val="Neraca FISKUS (2)"/>
      <sheetName val="Arus Kas (2)"/>
      <sheetName val="Stock (2)"/>
      <sheetName val="Stock (3)"/>
      <sheetName val="StockSuzuki"/>
      <sheetName val="StockNissan"/>
      <sheetName val="StockHino"/>
      <sheetName val="Stock Mazda"/>
      <sheetName val="TOT PENJ"/>
      <sheetName val="Suzuki"/>
      <sheetName val=" Nissan"/>
      <sheetName val="Hino"/>
      <sheetName val="SUJA-SALES"/>
      <sheetName val="LOAN-CJI"/>
      <sheetName val="SUMMARY-SUJA"/>
      <sheetName val="SUMMARY ALL REL PARTIES"/>
      <sheetName val="REL PARTY FOR CONSOLIDATION"/>
      <sheetName val="REMAINDER AP-USD"/>
      <sheetName val="REM AP 31122005"/>
      <sheetName val="INVENTORY REL PART"/>
      <sheetName val="pend"/>
      <sheetName val="PPN masa"/>
      <sheetName val="hit ulang99"/>
      <sheetName val="INDUK 99"/>
      <sheetName val="INDUK II 99"/>
      <sheetName val="INDUK III 99 "/>
      <sheetName val="TOTAL TAX 99"/>
      <sheetName val="BREDOWN 1999 "/>
      <sheetName val="RENT AND TAX 99"/>
      <sheetName val="Psl 21 99"/>
      <sheetName val="1996"/>
      <sheetName val="INDUK 96"/>
      <sheetName val="INDUK II 96"/>
      <sheetName val="INDUK III 96"/>
      <sheetName val="TOTAL TAX 96"/>
      <sheetName val="BREDOWN 1996 "/>
      <sheetName val="RENT AND TAX 96"/>
      <sheetName val="RENT AND TAX 96 (2)"/>
      <sheetName val="23masa"/>
      <sheetName val="Psl 21 96"/>
      <sheetName val="1995"/>
      <sheetName val="objek 2326 95"/>
      <sheetName val="kredit pph"/>
      <sheetName val="INDUK 95"/>
      <sheetName val="INDUK II 95"/>
      <sheetName val="INDUK III 95 "/>
      <sheetName val="TOTAL TAX 95"/>
      <sheetName val="BREDOWN CP 1995 "/>
      <sheetName val="DEPRESS 9596"/>
      <sheetName val="RENT AND TAX 95"/>
      <sheetName val="Psl 21 95"/>
      <sheetName val="TOTAL TAX 99 96 95"/>
      <sheetName val="INDUK min 99"/>
      <sheetName val="TOTAL TAX min 99 96 95 "/>
      <sheetName val="INDUK min 99 (2)"/>
      <sheetName val="interest 99"/>
      <sheetName val="PH LUAR"/>
      <sheetName val="Worksheet Jan-Jun 2004"/>
      <sheetName val="Worksheet Jul-Dec 2004"/>
      <sheetName val="opinides"/>
      <sheetName val="BSvsNOTES"/>
      <sheetName val="rekaplapkeu"/>
      <sheetName val="AJE_JUL-DES"/>
      <sheetName val="TAXreconc"/>
      <sheetName val="Txrec_indo"/>
      <sheetName val="ACc dep FA"/>
      <sheetName val="C_E"/>
      <sheetName val="cttan&amp;DAFT.PRTNYAAN(PNDINGWORK)"/>
      <sheetName val="EE Sales"/>
      <sheetName val="NN Purchase"/>
      <sheetName val="TT equity"/>
      <sheetName val="QQ Loan"/>
      <sheetName val="NN AP"/>
      <sheetName val="EE AR"/>
      <sheetName val="CC Banks"/>
      <sheetName val="CF supp-2002 (2)"/>
      <sheetName val="Mflow (2)"/>
      <sheetName val="Reval"/>
      <sheetName val="summarry"/>
      <sheetName val="EE Lead"/>
      <sheetName val="E1.9"/>
      <sheetName val="CAT"/>
      <sheetName val="KKN"/>
      <sheetName val="rek.pem"/>
      <sheetName val="sel-penj"/>
      <sheetName val="AJE01"/>
      <sheetName val="M Lead"/>
      <sheetName val="M1.1"/>
      <sheetName val="M1.2"/>
      <sheetName val="M1.3"/>
      <sheetName val="M1.4"/>
      <sheetName val="M1.4.1"/>
      <sheetName val="M1.5"/>
      <sheetName val="GL interest expense"/>
      <sheetName val="M2.1"/>
      <sheetName val="MM Lead"/>
      <sheetName val="opini_07"/>
      <sheetName val="Client RE"/>
      <sheetName val="Cover_07"/>
      <sheetName val="isi_07"/>
      <sheetName val="skat_07"/>
      <sheetName val="BS-09"/>
      <sheetName val="PL-09"/>
      <sheetName val="EQ-09"/>
      <sheetName val="CF-09"/>
      <sheetName val="CLK-09"/>
      <sheetName val="ws_new"/>
      <sheetName val="WS-2009"/>
      <sheetName val="bs_07"/>
      <sheetName val="pl_07"/>
      <sheetName val="cf_07"/>
      <sheetName val="ws_07"/>
      <sheetName val="ws_06"/>
      <sheetName val="fa_audited_06_07"/>
      <sheetName val="ws_07 (2)"/>
      <sheetName val="aje_07"/>
      <sheetName val="aje_cleint"/>
      <sheetName val="clk_06"/>
      <sheetName val="aje_06"/>
      <sheetName val="Lampiran piutang 2007"/>
      <sheetName val="Lampiran Utang 2007"/>
      <sheetName val="aje_2007"/>
      <sheetName val="Cover_06"/>
      <sheetName val="isi_06"/>
      <sheetName val="skat_06"/>
      <sheetName val="opini_06"/>
      <sheetName val="bs_06"/>
      <sheetName val="pl_06"/>
      <sheetName val="eq_06"/>
      <sheetName val="cf_06"/>
      <sheetName val="Lamp 1 Piutang"/>
      <sheetName val="rincian_PPN"/>
      <sheetName val="ARUS KAS TIDAK LANGSUNG"/>
      <sheetName val="REKAP_KAS 2006"/>
      <sheetName val="ATFISKAL06"/>
      <sheetName val="ATSGU06"/>
      <sheetName val="ATSGUFKL06"/>
      <sheetName val="Lamp 2a PiutangAfiliasi"/>
      <sheetName val="Lamp 2b PiutangLain"/>
      <sheetName val="Lamp 3a HutangBank"/>
      <sheetName val="Lamp 3b HutangUsaha"/>
      <sheetName val="Lam 3c HutangRelasi"/>
      <sheetName val="Lam 3d HutangAfiliasi"/>
      <sheetName val="Rincian Pjk21"/>
      <sheetName val="Rincian Pjk25"/>
      <sheetName val="Rincian Pjk PPN"/>
      <sheetName val="KIMA"/>
      <sheetName val="PBM"/>
      <sheetName val="TarikMundurKasPBM"/>
      <sheetName val="TarikMundurKasMKSR"/>
      <sheetName val="TarikMundurPersed"/>
      <sheetName val="PSAK46"/>
      <sheetName val="bunga KI 1001"/>
      <sheetName val="RE1001"/>
      <sheetName val="HutangBank1001"/>
      <sheetName val="OLAH22"/>
      <sheetName val="OLAH2"/>
      <sheetName val="Asuransi Kndraan"/>
      <sheetName val="Isi induk"/>
      <sheetName val="Note2009"/>
      <sheetName val="AJE.RJE"/>
      <sheetName val="AJE.RJE CLIENT"/>
      <sheetName val="Lampiran Adj 2009"/>
      <sheetName val="lampiran aset (2)"/>
      <sheetName val="lampiran aset"/>
      <sheetName val="Cover consol"/>
      <sheetName val="Isi consol"/>
      <sheetName val="opini consol"/>
      <sheetName val="Sekat consol"/>
      <sheetName val="Bs Consol"/>
      <sheetName val="pl consol"/>
      <sheetName val="eq consol"/>
      <sheetName val="CF Consol"/>
      <sheetName val="Notes consol"/>
      <sheetName val="J. ELIMINASI"/>
      <sheetName val="Rekap - Penyisihan piutang"/>
      <sheetName val="PROY Cab Real"/>
      <sheetName val="Jasa KOnstruksi"/>
      <sheetName val="Fab, Design dan Inst"/>
      <sheetName val="Industri PK"/>
      <sheetName val="Rekap - Piutang 2010"/>
      <sheetName val="saldo bank"/>
      <sheetName val="D.isi"/>
      <sheetName val="Arus Kas Langsung"/>
      <sheetName val="Aje Reclass"/>
      <sheetName val="UMBU"/>
      <sheetName val="analisisumbu"/>
      <sheetName val="Gabungan AMKA 2"/>
      <sheetName val="Gabungan AMKA 1"/>
      <sheetName val="GT_Mutasi"/>
      <sheetName val="Gabungan Pa' Yaqin"/>
      <sheetName val="DJK"/>
      <sheetName val="PLANT YK"/>
      <sheetName val="DFP BKS"/>
      <sheetName val="DFP SMG"/>
      <sheetName val="KALTIM"/>
      <sheetName val="SUMUT"/>
      <sheetName val="RIAU"/>
      <sheetName val="CABSUS"/>
      <sheetName val="UPL"/>
      <sheetName val="Alamat Piutang "/>
      <sheetName val="Final + Non Final"/>
      <sheetName val="Pajak Kini "/>
      <sheetName val="AJEKLIEN"/>
      <sheetName val="Subtotal"/>
      <sheetName val="Subtotal (2)"/>
      <sheetName val="UMBK"/>
      <sheetName val="PIUT1"/>
      <sheetName val="PIUT2"/>
      <sheetName val="PIUT3"/>
      <sheetName val="BDD"/>
      <sheetName val="Pdptn"/>
      <sheetName val="BAD"/>
      <sheetName val="Ut.UMP"/>
      <sheetName val="25-TR"/>
      <sheetName val="KODEPLAN"/>
      <sheetName val="25-SUBTOTAL"/>
      <sheetName val="neraca saldo awal"/>
      <sheetName val="25-SUBTOTAL (2)"/>
      <sheetName val="mutasi gabungan"/>
      <sheetName val="BIAYA REK AIR DAN LISTRIK"/>
      <sheetName val="25-SUBTOTAL (3)"/>
      <sheetName val="IURAN JAMSOSTEK"/>
      <sheetName val="DROPING DANA"/>
      <sheetName val="Daftar_Print"/>
      <sheetName val="inventaris kator"/>
      <sheetName val="alat angkut konstruksi"/>
      <sheetName val="inventaris pabrik "/>
      <sheetName val="inv rmh dinas"/>
      <sheetName val="kend opr"/>
      <sheetName val="peral pabrik bengkel"/>
      <sheetName val="perl proyek"/>
      <sheetName val="Koreksi Audited (2)"/>
      <sheetName val="Koreksi Audited"/>
      <sheetName val="PPH1298S"/>
      <sheetName val="sal april"/>
      <sheetName val="WS Report-Audited"/>
      <sheetName val="Cut-off"/>
      <sheetName val="segmen sales"/>
      <sheetName val="segmen piutang"/>
      <sheetName val="Pengalihan Tanah"/>
      <sheetName val="AktivaTetap"/>
      <sheetName val="Aktuaris FINAL"/>
      <sheetName val="COA (2)"/>
      <sheetName val="%Opini"/>
      <sheetName val="RE Recon"/>
      <sheetName val="Jurnal Elim"/>
      <sheetName val="Goodwill"/>
      <sheetName val="EL14-Minority"/>
      <sheetName val="Rent.Service.Royalty Income"/>
      <sheetName val="Jurnal Consol"/>
      <sheetName val="Identification"/>
      <sheetName val="Cash&amp;Equiv"/>
      <sheetName val="ShtTermInv"/>
      <sheetName val="AgingAR"/>
      <sheetName val="OR"/>
      <sheetName val="PPE"/>
      <sheetName val="Affco_transactionsNA"/>
      <sheetName val="due from-to"/>
      <sheetName val="Intangible assetsNA"/>
      <sheetName val="Deferred_tax"/>
      <sheetName val="LoansNA"/>
      <sheetName val="LOAN MUTATION"/>
      <sheetName val="Schedule-LT-LoanNA"/>
      <sheetName val="OL"/>
      <sheetName val="tax and taxes payable"/>
      <sheetName val="LONG TERM DEBTSNA"/>
      <sheetName val="Employee Benefit"/>
      <sheetName val="Foreign CurrencyNA"/>
      <sheetName val="collateralNA"/>
      <sheetName val="Sales &amp; Purchase"/>
      <sheetName val="COGS mutation"/>
      <sheetName val="Opex-Selling"/>
      <sheetName val="opex-G&amp;A"/>
      <sheetName val="Opex-R&amp;DNA"/>
      <sheetName val="Int inc (exp)"/>
      <sheetName val="Oth Inc (Charges)"/>
      <sheetName val="Segmen usaha-Kalbe"/>
      <sheetName val="segmen EPMT"/>
      <sheetName val="List of affiliates"/>
      <sheetName val="GPM"/>
      <sheetName val="ST-Invest."/>
      <sheetName val="SWAP"/>
      <sheetName val="Amt.rvd.HITACHI"/>
      <sheetName val="1214 Kartu"/>
      <sheetName val="附件21-1"/>
      <sheetName val="附件11"/>
      <sheetName val="CAJE RNI Summary"/>
      <sheetName val="CAJE RNI Detail"/>
      <sheetName val="MgmtTech fee"/>
      <sheetName val="Laverton"/>
      <sheetName val="Interest bearing receivable"/>
      <sheetName val="Other receivable "/>
      <sheetName val="Deferred tax Assets"/>
      <sheetName val="bank loan"/>
      <sheetName val="Capital stock"/>
      <sheetName val="Due to related party"/>
      <sheetName val="Penj-PSA"/>
      <sheetName val="Deferred provision for inc tax"/>
      <sheetName val="purchase cut-off"/>
      <sheetName val="payment AR 1-23Jan09"/>
      <sheetName val="11498001"/>
      <sheetName val="item schedule"/>
      <sheetName val="pekerjaan chart"/>
      <sheetName val="pekerjaan summary"/>
      <sheetName val="pekerjaan detail"/>
      <sheetName val="Rincian Investasi"/>
      <sheetName val="Proyeksi Sales"/>
      <sheetName val="Proyeksi COGS"/>
      <sheetName val="Perincian"/>
      <sheetName val="Project"/>
      <sheetName val="F1771_II"/>
      <sheetName val="F1771_III"/>
      <sheetName val="Tickmark Legend"/>
      <sheetName val="GL Memo"/>
      <sheetName val="Bank Only Movement"/>
      <sheetName val="Consolidation Movement"/>
      <sheetName val="Analytical Review Procedure"/>
      <sheetName val="Detail Issue 1"/>
      <sheetName val="Detail Issue 2"/>
      <sheetName val="lead update"/>
      <sheetName val="AJP"/>
      <sheetName val="K Mutation Fiskal Konsol"/>
      <sheetName val="K 1 FA Mutation KDD"/>
      <sheetName val="K 2 FA Mutation WYG"/>
      <sheetName val="SG Rev&amp;Blog"/>
      <sheetName val="SG COS-Firium"/>
      <sheetName val="N1 Lead"/>
      <sheetName val="resume AP"/>
      <sheetName val="Details AP per "/>
      <sheetName val="Vendoras30nov2003"/>
      <sheetName val="AP intercompany"/>
      <sheetName val="GRIR"/>
      <sheetName val="SUROL"/>
      <sheetName val="advancevendoras30nov2003"/>
      <sheetName val="APNov2003"/>
      <sheetName val="Trash"/>
      <sheetName val="Trash2"/>
      <sheetName val="Trash3"/>
      <sheetName val="D#8_x0003_ª_x0000__x0000__x0000_Æ"/>
      <sheetName val="CFI"/>
      <sheetName val="BS (print)"/>
      <sheetName val="pl-"/>
      <sheetName val="pl- (2)"/>
      <sheetName val="TB (2)"/>
      <sheetName val="GJ"/>
      <sheetName val="LDG"/>
      <sheetName val="CF2.0"/>
      <sheetName val="By.Praoperasi(JULI)"/>
      <sheetName val="By Praoperasi agst"/>
      <sheetName val="By Praoperasi des"/>
      <sheetName val="B.Peny TRW II "/>
      <sheetName val="Penyst Juli"/>
      <sheetName val="Penyst Agustus"/>
      <sheetName val="Penyst Agustus (2)"/>
      <sheetName val="Penyst -2006"/>
      <sheetName val="bs-2006"/>
      <sheetName val="aktiva (2)"/>
      <sheetName val="pl agt"/>
      <sheetName val="CF1.0"/>
      <sheetName val="By.Praoperasi des"/>
      <sheetName val="B.Peny. mar"/>
      <sheetName val="B.Peny. jun"/>
      <sheetName val="B.Peny. jul"/>
      <sheetName val="B.Peny. AGT"/>
      <sheetName val="B.Peny. 2006"/>
      <sheetName val="BS-"/>
      <sheetName val="tes"/>
      <sheetName val="bs-audit"/>
      <sheetName val="p&amp;l-audit"/>
      <sheetName val="detail-bs-audit"/>
      <sheetName val="BBT-12'00"/>
      <sheetName val="BBT-01"/>
      <sheetName val="BBT-02"/>
      <sheetName val="BBT-03"/>
      <sheetName val="BBT-04"/>
      <sheetName val="BBT-05"/>
      <sheetName val="BBT-06"/>
      <sheetName val="BBT-07"/>
      <sheetName val="BBT-08"/>
      <sheetName val="BBT-09"/>
      <sheetName val="BBT-10"/>
      <sheetName val="BBT-11"/>
      <sheetName val="BBT-12"/>
      <sheetName val="PENY_tw1"/>
      <sheetName val="LIST_tw1"/>
      <sheetName val="Fin Highlights Revised $158m"/>
      <sheetName val="Working Capital - $83.6m"/>
      <sheetName val="Cost to complete - $19.808m"/>
      <sheetName val="AP Smy"/>
      <sheetName val="1.0 Oversea supplier 19-03-08"/>
      <sheetName val="Local Supplier 150608 Detail"/>
      <sheetName val="2.0 Local Supplier 15-06-08 Smy"/>
      <sheetName val="Post Dated Chequ Detail 180608"/>
      <sheetName val="3.0Post Dated Cheque smy 180608"/>
      <sheetName val="4.0 AP Overhead 15-06-08"/>
      <sheetName val="5.0 AP Contractor 160608"/>
      <sheetName val="AP CONT. PER PT"/>
      <sheetName val="Summary of Replacement Cost"/>
      <sheetName val="Acid1, Alco1 (R)"/>
      <sheetName val="DAP-CIP (DET)"/>
      <sheetName val="Alco2 (R)"/>
      <sheetName val="SMAP-CIP (DET)"/>
      <sheetName val="DAIP (R)"/>
      <sheetName val="DAIP-CIP (DET)"/>
      <sheetName val="DSIP (R)"/>
      <sheetName val="DSIP-CIP (DET)"/>
      <sheetName val="FSC (R)"/>
      <sheetName val="FSC-CIP (DET)"/>
      <sheetName val="SIP (R)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Revenue Audit Program"/>
      <sheetName val="Cost &amp; Expenses Audit Program"/>
      <sheetName val="U1.3"/>
      <sheetName val="U1.4"/>
      <sheetName val="U1.5"/>
      <sheetName val="U1.6"/>
      <sheetName val="U1.7"/>
      <sheetName val="U2.3"/>
      <sheetName val="U3.1"/>
      <sheetName val="U3.2"/>
      <sheetName val="U3.3"/>
      <sheetName val="U3.4"/>
      <sheetName val="XXXXXXX"/>
      <sheetName val="WP "/>
      <sheetName val="Journal Unit "/>
      <sheetName val="LOAN CS &amp; MANDIRI"/>
      <sheetName val="AP-Advance sales-Due to"/>
      <sheetName val="AR-Advance-Due from"/>
      <sheetName val="SIP"/>
      <sheetName val="Inv.Equity"/>
      <sheetName val="acc_bal_mutation_consol"/>
      <sheetName val="CF-CONSO"/>
      <sheetName val="Rencana Tanam"/>
      <sheetName val="WorkSheet-produksi"/>
      <sheetName val="Rekap Produksi"/>
      <sheetName val="Standar"/>
      <sheetName val="SIMP"/>
      <sheetName val="Alokasi TBS"/>
      <sheetName val="CTP"/>
      <sheetName val="IP"/>
      <sheetName val="SP"/>
      <sheetName val="GMR"/>
      <sheetName val="SRE1"/>
      <sheetName val="SRE2"/>
      <sheetName val="SBE1"/>
      <sheetName val="SBE2"/>
      <sheetName val="KGP - KBE"/>
      <sheetName val="KGP - THE (Plasma)"/>
      <sheetName val="CNIS - KDE"/>
      <sheetName val="CNIS - SME (Plasma)"/>
      <sheetName val="CNIS - TME (Plasma)"/>
      <sheetName val="RAP - MME (Plasma)"/>
      <sheetName val="CKS - TPE (Plasma)"/>
      <sheetName val="ASP"/>
      <sheetName val="MSA - MRE"/>
      <sheetName val="MSA - MSE"/>
      <sheetName val="SBN - PGE"/>
      <sheetName val="KMS - PNE"/>
      <sheetName val="KMS - Karet"/>
      <sheetName val="Rencana PKS"/>
      <sheetName val="RAP - NSE"/>
      <sheetName val="CKS - SPE"/>
      <sheetName val="JS"/>
      <sheetName val="RAP - NSE Ext Yield"/>
      <sheetName val="CKS - SPE Ext Yield"/>
      <sheetName val="JS Ext Yield"/>
      <sheetName val="FFB Price"/>
      <sheetName val="CKS Production"/>
      <sheetName val="Actual &amp; Valuation by PY"/>
      <sheetName val="Summary of Value per Dec 06"/>
      <sheetName val="Summary by Year of Planting"/>
      <sheetName val="Solegna"/>
      <sheetName val="MMM"/>
      <sheetName val="PBJ"/>
      <sheetName val="TSP"/>
      <sheetName val="ARBV"/>
      <sheetName val="AI FINANCE"/>
      <sheetName val="Revisi"/>
      <sheetName val="MMM (A)"/>
      <sheetName val="Leasing-JAW-IDR"/>
      <sheetName val="Leasing-Emal-IDR"/>
      <sheetName val="Leasing-MMM-Dipo Star Fin-USD"/>
      <sheetName val="Leasing-MMM-Astragrapia-IDR"/>
      <sheetName val="Leasing-PBJ Dipo Star Finan"/>
      <sheetName val="Leasing-PP-Dipo Star Fin-USD"/>
      <sheetName val="sumary leasing"/>
      <sheetName val="5610"/>
      <sheetName val="5610.1"/>
      <sheetName val="5611"/>
      <sheetName val="5611.1"/>
      <sheetName val="5612"/>
      <sheetName val="5612.1"/>
      <sheetName val="5613"/>
      <sheetName val="5613.1"/>
      <sheetName val="5614"/>
      <sheetName val="5614.1"/>
      <sheetName val="5620 add &amp; disposal ok.."/>
      <sheetName val="5625"/>
      <sheetName val="5630 CIP 2008"/>
      <sheetName val="5631"/>
      <sheetName val="5640-POLIS ASURANSI"/>
      <sheetName val="Mutation"/>
      <sheetName val="AAJE"/>
      <sheetName val="Daily"/>
      <sheetName val="Append 1"/>
      <sheetName val="A_4"/>
      <sheetName val="kki"/>
      <sheetName val="fin pro wartel"/>
      <sheetName val="fin pro warnet"/>
      <sheetName val="fin pro wartel+"/>
      <sheetName val="fin pro warnet+"/>
      <sheetName val="fin pro centers"/>
      <sheetName val="WARNET +"/>
      <sheetName val="WARNET"/>
      <sheetName val="WARTEL +"/>
      <sheetName val="WARTEL"/>
      <sheetName val="Pwr Point"/>
      <sheetName val="貸借対照表"/>
      <sheetName val="損益計算書(月次）"/>
      <sheetName val="BS (Balance Sheet) Mar'14"/>
      <sheetName val="PL (Profit &amp; Loss) Mar'14"/>
      <sheetName val="PL (Profit &amp; Loss) April-Mar'14"/>
      <sheetName val="FA(Fixed Asset)-Fabric-Mar'14"/>
      <sheetName val="FA(Fixed Asset)-Fabric-Mar' 14"/>
      <sheetName val="FA(Fixed Asset)-office-Mar'14 "/>
      <sheetName val="DOA (Detail Of Account)"/>
      <sheetName val="GL (General Ledger)"/>
      <sheetName val="GJ (General Journal)"/>
      <sheetName val="PER. Equity"/>
      <sheetName val="WBS Konsol"/>
      <sheetName val="WPL Konsolidasi"/>
      <sheetName val="Eliminasi &amp; AJE"/>
      <sheetName val="Investement "/>
      <sheetName val="Mapping FA"/>
      <sheetName val="RE Statement 09"/>
      <sheetName val="Sup2"/>
      <sheetName val="08"/>
      <sheetName val="KANAS"/>
      <sheetName val="Subsidiaries"/>
      <sheetName val="Subsidiaries-Indo"/>
      <sheetName val="Dec 2009"/>
      <sheetName val="AJE Merge Dec 2009"/>
      <sheetName val="Eliminasi Dec 2009"/>
      <sheetName val="%Related"/>
      <sheetName val="Investasi NMP"/>
      <sheetName val="OH"/>
      <sheetName val="ADJ AHM"/>
      <sheetName val="Elim Journal"/>
      <sheetName val="Elim Entry"/>
      <sheetName val="Jurnal Saham"/>
      <sheetName val="Tax AIM"/>
      <sheetName val="Tax TAR"/>
      <sheetName val="TAX HO"/>
      <sheetName val="TAX KCP"/>
      <sheetName val="TAX STG"/>
      <sheetName val="BGT"/>
      <sheetName val="Hotel &amp; Shima"/>
      <sheetName val="AIM &amp; TAR"/>
      <sheetName val="OH &amp; LEISURE"/>
      <sheetName val="WorkSheet.Consolidated"/>
      <sheetName val="EJE"/>
      <sheetName val="Consolidated"/>
      <sheetName val="Elim combine"/>
      <sheetName val="Elim konsol"/>
      <sheetName val="ARAP Elim"/>
      <sheetName val="WP"/>
      <sheetName val="elim_PKP"/>
      <sheetName val="PKP alone"/>
      <sheetName val="ADJ_PKP"/>
      <sheetName val="PKM"/>
      <sheetName val="ADJ_PKM"/>
      <sheetName val="KEP"/>
      <sheetName val="MEM"/>
      <sheetName val="BAM"/>
      <sheetName val="POM"/>
      <sheetName val="RIM"/>
      <sheetName val="SEM"/>
      <sheetName val="THM"/>
      <sheetName val="PAM"/>
      <sheetName val="CIM"/>
      <sheetName val="PEM"/>
      <sheetName val="BLM"/>
      <sheetName val="PLM"/>
      <sheetName val="PUR"/>
      <sheetName val="KEM"/>
      <sheetName val="elim_KEM"/>
      <sheetName val="KEM Alone"/>
      <sheetName val="ADJ_KEM"/>
      <sheetName val="GSM"/>
      <sheetName val="elim_GSM"/>
      <sheetName val="GSM Alone"/>
      <sheetName val="ADJ_GSM"/>
      <sheetName val="WWP"/>
      <sheetName val="elim_WWP"/>
      <sheetName val="WWP alone"/>
      <sheetName val="SAR"/>
      <sheetName val="ADJ_SAR"/>
      <sheetName val="MSG"/>
      <sheetName val="elim_MSG"/>
      <sheetName val="MSG Alone"/>
      <sheetName val="ADJ_MSG"/>
      <sheetName val="SMM"/>
      <sheetName val="elim_SMM"/>
      <sheetName val="SMM Alone"/>
      <sheetName val="ADJ_SMM"/>
      <sheetName val="AJE AS"/>
      <sheetName val="ws-mcg"/>
      <sheetName val="aje-mcg"/>
      <sheetName val="JMB"/>
      <sheetName val="ADJ_JMB"/>
      <sheetName val="CMG"/>
      <sheetName val="ADJ_CMG"/>
      <sheetName val="Wilayah Tengah"/>
      <sheetName val="Wilayah Timur"/>
      <sheetName val="Wilayah Barat"/>
      <sheetName val="Luar Negeri"/>
      <sheetName val="WP CF"/>
      <sheetName val="RJE &amp; AJE"/>
      <sheetName val="CF-PBC"/>
      <sheetName val="ARK II"/>
      <sheetName val="CF-PBC rev"/>
      <sheetName val="4.Restatement"/>
      <sheetName val="Investasi J. Pendek"/>
      <sheetName val="PiutangRetensi"/>
      <sheetName val="Piutang Lain2"/>
      <sheetName val="piutang pemegang saham"/>
      <sheetName val="Tagihan Bruto"/>
      <sheetName val="Investasi KSO"/>
      <sheetName val="Aset Lain2"/>
      <sheetName val="Hutang Bank J. Pendek"/>
      <sheetName val="HUtang Bruto"/>
      <sheetName val="Uang Muka Kontrak jk pndk"/>
      <sheetName val="Kewajiban J Pendek Lainnya"/>
      <sheetName val="Uang muka jk pnjng"/>
      <sheetName val="Hutang Obligasi"/>
      <sheetName val="Pendapatan Usaha"/>
      <sheetName val="Beban Kontrak"/>
      <sheetName val="Bag Laba KSO"/>
      <sheetName val="Biaya pinjaman"/>
      <sheetName val="Laba Per Saham"/>
      <sheetName val="aktiva segmen09"/>
      <sheetName val="aktiva segmen08"/>
      <sheetName val="Segmen-full"/>
      <sheetName val="Segm Usaha 09"/>
      <sheetName val="Foreign Exc"/>
      <sheetName val="Wilayah Kerja"/>
      <sheetName val="JO Agreement"/>
      <sheetName val="Contrac Summary"/>
      <sheetName val="Reklasifikasi akun"/>
      <sheetName val="Dec 2008"/>
      <sheetName val="AJE Merge Dec 2008"/>
      <sheetName val="Eliminasi Dec 2008"/>
      <sheetName val="eks LK"/>
      <sheetName val="FA LLD"/>
      <sheetName val="FA SHC"/>
      <sheetName val="FA Dec 08"/>
      <sheetName val="SHC"/>
      <sheetName val="AD"/>
      <sheetName val="WP detail"/>
      <sheetName val="Penggolongan biaya"/>
      <sheetName val="KSK"/>
      <sheetName val="Employee Benefits"/>
      <sheetName val="CD"/>
      <sheetName val="Beban Langsung"/>
      <sheetName val="Beban Penjualan"/>
      <sheetName val="Beban Administrasi"/>
      <sheetName val="H_KONTRAK"/>
      <sheetName val="DAT_1"/>
      <sheetName val="_43_9_1"/>
      <sheetName val="PBC - TB"/>
      <sheetName val="(P) RJE"/>
      <sheetName val="AP 10"/>
      <sheetName val="2700.05 Lead"/>
      <sheetName val="2700.05 Lead (2)"/>
      <sheetName val="2700.15 Analytical Review'10"/>
      <sheetName val="2700.15 Analytical Review"/>
      <sheetName val="2700.01 Check Translation '10"/>
      <sheetName val="2700.01 Check Translation"/>
      <sheetName val="2700.05.10 UM Pembelian Gedung"/>
      <sheetName val="2700.05.10 UM Pembelian Ged (2)"/>
      <sheetName val="2700.20 Piutang Refund"/>
      <sheetName val="2700.25 Aging Piutang Refund HO"/>
      <sheetName val="2700.25.1 Aging Refund Intl-HO"/>
      <sheetName val="2700.25.1.1 Payment HO"/>
      <sheetName val="2700.30 Piutang Lain2"/>
      <sheetName val="Aging OR-HO"/>
      <sheetName val="Aging OR HO-Jan'10"/>
      <sheetName val="Aging OR KUN-Des'09"/>
      <sheetName val="Aging OR KUN-Jan'10"/>
      <sheetName val="Aging OR PIM-Des'09"/>
      <sheetName val="Aging OR PIM-Jan'10"/>
      <sheetName val="Aging OR WDS-Des'09"/>
      <sheetName val="Aging OR WDS-Jan'10"/>
      <sheetName val="2700.35.1 Piutang Karyawan 09"/>
      <sheetName val="2700.40 Uang Muka"/>
      <sheetName val="2700.40.1.1 UM Tiket HO 09"/>
      <sheetName val="2700.40.1.2 UM Supplier 09"/>
      <sheetName val="2700.40.3.1 UM OB 09"/>
      <sheetName val="2700.40.3.3 UM OB 09"/>
      <sheetName val="2700.40.3.4 UM OB 09"/>
      <sheetName val="2700.40.3.5 UM OB 09"/>
      <sheetName val="2700.10.08UM DepositAirlines 09"/>
      <sheetName val="2700.10.03 UM PembelianGedung09"/>
      <sheetName val="2700.50 Biaya Dibayar Di Muka09"/>
      <sheetName val="2700.50 Confirmation Control 09"/>
      <sheetName val="2700.10 Prepaid"/>
      <sheetName val="2700.10.09 UM Bandung 09"/>
      <sheetName val="2700.10.10 UM Surabaya 09"/>
      <sheetName val="2700.10.11 UM Tiket 09"/>
      <sheetName val="2700.10.12 UM Balikpapan 09"/>
      <sheetName val="2700.20 List Asuransi AT"/>
      <sheetName val="2700.20.1 Property 07-08"/>
      <sheetName val="2700.20.2 Earthquake 07-08"/>
      <sheetName val="2700.20.3 Money In safe"/>
      <sheetName val="2700.20.4 Money In Transit"/>
      <sheetName val="2700.20.5 Fidelity Guarantee"/>
      <sheetName val="2700.20.6 Mobil 07-08"/>
      <sheetName val="2700.20.7 Motor 07-08"/>
      <sheetName val="2700.25 Uang Muka Gedung"/>
      <sheetName val="2700.30.1 UM Hotel-Tour Rp"/>
      <sheetName val="2700.30.2 Uang Muka OB"/>
      <sheetName val="2700.30.3 UM Rp 08"/>
      <sheetName val="2700.30.4 UM USD 08"/>
      <sheetName val="2700.30.5 Uang Muka Batavia 08"/>
      <sheetName val="2700.30.6 Uang Muka Mandala"/>
      <sheetName val="2700.30.7 Detail OR"/>
      <sheetName val="2700.30.8 Uang Muka Dokumen"/>
      <sheetName val="2700.40.1 Refund1"/>
      <sheetName val="2700.40.2 Refund2"/>
      <sheetName val="2700.40.3 Refund3"/>
      <sheetName val="2700.40.4 Refund4"/>
      <sheetName val="2700.40.5 Refund5"/>
      <sheetName val="2700.40.6 Refund6"/>
      <sheetName val="2700.45 Uang Depo Linus"/>
      <sheetName val="2700.50 Confirmation Control"/>
      <sheetName val="2700.60.1 TOD Sewa Gedung"/>
      <sheetName val="2700.60.2 ToD UM Hotel Gedung"/>
      <sheetName val="RSM Maps LRM HRM"/>
      <sheetName val="sample size"/>
      <sheetName val="PMK"/>
      <sheetName val="intern-neraca"/>
      <sheetName val="intern-RL"/>
      <sheetName val="rek-koran"/>
      <sheetName val="catat-8"/>
      <sheetName val="catat-7"/>
      <sheetName val="catat-4"/>
      <sheetName val="catat-3"/>
      <sheetName val="catat-2"/>
      <sheetName val="catat-1"/>
      <sheetName val="Pend-lain"/>
      <sheetName val="By-Usaha"/>
      <sheetName val="OHP"/>
      <sheetName val="hutang-LC"/>
      <sheetName val="hutang-usaha"/>
      <sheetName val="NERACA-2"/>
      <sheetName val="AAAA"/>
      <sheetName val="Income-tax"/>
      <sheetName val="WBS-ok "/>
      <sheetName val="Lap. keu-2 th"/>
      <sheetName val="Cs.Flow "/>
      <sheetName val="Daft-AJE"/>
      <sheetName val="opini "/>
      <sheetName val="Daft. isi"/>
      <sheetName val="Daftar Isi  (2)"/>
      <sheetName val="Question"/>
      <sheetName val="NOTA DEBET KE PKP"/>
      <sheetName val="aktiva tetap 2004"/>
      <sheetName val="D.Perusahaan"/>
      <sheetName val="A-6"/>
      <sheetName val="A-7"/>
      <sheetName val="A-8"/>
      <sheetName val="A-9 (2)"/>
      <sheetName val="A-9"/>
      <sheetName val="A-10"/>
      <sheetName val="A-11"/>
      <sheetName val="A-12"/>
      <sheetName val="B-3"/>
      <sheetName val="B-4"/>
      <sheetName val="B-5"/>
      <sheetName val="B-6"/>
      <sheetName val="B-7"/>
      <sheetName val="B-8"/>
      <sheetName val="B-9"/>
      <sheetName val="F-1 "/>
      <sheetName val="WBS&amp;WIS"/>
      <sheetName val="Notes5"/>
      <sheetName val="Lap Keuangan"/>
      <sheetName val="LapPerubEkui"/>
      <sheetName val="AKTEP Ladongi"/>
      <sheetName val="AKTEP Ladongi BARU"/>
      <sheetName val="Penjualan Lahan"/>
      <sheetName val="Opinion '05"/>
      <sheetName val="Pernyataan"/>
      <sheetName val="Daftar Isi "/>
      <sheetName val="Ruko Pluit Sakti"/>
      <sheetName val="Condominium M. Tower"/>
      <sheetName val="G. Muara Baru"/>
      <sheetName val="Lahan Muara Karang"/>
      <sheetName val="Z4 &amp; Z5"/>
      <sheetName val="T. Rcmix M. Baru Blok D 4"/>
      <sheetName val="Club House &amp; Swimming Pool"/>
      <sheetName val="dafisi"/>
      <sheetName val="Lap. Audit"/>
      <sheetName val="Lap. Keuangan Des "/>
      <sheetName val="Top schedule Des"/>
      <sheetName val="Supporting schedule Des"/>
      <sheetName val="Nrc &amp; RL Cab"/>
      <sheetName val="J. Koreksi"/>
      <sheetName val="Perhit. Aktiva Pjk Tangguhan"/>
      <sheetName val="Akt. Pajak Gabungan"/>
      <sheetName val="opini  "/>
      <sheetName val="Cover  1 maret dan desember 09"/>
      <sheetName val="ikhtisar keu2"/>
      <sheetName val="Ikhtisar keu"/>
      <sheetName val="Cover 24 dan 1 maret"/>
      <sheetName val="Lap Keu 24 maret &amp; 1 maret"/>
      <sheetName val="Lap Keu 1 maret &amp; 09"/>
      <sheetName val="Lap Keu 09&amp;08"/>
      <sheetName val="Note 24 Maret &amp; 1 Maret"/>
      <sheetName val="Note 1 Maret &amp; 09"/>
      <sheetName val="WBS-PEB'10"/>
      <sheetName val="Divaluekan (2)"/>
      <sheetName val="Note 09 &amp; 08"/>
      <sheetName val="Daf-isi 09"/>
      <sheetName val="WBS-09"/>
      <sheetName val="WBS99 (2)"/>
      <sheetName val="Reksadana starfixed income"/>
      <sheetName val="HPAM Premium-1"/>
      <sheetName val="ReksadanaStarCapital Protected"/>
      <sheetName val="Reksadana HPAM Proteksi 1"/>
      <sheetName val="Reksadana Synergi Stabil"/>
      <sheetName val="Reksa Dana SynergiFlexi"/>
      <sheetName val="ReksadanaStarBalanced"/>
      <sheetName val="Master Data Entry"/>
      <sheetName val="Summary Dashboard"/>
      <sheetName val="Cash Flow Statement"/>
      <sheetName val="Cash Flow Statement 8 Periods"/>
      <sheetName val="Balance Sheet 8 Periods"/>
      <sheetName val="BS Summary &amp; What-ifs Charts"/>
      <sheetName val="Balance Sheets Charts"/>
      <sheetName val="Balance Sheet Projections"/>
      <sheetName val="Print Projected Balance Sheet"/>
      <sheetName val="Print What-if Balance Sheet"/>
      <sheetName val="Income Statement 8 Periods"/>
      <sheetName val="Forecast Analysis 8 Years"/>
      <sheetName val="Income Summary &amp; What-if Charts"/>
      <sheetName val="Income Statement Charts"/>
      <sheetName val="Income Projections Charts"/>
      <sheetName val="Print Projected Income"/>
      <sheetName val="Print What-if Income Statement"/>
      <sheetName val="Key Financial Indicators"/>
      <sheetName val="Key Financial Ratios Indicators"/>
      <sheetName val="Optimal Performance"/>
      <sheetName val="Break-Even Analysis 4 Periods"/>
      <sheetName val="Bankrupcy Predictions"/>
      <sheetName val="Copyright"/>
      <sheetName val="rinci neraca"/>
      <sheetName val="rinci penjualan"/>
      <sheetName val="rinci by.operasional"/>
      <sheetName val="Prepaid Insurance"/>
      <sheetName val="Prepaid Rent House ( Audit )"/>
      <sheetName val="Prepaid Car Lease"/>
      <sheetName val="Prepaid Other ( Audited)"/>
      <sheetName val="Long Term Portion"/>
      <sheetName val="cvc"/>
      <sheetName val="tra-vat-lieu"/>
      <sheetName val="PTDG(gia tri cu)"/>
      <sheetName val="PTDG (phan dieu chinh)"/>
      <sheetName val="dtct_GD1 (tong hop)"/>
      <sheetName val="dtct_GD1 (phan dieu chinh tang)"/>
      <sheetName val="dtct_GD1 (phan dieu chinh giam"/>
      <sheetName val="GTXL(P dieu chinh tang)"/>
      <sheetName val="GTXL(P dieu chinh giam)"/>
      <sheetName val="THGD1(P dieu chinh)"/>
      <sheetName val="THGD1(P dieu chinh) (2)"/>
      <sheetName val="kstk"/>
      <sheetName val="dtct_GD1"/>
      <sheetName val="GTXL. "/>
      <sheetName val="THGD1"/>
      <sheetName val="Tra_bang"/>
      <sheetName val="CPkhaithacdat"/>
      <sheetName val="DGKSKTTC"/>
      <sheetName val="DgiaksatDHC4,"/>
      <sheetName val="dongia"/>
      <sheetName val="dgGPMB"/>
      <sheetName val="KSGPMB"/>
      <sheetName val="DGKSKTTC (2)"/>
      <sheetName val="kstk (2)"/>
      <sheetName val="dongia (2)"/>
      <sheetName val="giaithich"/>
      <sheetName val="XL4Poppy"/>
      <sheetName val="Sup doc for CIT"/>
      <sheetName val="1771-A"/>
      <sheetName val="1771-I (2)"/>
      <sheetName val="1771- VI"/>
      <sheetName val="A1-B"/>
      <sheetName val="A1-C"/>
      <sheetName val="A1-D"/>
      <sheetName val="E1-A"/>
      <sheetName val="E1-B"/>
      <sheetName val="J1-C"/>
      <sheetName val="R1-A"/>
      <sheetName val="RBY (3)"/>
      <sheetName val="NY"/>
      <sheetName val="LL (2)"/>
      <sheetName val="RLY"/>
      <sheetName val="RLY (2)"/>
      <sheetName val="LM"/>
      <sheetName val="RPY(2)"/>
      <sheetName val="RBY (2)"/>
      <sheetName val="Joy"/>
      <sheetName val="Crab projection"/>
      <sheetName val="TP 2.5%"/>
      <sheetName val="Sensitivity-Crab (FPP%,TP,Pac)"/>
      <sheetName val="Sensitivity - Crab (Crab Lbs.)"/>
      <sheetName val="Expenses Crab"/>
      <sheetName val="Sales Amount"/>
      <sheetName val="Productivity Crab"/>
      <sheetName val="CAPEX Crab"/>
      <sheetName val="Expenses All"/>
      <sheetName val="Packaging Cost Amount"/>
      <sheetName val="VA Projection"/>
      <sheetName val="Sensitivity RM,PS,TP"/>
      <sheetName val="Sensitivity VA &amp; Fish  Lbs."/>
      <sheetName val="VA Raw material"/>
      <sheetName val="VA Packaging"/>
      <sheetName val="VA &amp; Fish Expenses Summary"/>
      <sheetName val="Productivity VA &amp; Fish"/>
      <sheetName val="VA Sales"/>
      <sheetName val="Productivity VA &amp; Fish (2)"/>
      <sheetName val="CAPEX Fisn &amp; VA"/>
      <sheetName val="N-1.A"/>
      <sheetName val="N-4.1"/>
      <sheetName val="N-4.2"/>
      <sheetName val="N-4.3"/>
      <sheetName val="N-4.4"/>
      <sheetName val="N-4.5"/>
      <sheetName val="N-4.6"/>
      <sheetName val="N-4.7"/>
      <sheetName val="N-4.8"/>
      <sheetName val="N-4.9"/>
      <sheetName val="N-4.10"/>
      <sheetName val="N-4.11"/>
      <sheetName val="N-6"/>
      <sheetName val="Yearly comparision"/>
      <sheetName val="Projection 2007 Summary"/>
      <sheetName val="Asian 2004 - 2006"/>
      <sheetName val="PSI 2004 - 2006"/>
      <sheetName val="Projection 2007 PSVN"/>
      <sheetName val="Projection 2007 PSPC"/>
      <sheetName val="Projection 2007 PSEM"/>
      <sheetName val="Projection 2007 PSN"/>
      <sheetName val="Projection 2007 Pemalang"/>
      <sheetName val="Projection 2007 Pasuruan"/>
      <sheetName val="Projection 2007 Sulawesi"/>
      <sheetName val="Projection 2007 Medan"/>
      <sheetName val="Projection 2007 Lampung"/>
      <sheetName val="1201"/>
      <sheetName val="1202"/>
      <sheetName val="1203 "/>
      <sheetName val="1204"/>
      <sheetName val="1205"/>
      <sheetName val="1206"/>
      <sheetName val="1207"/>
      <sheetName val="1208"/>
      <sheetName val="1209"/>
      <sheetName val="1210"/>
      <sheetName val="1211"/>
      <sheetName val="comb"/>
      <sheetName val="1212"/>
      <sheetName val="1213"/>
      <sheetName val="1214"/>
      <sheetName val="1215"/>
      <sheetName val="1216"/>
      <sheetName val="1101"/>
      <sheetName val="1102"/>
      <sheetName val="1103"/>
      <sheetName val="C 10.1"/>
      <sheetName val="C 10.2"/>
      <sheetName val="Rep_BS"/>
      <sheetName val="Rep_PL"/>
      <sheetName val="C 10 (a)"/>
      <sheetName val="C 10 (b)"/>
      <sheetName val="C 10 (c)"/>
      <sheetName val="TB KLIEN"/>
      <sheetName val="FEB05"/>
      <sheetName val="MAR05"/>
      <sheetName val="APRIL2005"/>
      <sheetName val="006681"/>
      <sheetName val="IMK9812101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Rugi Fiskal"/>
      <sheetName val="Mutation CF-BE"/>
      <sheetName val="ID-CF-RTI"/>
      <sheetName val="Loans-Principal"/>
      <sheetName val="Gain on Restructuring"/>
      <sheetName val="SUMMARY RATIO"/>
      <sheetName val="BS-Lampiran 1"/>
      <sheetName val="Summary of Fiscal Depreciations"/>
      <sheetName val="Penyusutan - E"/>
      <sheetName val="MArshall-E"/>
      <sheetName val="Lampiran2000"/>
      <sheetName val="Attachment2000"/>
      <sheetName val="PPH 17"/>
      <sheetName val="R.2 Impact new law"/>
      <sheetName val="R 1"/>
      <sheetName val="R 1.1"/>
      <sheetName val="R 1.1.1"/>
      <sheetName val="Revision of 2008 Depreciation"/>
      <sheetName val="R 2"/>
      <sheetName val="R 2-copy"/>
      <sheetName val="R 2.1"/>
      <sheetName val="R 3"/>
      <sheetName val="VALIDASI"/>
      <sheetName val="O_Lead"/>
      <sheetName val="UB.1"/>
      <sheetName val="O.1a"/>
      <sheetName val="O1.1"/>
      <sheetName val="O2"/>
      <sheetName val="O2.1"/>
      <sheetName val="O.3.1"/>
      <sheetName val="O.3.2"/>
      <sheetName val="O.4.1_VAT Restitution 2008"/>
      <sheetName val="O.5.1"/>
      <sheetName val="O.7"/>
      <sheetName val="O.7.1"/>
      <sheetName val="O.7.2"/>
      <sheetName val="O.9"/>
      <sheetName val="O.9.1"/>
      <sheetName val="O.9.2"/>
      <sheetName val="O.9.3"/>
      <sheetName val="Summary AJE"/>
      <sheetName val="O.8"/>
      <sheetName val="O.c_Tax Exposure 2009"/>
      <sheetName val="O.8.1.1"/>
      <sheetName val="O.8.1.2"/>
      <sheetName val="O.8.3"/>
      <sheetName val="O.8.3.1_PPh 23 (pbc)"/>
      <sheetName val="O.8.4_CIT (PBC)"/>
      <sheetName val="P.3.9_Tax Exposure (2)"/>
      <sheetName val="O.6"/>
      <sheetName val="0.7"/>
      <sheetName val="O.8 (2)"/>
      <sheetName val="VD.7.1"/>
      <sheetName val="P.3.9_Tax Exposure"/>
      <sheetName val="O.2.1"/>
      <sheetName val="O3.1"/>
      <sheetName val="Taxation point"/>
      <sheetName val="O.8.1_Tax Exposure 2009"/>
      <sheetName val="O.8.1.1_Interest exp &amp;final inv"/>
      <sheetName val="O.8.1.2_Self assess VAT"/>
      <sheetName val="O.8.2_Summary Tax Appeal 2005"/>
      <sheetName val="O.8.2.1_PPh 23 (pbc)"/>
      <sheetName val="O.8.2.2_CIT (PBC)"/>
      <sheetName val="G.13"/>
      <sheetName val="O.8.2_Tax Appeal result 2005"/>
      <sheetName val="TNI Detail "/>
      <sheetName val="List Reconciliation TNI"/>
      <sheetName val="OS comparation"/>
      <sheetName val="E.1.1 TNI_ABRI test of Aging"/>
      <sheetName val="List Reconciliation TNI (2)"/>
      <sheetName val="Mabes TNI"/>
      <sheetName val="TNI AU"/>
      <sheetName val="TNI AU-AL 2005"/>
      <sheetName val="TNI AU-AL 2005 (2)"/>
      <sheetName val="TNI AD"/>
      <sheetName val="TNI AL"/>
      <sheetName val="Dephan"/>
      <sheetName val="DephanMabes TNI"/>
      <sheetName val="SPM-1"/>
      <sheetName val="SPM-3"/>
      <sheetName val="SPM modified"/>
      <sheetName val="P.2_other accrued"/>
      <sheetName val="13320 (2)"/>
      <sheetName val="P2.1"/>
      <sheetName val="P2.2"/>
      <sheetName val="P2.3"/>
      <sheetName val="P2.3.1"/>
      <sheetName val="P2.5"/>
      <sheetName val="P2.6"/>
      <sheetName val="P2.7"/>
      <sheetName val="P2.8"/>
      <sheetName val="P2.9"/>
      <sheetName val="P2.6_Penalty Interest MSC"/>
      <sheetName val="P2.6_Interest &amp; Penalty OCBC"/>
      <sheetName val="P2.4_KSO Recon_after nett Off"/>
      <sheetName val="P2.4.1_Summary Movement 2009"/>
      <sheetName val="P2.4.1.1_TOBAJAYA_revised"/>
      <sheetName val="P2.4.1.2_Barito_revised"/>
      <sheetName val="P.2.4.1.3_MineralInvest_revised"/>
      <sheetName val="P2.4.1.4_KARYAMANDIRI"/>
      <sheetName val="Pendingan"/>
      <sheetName val="G Memo"/>
      <sheetName val="G-Lead"/>
      <sheetName val="G.9.1"/>
      <sheetName val="G.10"/>
      <sheetName val="G.11"/>
      <sheetName val="G.12"/>
      <sheetName val="G.14"/>
      <sheetName val="G.15"/>
      <sheetName val="G.16"/>
      <sheetName val="G.16.1"/>
      <sheetName val="G.16.2"/>
      <sheetName val="Review Note.."/>
      <sheetName val="P.2_13320"/>
      <sheetName val="P.3_13330"/>
      <sheetName val="P.5_13334"/>
      <sheetName val="P.6_13336"/>
      <sheetName val="P.7_13581"/>
      <sheetName val="P.8_13321"/>
      <sheetName val="annual leave-Dec"/>
      <sheetName val="P.7.1"/>
      <sheetName val="P.11"/>
      <sheetName val="P.11.1"/>
      <sheetName val="P.11.2"/>
      <sheetName val="P.11.3"/>
      <sheetName val="P.10_13521"/>
      <sheetName val="P.10.1_13521"/>
      <sheetName val="A3-final"/>
      <sheetName val="AJE-final"/>
      <sheetName val="Gain"/>
      <sheetName val="PPh 21 Recon"/>
      <sheetName val="F1771-IA"/>
      <sheetName val="Depreciation  schedule "/>
      <sheetName val="Attach"/>
      <sheetName val="fiscal depr(E)"/>
      <sheetName val="fiscal depr. (I)"/>
      <sheetName val="supervision"/>
      <sheetName val="Rounding off"/>
      <sheetName val="disposal assets"/>
      <sheetName val="Pre-Op"/>
      <sheetName val="2%donat"/>
      <sheetName val="details fiscal adjustments"/>
      <sheetName val="rekonFA"/>
      <sheetName val="Sum empcost"/>
      <sheetName val="provision (3)"/>
      <sheetName val="Recon-Art.21"/>
      <sheetName val="Peny-2002"/>
      <sheetName val="FA-gainloss (2)"/>
      <sheetName val="fiscal corr"/>
      <sheetName val="Marshal-2"/>
      <sheetName val="Marshal-3"/>
      <sheetName val="U-3.1.1 telephone"/>
      <sheetName val="CRA_Detail"/>
      <sheetName val="08-01 CRA - M-Accounts payable"/>
      <sheetName val="Penyusutan Kendaraan"/>
      <sheetName val="Commercial"/>
      <sheetName val="O notes"/>
      <sheetName val="O.1 rekap edit"/>
      <sheetName val="O.2 PPH BADAN"/>
      <sheetName val="O.2.1 Angsur PPH badan"/>
      <sheetName val="O.2.2 Def Tax Inc Im Kerja   "/>
      <sheetName val="O.2.1 VAT"/>
      <sheetName val="KK Def Tax Inc IM Kerja  "/>
      <sheetName val="C1 NOV"/>
      <sheetName val="Trading Statement"/>
      <sheetName val="Sales Report MKTG"/>
      <sheetName val="C13"/>
      <sheetName val="CDYW"/>
      <sheetName val="Detail-PARENT"/>
      <sheetName val="K1.3 bldg"/>
      <sheetName val="K1.4 mach"/>
      <sheetName val="N.Lead"/>
      <sheetName val="N.1.2"/>
      <sheetName val="N.1.3"/>
      <sheetName val="Vouching Add FA_Mar 07"/>
      <sheetName val="Vouching addition_25 Feb 07"/>
      <sheetName val="Vouching Exp Cap_5 Mar 07"/>
      <sheetName val="Vouching List_12 Mar 07"/>
      <sheetName val="Vouching_Add_FA_Mar_07"/>
      <sheetName val="Vouching_addition_25_Feb_07"/>
      <sheetName val="Vouching_Exp_Cap_5_Mar_07"/>
      <sheetName val="Vouching_List_12_Mar_07"/>
      <sheetName val="Deferred Rev"/>
      <sheetName val="Mst_Work"/>
      <sheetName val="Other Current Asset"/>
      <sheetName val="Fiset"/>
      <sheetName val="Deferred Charges"/>
      <sheetName val="Trade Payables"/>
      <sheetName val="Other Payables"/>
      <sheetName val="Marketing and G&amp;A"/>
      <sheetName val="Intercompany"/>
      <sheetName val="Other Expense or Income"/>
      <sheetName val="Pk prod"/>
      <sheetName val="Front Sheet"/>
      <sheetName val="Data_Umum"/>
      <sheetName val="Danamon LK"/>
      <sheetName val="CIP_USD"/>
      <sheetName val="Data Ben"/>
      <sheetName val="B9A-TOTAL"/>
      <sheetName val="B9B-MC"/>
      <sheetName val="B9B-HM"/>
      <sheetName val="B9B-Sack"/>
      <sheetName val="recon-21"/>
      <sheetName val="Depr-2002"/>
      <sheetName val="Depr-Comp"/>
      <sheetName val="Depr-Comp (2)"/>
      <sheetName val="provision (2)"/>
      <sheetName val="fiscal corr (3)"/>
      <sheetName val="fiscal corr (2)"/>
      <sheetName val="PL BI FORM"/>
      <sheetName val="P&amp;L98"/>
      <sheetName val="explan"/>
      <sheetName val="MASREK"/>
      <sheetName val="t000"/>
      <sheetName val="daf lam"/>
      <sheetName val="Lam I"/>
      <sheetName val="Lam 2"/>
      <sheetName val="Lam 3"/>
      <sheetName val="Lam 4"/>
      <sheetName val="Lam 5"/>
      <sheetName val="Lam 6"/>
      <sheetName val="Lam 7"/>
      <sheetName val="Lam 8"/>
      <sheetName val="Lamp 9"/>
      <sheetName val="Lamp 10"/>
      <sheetName val="Lam 11"/>
      <sheetName val="Lam 12"/>
      <sheetName val="Lam 14"/>
      <sheetName val="Lamp 15"/>
      <sheetName val="Lamp16"/>
      <sheetName val="lamp 17"/>
      <sheetName val="Lamp18"/>
      <sheetName val="sampul (3)"/>
      <sheetName val="RULAB"/>
      <sheetName val="Evaluasi Kebun (2)"/>
      <sheetName val="Evaluasi Ktr_Jbi (2)"/>
      <sheetName val="lm601 (2)"/>
      <sheetName val="lm602 (2)"/>
      <sheetName val="tb (3)"/>
      <sheetName val="tbm_I (2)"/>
      <sheetName val="tbm_II (2)"/>
      <sheetName val="tbm_III (2)"/>
      <sheetName val="tbm_IV (2)"/>
      <sheetName val="rekap tb_tbm (2)"/>
      <sheetName val="sampul (6)"/>
      <sheetName val="lm601"/>
      <sheetName val="lm602"/>
      <sheetName val="tbm_I"/>
      <sheetName val="tbm_II"/>
      <sheetName val="tbm_III"/>
      <sheetName val="tbm_IV"/>
      <sheetName val="rekap tb_tbm"/>
      <sheetName val="Evaluasi_Kebun"/>
      <sheetName val="Evaluasi Ktr_Jbi"/>
      <sheetName val="sampul (5)"/>
      <sheetName val="sampul (7)"/>
      <sheetName val="lm50.1"/>
      <sheetName val="lm_14"/>
      <sheetName val="cover LM_Kebun"/>
      <sheetName val="U_korksi"/>
      <sheetName val="NAP"/>
      <sheetName val="FE_1770_P1"/>
      <sheetName val="ROSS LIST"/>
      <sheetName val="Orders"/>
      <sheetName val="NERKON_"/>
      <sheetName val="P-Kebun_"/>
      <sheetName val="PLL_"/>
      <sheetName val="AL-BTL_KK_(2)"/>
      <sheetName val="BTL__"/>
      <sheetName val="Ak_pro_(2)"/>
      <sheetName val="HUT_"/>
      <sheetName val="pph_"/>
      <sheetName val="HB_"/>
      <sheetName val="PJR_PENJ_"/>
      <sheetName val="COVER_"/>
      <sheetName val="ROSS_LIST"/>
      <sheetName val="VAT out"/>
      <sheetName val="pmndhbukuan"/>
      <sheetName val="SCFP"/>
      <sheetName val="CAPBUDG"/>
      <sheetName val="CAPSALE"/>
      <sheetName val="Angkutan"/>
      <sheetName val="BAL SHEET(2)"/>
      <sheetName val="FA1999"/>
      <sheetName val="Ak_pro_"/>
      <sheetName val="PJR_PENJ"/>
      <sheetName val="PG112"/>
      <sheetName val="sapactivexlhiddensheet"/>
      <sheetName val="TPPI"/>
      <sheetName val="P.4.1"/>
      <sheetName val="P.4.2"/>
      <sheetName val="P.5.1"/>
      <sheetName val="Tabel New"/>
      <sheetName val="Tabel Japa"/>
      <sheetName val="Ilus"/>
      <sheetName val="选择报表"/>
      <sheetName val="LS_Bank"/>
      <sheetName val="LS_TAR"/>
      <sheetName val="121-PBC"/>
      <sheetName val="161-PBC"/>
      <sheetName val="121"/>
      <sheetName val="161"/>
      <sheetName val="Table 5"/>
      <sheetName val="Notes to BS"/>
      <sheetName val="EXC-R"/>
      <sheetName val="DAFBK (2)"/>
      <sheetName val="K1_3 bldg"/>
      <sheetName val="K1_4 mach"/>
      <sheetName val="addition-assets"/>
      <sheetName val="rab_50"/>
      <sheetName val="RATE-NEW"/>
      <sheetName val="2010 TIN ORE PTU "/>
      <sheetName val="VA.3"/>
      <sheetName val="VA.4"/>
      <sheetName val="F.1 Stock Reconciliation  (2)"/>
      <sheetName val="2010 TIN ORE PTU  (2)"/>
      <sheetName val="VB Lead.2"/>
      <sheetName val="VB Lead.2 1 of 2"/>
      <sheetName val="G.9 Prepayment Other"/>
      <sheetName val="VB Lead.1"/>
      <sheetName val="A.2 BS"/>
      <sheetName val="A.2 PL"/>
      <sheetName val="A.4 WTB MSCI-Parent"/>
      <sheetName val="A.3 Trial Balance"/>
      <sheetName val="A5-AJE, RJE 2009"/>
      <sheetName val="A.8 PM TE SAD"/>
      <sheetName val="A.4 WTB MSCI-Consolidation "/>
      <sheetName val="A.2 BS Consolidation"/>
      <sheetName val="A.2 PL Consolidation"/>
      <sheetName val="A.2 Equity"/>
      <sheetName val="A.1 Cash Flow"/>
      <sheetName val="A.1.1 Flow for CF"/>
      <sheetName val="A.3 Trial Balance June 2011"/>
      <sheetName val="A.4 WTB 2011 MSCI-Parent "/>
      <sheetName val="A5-AJE, RJE Beg Balance"/>
      <sheetName val="Reconciliation RE Update 2011"/>
      <sheetName val="A5-AJE, RJE 2010"/>
      <sheetName val="A5-AJE, RJE 2010 CONSOL"/>
      <sheetName val="Reporting Purpose"/>
      <sheetName val="A.1.1 "/>
      <sheetName val="mars"/>
      <sheetName val="Ntpph"/>
      <sheetName val="skonf"/>
      <sheetName val="lkonf"/>
      <sheetName val="B11"/>
      <sheetName val="B12"/>
      <sheetName val="Sut1"/>
      <sheetName val="Sut2"/>
      <sheetName val="B42A"/>
      <sheetName val="sphp"/>
      <sheetName val="lphp"/>
      <sheetName val="Harta"/>
      <sheetName val="POTO MAC"/>
      <sheetName val="DATA_WP"/>
      <sheetName val="RetPlan"/>
      <sheetName val="Office_Rent"/>
      <sheetName val="Acc"/>
      <sheetName val="TEH KEMASAN"/>
      <sheetName val="RSKA"/>
      <sheetName val="Data Lajur Gabungan"/>
      <sheetName val="Data Lajur Gabungan N6"/>
      <sheetName val="Data Lajur Gabungan BK"/>
      <sheetName val="NERACA Ver BAPEPAM"/>
      <sheetName val="NERACA Kons N6"/>
      <sheetName val="NERACA Ver BAPEPAM KONS"/>
      <sheetName val="NERACA KONS"/>
      <sheetName val="LARU-KOM Ver 2"/>
      <sheetName val="LARU-KOM Ver 2 Nilai Penjualan"/>
      <sheetName val="LARU-KOM Ver 3"/>
      <sheetName val="LARU-TK"/>
      <sheetName val="LARU KONSOLIDASI"/>
      <sheetName val="LARU KOTOR-KOM"/>
      <sheetName val="LARU-BI Ver 2"/>
      <sheetName val="LARU-BI Ver 3"/>
      <sheetName val="PER-HP (2)"/>
      <sheetName val="persed (2)"/>
      <sheetName val="RKAP GABUNGAN"/>
      <sheetName val="L-R per Kom Ver 2"/>
      <sheetName val="L-R untuk Persentase"/>
      <sheetName val="L-R per Kom BI Ver 2"/>
      <sheetName val="Perhit_Pjk Tangguhan"/>
      <sheetName val="PJK_FIS (2)"/>
      <sheetName val="Perhit_Pjk Tangguhan KAP"/>
      <sheetName val="Rin1"/>
      <sheetName val="CONTRACT REC"/>
      <sheetName val="kor fiscal per audit"/>
      <sheetName val="CF Dec 2004"/>
      <sheetName val="kor fiskal 2004"/>
      <sheetName val="Deftax for Reporting"/>
      <sheetName val="taxloss"/>
      <sheetName val="Deftax-USD"/>
      <sheetName val="PMTESAD"/>
      <sheetName val="TB12"/>
      <sheetName val="Monthly Data"/>
      <sheetName val="Shipping Dbase"/>
      <sheetName val="FE-1771"/>
      <sheetName val="Oct 03"/>
      <sheetName val="Finance Report"/>
      <sheetName val="import facility limit"/>
      <sheetName val="Forex Exposure"/>
      <sheetName val="FX Forward"/>
      <sheetName val="Deposit"/>
      <sheetName val="Interco Loan"/>
      <sheetName val="Import Non LC"/>
      <sheetName val="TR - CIL"/>
      <sheetName val="DB SF ULI"/>
      <sheetName val="HSBC-Factoring"/>
      <sheetName val="HSBC-Supplier Financing"/>
      <sheetName val="OCBC-SAF"/>
      <sheetName val="HSBC-RBL"/>
      <sheetName val="Mandiri PTK"/>
      <sheetName val="HSBC-ICBC Loan"/>
      <sheetName val="FORM V"/>
      <sheetName val="Form 21 &amp; 22"/>
      <sheetName val="EVA-21A"/>
      <sheetName val="FORM 2.3"/>
      <sheetName val="Form 2.4"/>
      <sheetName val="Form 2.6"/>
      <sheetName val="Form 50"/>
      <sheetName val="Form 60"/>
      <sheetName val="EXCOM01"/>
      <sheetName val="Alokasi-01"/>
      <sheetName val="Ratio-01"/>
      <sheetName val="EXCL CN"/>
      <sheetName val="INCL CN"/>
      <sheetName val="EVA Rincian"/>
      <sheetName val="Sales &amp; Prodution"/>
      <sheetName val="Variable"/>
      <sheetName val="Budget EVA"/>
      <sheetName val="FORM 2_3"/>
      <sheetName val="KODE REK"/>
      <sheetName val="Kd rek Sales"/>
      <sheetName val="KM"/>
      <sheetName val="RMK"/>
      <sheetName val="BM"/>
      <sheetName val="BK"/>
      <sheetName val="RMB"/>
      <sheetName val="Sales AERO"/>
      <sheetName val="Sales NON AERO"/>
      <sheetName val="jurgab"/>
      <sheetName val="BS-1"/>
      <sheetName val="BS-2"/>
      <sheetName val="PL-1"/>
      <sheetName val="PL-2"/>
      <sheetName val="CF-2"/>
      <sheetName val="entry LAMP II-1"/>
      <sheetName val="LAMP II-1"/>
      <sheetName val="LAMP II-2"/>
      <sheetName val="entry aging piutang"/>
      <sheetName val="LAMP II-3"/>
      <sheetName val="LAMP III"/>
      <sheetName val="LAMP IV"/>
      <sheetName val="LAMP V"/>
      <sheetName val="LAMP VI"/>
      <sheetName val="LAMP VII"/>
      <sheetName val="LAMP VIII"/>
      <sheetName val="LAMP IX"/>
      <sheetName val="LAMP X"/>
      <sheetName val="LAMP XI"/>
      <sheetName val="LAMP XII"/>
      <sheetName val="OPEX-2005"/>
      <sheetName val="Harmoni-04"/>
      <sheetName val="SUMMARY-FI"/>
      <sheetName val="BS-01"/>
      <sheetName val="AS-01A"/>
      <sheetName val="AS-01B"/>
      <sheetName val="AS-01C"/>
      <sheetName val="AS-01D"/>
      <sheetName val="AS-01E"/>
      <sheetName val="BS-02"/>
      <sheetName val="AS-02"/>
      <sheetName val="BS-03"/>
      <sheetName val="BS-03A"/>
      <sheetName val="BS-04"/>
      <sheetName val="AS-04"/>
      <sheetName val="BS-05"/>
      <sheetName val="BS-06"/>
      <sheetName val="BS-07"/>
      <sheetName val="BS-08"/>
      <sheetName val="AS-08"/>
      <sheetName val="BS-10"/>
      <sheetName val="AS-11A"/>
      <sheetName val="AS-11B"/>
      <sheetName val="BS-12"/>
      <sheetName val="BS-13"/>
      <sheetName val="BS-14"/>
      <sheetName val="BS-15"/>
      <sheetName val="BS-16"/>
      <sheetName val="BS-17"/>
      <sheetName val="AS-17"/>
      <sheetName val="BS-18"/>
      <sheetName val="DepSch"/>
      <sheetName val="jobhist"/>
      <sheetName val="Text File"/>
      <sheetName val="CD JUAL"/>
      <sheetName val="Order taken"/>
      <sheetName val="Act Delivery"/>
      <sheetName val="Summary Segment"/>
      <sheetName val="Uli East"/>
      <sheetName val="Uli West"/>
      <sheetName val="Bango"/>
      <sheetName val="Aqua"/>
      <sheetName val="kirim maju"/>
      <sheetName val="Eva Budget China Comb"/>
      <sheetName val="Eva Budget Ina Comb"/>
      <sheetName val="Trend Eva"/>
      <sheetName val="Eva Target"/>
      <sheetName val="Ratio Budget"/>
      <sheetName val="Cons China _ Ina"/>
      <sheetName val="F 21 Target Comb Indo"/>
      <sheetName val="Comb Ina"/>
      <sheetName val="Elim PDN"/>
      <sheetName val="ElimTGR"/>
      <sheetName val="Elim CKR"/>
      <sheetName val="CKR"/>
      <sheetName val="F21 HPPP"/>
      <sheetName val="F21 SPPP"/>
      <sheetName val="Comb China"/>
      <sheetName val="Comb China _format asli_"/>
      <sheetName val="Form 50 Cons"/>
      <sheetName val="Form 50 Comb China"/>
      <sheetName val="Form 50 Comb Ina"/>
      <sheetName val="Form 50 PDN"/>
      <sheetName val="Form 50 TGR"/>
      <sheetName val="Form 50 CKR"/>
      <sheetName val="Form 50 SPPP"/>
      <sheetName val="Form 50 HPPP"/>
      <sheetName val="Kurs 07 _ 06"/>
      <sheetName val="Koreksi Cap Charge"/>
      <sheetName val="Neraca Budget Ina Comb"/>
      <sheetName val="RFP003E"/>
      <sheetName val="Pivot(Silicate)"/>
      <sheetName val="Pivot(RockWool)"/>
      <sheetName val="Pivot(Form Glass)"/>
      <sheetName val="Pivot(Urethan)"/>
      <sheetName val="Pivot(Glass Wool)"/>
      <sheetName val="ROCK WOOL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KPI Ckr"/>
      <sheetName val="KPI Tgr"/>
      <sheetName val="CHN2010"/>
      <sheetName val="LPI"/>
      <sheetName val="KPI (Q1)"/>
      <sheetName val="KPI (Q2)"/>
      <sheetName val="KPI (Q3)"/>
      <sheetName val="KPI (Q4)"/>
      <sheetName val="KPI (Q1) (2)"/>
      <sheetName val="spec handle (4)"/>
      <sheetName val="spec process &amp; packing  (2)"/>
      <sheetName val="mc-acc-util-infras (2)"/>
      <sheetName val="Box"/>
      <sheetName val="Repair  Mold"/>
      <sheetName val="Handle "/>
      <sheetName val="Tufting Triming original"/>
      <sheetName val="memo (2)"/>
      <sheetName val="Tufting Triming (2 x process)"/>
      <sheetName val="Tuft+Trim(2xproces)mc taiwan"/>
      <sheetName val="rate "/>
      <sheetName val="PreTB (2)"/>
      <sheetName val="spec process &amp; packing "/>
      <sheetName val="mc-acc-util-infras+alt taiwan"/>
      <sheetName val="P&amp;Lbook"/>
      <sheetName val="Expense Summary"/>
      <sheetName val="P&amp;L 4 tax"/>
      <sheetName val="FINDING"/>
      <sheetName val="TB USD"/>
      <sheetName val="Stock Rev"/>
      <sheetName val="deff exp"/>
      <sheetName val="FA SEPT-IDR"/>
      <sheetName val="FA SEP-USD"/>
      <sheetName val="Prepayment USD"/>
      <sheetName val="G &amp; A"/>
      <sheetName val="P&amp;L (1)"/>
      <sheetName val="OP"/>
      <sheetName val="Rub"/>
      <sheetName val="BS $"/>
      <sheetName val="P&amp;L $"/>
      <sheetName val="Sales &amp;prod USD"/>
      <sheetName val="Sales&amp;cost test "/>
      <sheetName val="Rub $"/>
      <sheetName val="POM $"/>
      <sheetName val="OP $"/>
      <sheetName val="3b"/>
      <sheetName val="3c"/>
      <sheetName val="11Rp"/>
      <sheetName val="11$"/>
      <sheetName val="13a"/>
      <sheetName val="13b"/>
      <sheetName val="13c"/>
      <sheetName val="Staff  Cost"/>
      <sheetName val="sum-JantoJun'03"/>
      <sheetName val="F301-1 FX"/>
      <sheetName val="F301-2 FX"/>
      <sheetName val="F301-3 FX"/>
      <sheetName val="F302-1 FX"/>
      <sheetName val="F302-2 FX"/>
      <sheetName val="F302-3 FX"/>
      <sheetName val="F301-1 ZF"/>
      <sheetName val="F301 - 02 ZF"/>
      <sheetName val="F301-03 ZF"/>
      <sheetName val="F302 -01 ZF"/>
      <sheetName val="F302-02 ZF"/>
      <sheetName val="F302-03 ZF"/>
      <sheetName val="F OSM"/>
      <sheetName val="F101 FC"/>
      <sheetName val="F200 FX (RM)"/>
      <sheetName val="F200 ZF (RM)"/>
      <sheetName val="F201 ZF"/>
      <sheetName val="F204 ZF"/>
      <sheetName val="F704-RM"/>
      <sheetName val="F704-RM(2)"/>
      <sheetName val="F705-RM"/>
      <sheetName val="F705-RM(2)"/>
      <sheetName val="F706-RM"/>
      <sheetName val="F706-RM(2)"/>
      <sheetName val="F606 (01)"/>
      <sheetName val="M200"/>
      <sheetName val="M201"/>
      <sheetName val="M202"/>
      <sheetName val="M203"/>
      <sheetName val="To Generate"/>
      <sheetName val="Dec 03"/>
      <sheetName val="A16C"/>
      <sheetName val="2Yr"/>
      <sheetName val="Graph"/>
      <sheetName val="A51"/>
      <sheetName val="A52"/>
      <sheetName val="A53"/>
      <sheetName val="A54"/>
      <sheetName val="B-Sales "/>
      <sheetName val="U10"/>
      <sheetName val="Recon "/>
      <sheetName val="M5 Unre liab"/>
      <sheetName val="P3Jurong"/>
      <sheetName val="I1"/>
      <sheetName val="Imemo1"/>
      <sheetName val="I memo2"/>
      <sheetName val="GP3"/>
      <sheetName val="Bedok"/>
      <sheetName val="F5-Purchase cut off"/>
      <sheetName val="&lt;T101&gt;"/>
      <sheetName val="O-3-tax com"/>
      <sheetName val="O-4-add"/>
      <sheetName val="O-5-HP"/>
      <sheetName val="O-6 CA"/>
      <sheetName val="O-7 DFA"/>
      <sheetName val="A71"/>
      <sheetName val="BPR"/>
      <sheetName val="BPR-1"/>
      <sheetName val="F-22"/>
      <sheetName val="FF-1"/>
      <sheetName val="FF-3"/>
      <sheetName val="B-10"/>
      <sheetName val="B-30"/>
      <sheetName val="U-1 "/>
      <sheetName val="U-100"/>
      <sheetName val="M&amp;MM"/>
      <sheetName val="F-11"/>
      <sheetName val="F-11a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DD-10"/>
      <sheetName val="FSA"/>
      <sheetName val="FSA-Attached"/>
      <sheetName val="AP110"/>
      <sheetName val="F-7"/>
      <sheetName val="BPR balance sheet"/>
      <sheetName val="BPR profit &amp; loss"/>
      <sheetName val="BPR BS analysis"/>
      <sheetName val="BPR PL analysis"/>
      <sheetName val="U-RCD6"/>
      <sheetName val="CC-60"/>
      <sheetName val="CC-Recon"/>
      <sheetName val="FF-10"/>
      <sheetName val="70"/>
      <sheetName val="80"/>
      <sheetName val="90"/>
      <sheetName val="100"/>
      <sheetName val="TB-gl"/>
      <sheetName val="Hypothesis"/>
      <sheetName val="Profitability"/>
      <sheetName val="Profit anal"/>
      <sheetName val="F-1&amp;2"/>
      <sheetName val="F-9"/>
      <sheetName val="accumdeprn"/>
      <sheetName val="addl cost"/>
      <sheetName val="dev_exp (2)"/>
      <sheetName val="dev_exp"/>
      <sheetName val="Addl Dev Exp"/>
      <sheetName val="Profitability Analysis"/>
      <sheetName val="Purch cut off"/>
      <sheetName val="M&amp;MM-10"/>
      <sheetName val="pp-1"/>
      <sheetName val="40 (2)"/>
      <sheetName val="50 (2)"/>
      <sheetName val="BIF-collect"/>
      <sheetName val="BIF-OR"/>
      <sheetName val="Module3"/>
      <sheetName val="Future"/>
      <sheetName val="30 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Hypo"/>
      <sheetName val="AP110 sup"/>
      <sheetName val="AP110sup"/>
      <sheetName val="BB-10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-1"/>
      <sheetName val="110"/>
      <sheetName val="110s"/>
      <sheetName val="B-20"/>
      <sheetName val="U-90"/>
      <sheetName val="XX-1"/>
      <sheetName val="FF-2.1"/>
      <sheetName val="FF-2.2"/>
      <sheetName val="XX-3"/>
      <sheetName val="KK-2"/>
      <sheetName val="KK-10"/>
      <sheetName val="FF-21(a)"/>
      <sheetName val="F7wkg"/>
      <sheetName val="A-22"/>
      <sheetName val="FF-20"/>
      <sheetName val="CA"/>
      <sheetName val="FF-22(hp)"/>
      <sheetName val="FF-23(d)"/>
      <sheetName val="FF-30"/>
      <sheetName val="FF-31"/>
      <sheetName val="FF-40"/>
      <sheetName val="PP(spare)"/>
      <sheetName val="PP-20"/>
      <sheetName val="NN-12"/>
      <sheetName val="PP-30"/>
      <sheetName val="PP-31"/>
      <sheetName val="PP-40"/>
      <sheetName val="BPR support"/>
      <sheetName val="L-12"/>
      <sheetName val="U-20"/>
      <sheetName val="AA-1"/>
      <sheetName val="AA-10"/>
      <sheetName val="BA"/>
      <sheetName val="TR"/>
      <sheetName val="BB-20"/>
      <sheetName val="NN-10"/>
      <sheetName val="NN-20"/>
      <sheetName val="FF-50"/>
      <sheetName val="ODint"/>
      <sheetName val="P&amp;L Lead"/>
      <sheetName val="AP110 "/>
      <sheetName val="C-40"/>
      <sheetName val="BBK"/>
      <sheetName val="FSL"/>
      <sheetName val="APP-6"/>
      <sheetName val="APP-6 "/>
      <sheetName val="RCD-100"/>
      <sheetName val="CONT"/>
      <sheetName val="COM"/>
      <sheetName val="S108-1"/>
      <sheetName val="s108-2"/>
      <sheetName val="EXEMPT"/>
      <sheetName val="EXEM"/>
      <sheetName val="ra"/>
      <sheetName val="BSI"/>
      <sheetName val="MFA"/>
      <sheetName val="AFA"/>
      <sheetName val="HP"/>
      <sheetName val="DFA"/>
      <sheetName val="CAA"/>
      <sheetName val="FMC"/>
      <sheetName val="OS list  "/>
      <sheetName val="BTPL"/>
      <sheetName val="BTI"/>
      <sheetName val="Taster"/>
      <sheetName val="NOTES JUN 04"/>
      <sheetName val="A2.1-SAD"/>
      <sheetName val="A.3.1 &amp; A.3.2"/>
      <sheetName val="A.3.3"/>
      <sheetName val="A.3.4"/>
      <sheetName val="A.3.5"/>
      <sheetName val="A.5"/>
      <sheetName val="cash count IDR"/>
      <sheetName val="F.1.2"/>
      <sheetName val="G "/>
      <sheetName val="premi"/>
      <sheetName val="K.1.1.1 (out)"/>
      <sheetName val="K.1.1.1"/>
      <sheetName val="K.1.1.2"/>
      <sheetName val="K.1.1.3"/>
      <sheetName val="K.2.1 (out)"/>
      <sheetName val="Vouching K"/>
      <sheetName val="N1.1"/>
      <sheetName val="O.2(VAT)"/>
      <sheetName val="O.3 (PPh23)"/>
      <sheetName val="O.4(PPh 4)"/>
      <sheetName val="P.1.2 "/>
      <sheetName val="P.1.2.1"/>
      <sheetName val="P.1.2.2"/>
      <sheetName val="P.1.2.1.1 "/>
      <sheetName val="S.2"/>
      <sheetName val="U.2.1.1.1"/>
      <sheetName val="U.2.1.1.1.1"/>
      <sheetName val="U.2.1.1.2 "/>
      <sheetName val="U.2.1.1.2.1"/>
      <sheetName val="U.2.1.1.3"/>
      <sheetName val="U.2.1.2.1"/>
      <sheetName val="U.2.1.2.2"/>
      <sheetName val="U.2.1.2.3"/>
      <sheetName val="U.2.1.2.4"/>
      <sheetName val="U.2.2.2"/>
      <sheetName val="U.2.3"/>
      <sheetName val="point2do"/>
      <sheetName val="O.0 Report format"/>
      <sheetName val="O.1 PPh 21-06"/>
      <sheetName val="O.1.1 GL Recon"/>
      <sheetName val="O.2 Pph 22"/>
      <sheetName val=" O.3 PPH Ps.23"/>
      <sheetName val="O.4 PPH Ps.26 Estate"/>
      <sheetName val="0.4.1 PPH Ps.26 POM"/>
      <sheetName val="O.5 VAT"/>
      <sheetName val="O.5.1 VAT Reconciliation"/>
      <sheetName val="O.6 Prepaid PPH 25"/>
      <sheetName val="O.7 Tax Assessment"/>
      <sheetName val="O.7.5.1 Memo"/>
      <sheetName val="Ratio calculation"/>
      <sheetName val="Q.Lead"/>
      <sheetName val="ARPs"/>
      <sheetName val="Q.1 Int Exp"/>
      <sheetName val="Q.2 KMK Mandiri"/>
      <sheetName val="Q.3 KMK DBS"/>
      <sheetName val="Q.4 KMK Bank Ekspor Ind"/>
      <sheetName val="Q.5 KMK Agro"/>
      <sheetName val="Q.6 KI Mandiri"/>
      <sheetName val="Q.7 KI BNI"/>
      <sheetName val="Q.8 KKPTR COM"/>
      <sheetName val="Q.9 KKPTR AGRO"/>
      <sheetName val="Q.3 KMK Agro"/>
      <sheetName val="Q.4 KMK DBS"/>
      <sheetName val="Q.5 KI Mandiri"/>
      <sheetName val="Q.6 KI BNI"/>
      <sheetName val="Q.7 KKPTR COM"/>
      <sheetName val="Q.8 KKPTR AGRO"/>
      <sheetName val="A.4 TB 2008"/>
      <sheetName val="A.4 TB 2007"/>
      <sheetName val="A5.1 (2007)"/>
      <sheetName val="CF  For Reporting "/>
      <sheetName val="A1-1"/>
      <sheetName val="A1-2"/>
      <sheetName val="Conf. Cont. Bank"/>
      <sheetName val="Summary results Bank"/>
      <sheetName val="fa detail"/>
      <sheetName val="sales acc (2)"/>
      <sheetName val="40-1"/>
      <sheetName val="40-2"/>
      <sheetName val="40-3"/>
      <sheetName val="40-4"/>
      <sheetName val="40-5"/>
      <sheetName val="40-6"/>
      <sheetName val="40-8"/>
      <sheetName val="40-10"/>
      <sheetName val="Cover_Confirmation"/>
      <sheetName val="Checklist_Contracts"/>
      <sheetName val="Anniversary Provision"/>
      <sheetName val="Severance Payment Provision"/>
      <sheetName val="Pension Provision"/>
      <sheetName val="Tax reconciliation"/>
      <sheetName val="Intercompany-receivables"/>
      <sheetName val="Intercompany-payables"/>
      <sheetName val="Intercompany-BS"/>
      <sheetName val="Intercompany-income"/>
      <sheetName val="Intercompany-expense-interest"/>
      <sheetName val="Provisions"/>
      <sheetName val="Split_Positions_Other"/>
      <sheetName val="Variances_HB"/>
      <sheetName val="Notes_Cover"/>
      <sheetName val="notes lease"/>
      <sheetName val="Inventories (IAS 2)"/>
      <sheetName val="Impairment (IAS 36_IFRS 3)"/>
      <sheetName val="Government Grants (IAS 20)"/>
      <sheetName val="Intang. Assets (IAS 38)"/>
      <sheetName val="Tang. Assets (IAS 16)"/>
      <sheetName val="Provisions (IAS 37)"/>
      <sheetName val="Employee Benefits (IAS 19)"/>
      <sheetName val="Related Parties"/>
      <sheetName val="IAS 39 - Notes"/>
      <sheetName val="IFRS 7"/>
      <sheetName val="BW_IFRS7"/>
      <sheetName val="FV_IFRS7"/>
      <sheetName val="Criteria_FV_Calculation"/>
      <sheetName val="Valuation allowance"/>
      <sheetName val="Sales_ABCanalysis"/>
      <sheetName val="Receivables"/>
      <sheetName val="Maturities"/>
      <sheetName val="Notes-Currency"/>
      <sheetName val="notes warranty"/>
      <sheetName val="Elim IC profit inventory"/>
      <sheetName val="Companies"/>
      <sheetName val="Amended Main"/>
      <sheetName val="Dropdown"/>
      <sheetName val="Sophos"/>
      <sheetName val="P9DeviceList"/>
      <sheetName val="P9Query"/>
      <sheetName val="P9QueryOutput"/>
      <sheetName val="P9SoftwareList"/>
      <sheetName val="Office Lookup Filter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ARt 2223 prepaid"/>
      <sheetName val="Journal Req'd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UU13-06"/>
      <sheetName val="UU13-07"/>
      <sheetName val="UU13-08"/>
      <sheetName val="Dis-07"/>
      <sheetName val="Dis-08"/>
      <sheetName val="JAPA (Ina)"/>
      <sheetName val="JAPA (Ing)"/>
      <sheetName val="Rek Ind"/>
      <sheetName val="Rek Ing"/>
      <sheetName val="Mort-06"/>
      <sheetName val="Mort-07"/>
      <sheetName val="Mort-08"/>
      <sheetName val="DtPes-06"/>
      <sheetName val="DtPes-07"/>
      <sheetName val="DtPes-08"/>
      <sheetName val="Exp-07"/>
      <sheetName val="Exp-08"/>
      <sheetName val="AR Trade List 081031"/>
      <sheetName val="P.201"/>
      <sheetName val="Jan &amp; Feb"/>
      <sheetName val="August"/>
      <sheetName val="WIS (2)"/>
      <sheetName val="journal"/>
      <sheetName val="WIS"/>
      <sheetName val=" Fluct COGS"/>
      <sheetName val="Turn Over"/>
      <sheetName val="Lead Inv"/>
      <sheetName val="RM"/>
      <sheetName val="lead cogs"/>
      <sheetName val="MPP"/>
      <sheetName val="TB JUNE07"/>
      <sheetName val="RJE &amp; CAJE"/>
      <sheetName val="PRELIMINARY WBS"/>
      <sheetName val="PRELIMINARY WIS"/>
      <sheetName val="Schedule1"/>
      <sheetName val="fluc for CF"/>
      <sheetName val="WP CF1"/>
      <sheetName val="forex june"/>
      <sheetName val="Ratio -RV"/>
      <sheetName val="CF mov BS"/>
      <sheetName val="Final Fluc WSBS"/>
      <sheetName val="FInal Fluc WSIS"/>
      <sheetName val="Lead-S100"/>
      <sheetName val="lead S 100 vs dec 07"/>
      <sheetName val="Lead-S100 no hilite"/>
      <sheetName val="S-121-Director Basic Salary"/>
      <sheetName val="pending!S-122-Ind Basic Salary"/>
      <sheetName val="try out (3)"/>
      <sheetName val=" dv indonesian basic"/>
      <sheetName val="aso indonesian basic"/>
      <sheetName val="aso"/>
      <sheetName val="S-123-Indonesian Overtime"/>
      <sheetName val="S-123-Indonesian Overtime (2)"/>
      <sheetName val="S-123-Indonesian Overtime (3)"/>
      <sheetName val="s 124- Indonesian bonus (2)"/>
      <sheetName val="s 124- Indonesian bonus"/>
      <sheetName val="final bonus"/>
      <sheetName val="gl ind bonus"/>
      <sheetName val="s 124 reasonable insurance"/>
      <sheetName val="insurance-mid"/>
      <sheetName val="S-124-Housing allowance"/>
      <sheetName val="S-125-emp lunch snack &amp; drink"/>
      <sheetName val="S-126-Insite handling fee"/>
      <sheetName val="test insite handling"/>
      <sheetName val="Allocation to Direct"/>
      <sheetName val="DEC FC"/>
      <sheetName val="FC Oct"/>
      <sheetName val="reasonableness test of Transdom"/>
      <sheetName val="transport dec"/>
      <sheetName val="print domestic"/>
      <sheetName val="rt domestic (2)"/>
      <sheetName val="rt domestic"/>
      <sheetName val="RT export"/>
      <sheetName val="Transp Dom Oct 08"/>
      <sheetName val="reasonable nwrk lease"/>
      <sheetName val="reasonable nwrk lease (2)"/>
      <sheetName val="Export Transport"/>
      <sheetName val="Export Transport (2)"/>
      <sheetName val="s 132 f bus rental"/>
      <sheetName val="list bus rental"/>
      <sheetName val="print export"/>
      <sheetName val="final export transport (2)"/>
      <sheetName val="tb-0912"/>
      <sheetName val="P.100.F Lead Schedule"/>
      <sheetName val="P.120.F Prepaid 22"/>
      <sheetName val="P.130.F Prepaid 25"/>
      <sheetName val="P.200.F - VAT Recon"/>
      <sheetName val="ar-non"/>
      <sheetName val="P.200.F - VAT"/>
      <sheetName val="P.210.F Sales Recon"/>
      <sheetName val="Sum-Jan-Desember 2009 NR"/>
      <sheetName val="Jan - Desember  2009  Rev. NR"/>
      <sheetName val="P.211.F Supporting Sales Recon"/>
      <sheetName val="P.210.F - Sales Recon"/>
      <sheetName val="P.300.F - 21"/>
      <sheetName val="P.300.F - WHT 21"/>
      <sheetName val="P.301.F"/>
      <sheetName val="P.305.F Recalculate ITA 21"/>
      <sheetName val="P.306.F Deemed Salary"/>
      <sheetName val="P.307.F Expatriate Basic Salary"/>
      <sheetName val="P.310.F - 23.26"/>
      <sheetName val="P.320.F - 4(2) . 15"/>
      <sheetName val="rec-23jul-dec"/>
      <sheetName val="rec-26jul-dec"/>
      <sheetName val="Tax Based Recon 26"/>
      <sheetName val="P.330.R"/>
      <sheetName val="P.400. Tax Audit"/>
      <sheetName val="Journal Tax Audit"/>
      <sheetName val="P.202.R"/>
      <sheetName val="Jan - Jun  2009     "/>
      <sheetName val="tb 0810"/>
      <sheetName val="tb-0812"/>
      <sheetName val="tb-0909"/>
      <sheetName val="tb-0910"/>
      <sheetName val="WSBS"/>
      <sheetName val="WSIS"/>
      <sheetName val="Fluc.BS"/>
      <sheetName val="Fluc.IS"/>
      <sheetName val="Schedule 1B - Rollover"/>
      <sheetName val="Schedule 2"/>
      <sheetName val="Schedule 3"/>
      <sheetName val="Supporting CF"/>
      <sheetName val="Detail Purchasing"/>
      <sheetName val="A-Cash"/>
      <sheetName val="kontrol Konf"/>
      <sheetName val="RM Stock"/>
      <sheetName val="DeliveryOnly"/>
      <sheetName val="Finish Goods"/>
      <sheetName val="Pemakaian"/>
      <sheetName val="Pemakaian (2)"/>
      <sheetName val="Syuusei"/>
      <sheetName val="Del SD26"/>
      <sheetName val="Pre-Pre"/>
      <sheetName val="Kaitenro"/>
      <sheetName val="Graphic Kaitenro"/>
      <sheetName val="Yoto"/>
      <sheetName val="Sub Material"/>
      <sheetName val="Hansyaro"/>
      <sheetName val="Price DB"/>
      <sheetName val="IS 31.12.04"/>
      <sheetName val="FOH and Opex"/>
      <sheetName val="Sales Report"/>
      <sheetName val="Total purchase"/>
      <sheetName val="rental-Opex"/>
      <sheetName val="interest loan"/>
      <sheetName val="P-Tax 23-26"/>
      <sheetName val="Tax 23-26"/>
      <sheetName val="Tax 21-26"/>
      <sheetName val="tb-1010"/>
      <sheetName val="tb-1012"/>
      <sheetName val="Schedule 1 - Rollover"/>
      <sheetName val="I_200.F inq"/>
      <sheetName val="I_200.F"/>
      <sheetName val="I_200"/>
      <sheetName val="I_500.F inq"/>
      <sheetName val="I_500.F"/>
      <sheetName val="I_500"/>
      <sheetName val="I_800.F"/>
      <sheetName val="I_800"/>
      <sheetName val="Sample TOC Purchase"/>
      <sheetName val="Output Result"/>
      <sheetName val="Val_Result"/>
      <sheetName val="Age &amp; Service Graph"/>
      <sheetName val="Age&amp;Service Distribution"/>
      <sheetName val="For graph "/>
      <sheetName val="Val_Ind"/>
      <sheetName val="Val_Mean"/>
      <sheetName val="Para_Assumption"/>
      <sheetName val="Mult_Decrement"/>
      <sheetName val="Plan_Rules"/>
      <sheetName val="O.5 Hut PPh 23 Cbg"/>
      <sheetName val="analysis material cost (2)"/>
      <sheetName val="Temporary Diff-Movements"/>
      <sheetName val="DTA-DTL"/>
      <sheetName val="Corporate tax "/>
      <sheetName val="Fixed assets 2"/>
      <sheetName val="analysis material cost"/>
      <sheetName val="REKAP PK"/>
      <sheetName val="_x0000__x0000__x0000__x0000__x0000_"/>
      <sheetName val="SPM-21-1 (2)"/>
      <sheetName val="DBP-23"/>
      <sheetName val="BP-23 (3)"/>
      <sheetName val="BP-23 (2)"/>
      <sheetName val="BP-23"/>
      <sheetName val="DatPot Sewa"/>
      <sheetName val="FK-1 (2)"/>
      <sheetName val="FK-1"/>
      <sheetName val="Report Prez"/>
      <sheetName val="IS "/>
      <sheetName val="Attach CF"/>
      <sheetName val="MLP"/>
      <sheetName val="Unrealized forex 04"/>
      <sheetName val="Unrealized forex 03"/>
      <sheetName val="LS Consolidated"/>
      <sheetName val="WS Consolidated"/>
      <sheetName val="LS Combined"/>
      <sheetName val="WS Combined"/>
      <sheetName val="Offset"/>
      <sheetName val="Detail -AJE"/>
      <sheetName val="Detail AJE Consol"/>
      <sheetName val="Restated AJE HTM 2001"/>
      <sheetName val="Def tax FA"/>
      <sheetName val="Aktiva 0909"/>
      <sheetName val="Total Balance 2008 012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Reclassification vehicle"/>
      <sheetName val="Machinery and equipment"/>
      <sheetName val="CIP-2008 to 2009"/>
      <sheetName val="Point discuss"/>
      <sheetName val="PM&amp;TE"/>
      <sheetName val="A-3.1"/>
      <sheetName val="detail_A-3.1"/>
      <sheetName val="A-3.2"/>
      <sheetName val="detail_A-3.2"/>
      <sheetName val="A-3.3"/>
      <sheetName val="detail_A-3.3"/>
      <sheetName val="Cf Indirect"/>
      <sheetName val="Cf06"/>
      <sheetName val="Machinery"/>
      <sheetName val="SPT 21"/>
      <sheetName val="CutOff Bank"/>
      <sheetName val="C-17 Test of Forex"/>
      <sheetName val="AR analysis"/>
      <sheetName val="I Lead"/>
      <sheetName val="K-2.1"/>
      <sheetName val="K-2.1.1"/>
      <sheetName val="K-2.1.2"/>
      <sheetName val="K-2.1.3"/>
      <sheetName val="K-2.1.4"/>
      <sheetName val="K-2.1.6"/>
      <sheetName val="Loan Analysis"/>
      <sheetName val="O.1 VAT"/>
      <sheetName val="O-2.1"/>
      <sheetName val="O-3.1 Art 4(2)"/>
      <sheetName val="U-1.1.1"/>
      <sheetName val="U-1.2.1"/>
      <sheetName val="U-1.3 Test price sales"/>
      <sheetName val="U-1.4 Predictive exp sales"/>
      <sheetName val="GP analist"/>
      <sheetName val="U-2.1.1"/>
      <sheetName val="U-3 Lead"/>
      <sheetName val="TOC Sales-Local"/>
      <sheetName val="TOC Sales- Export"/>
      <sheetName val="TOC Purchase"/>
      <sheetName val="U.1.3.1 Sales Cutoff (Ex)"/>
      <sheetName val="U.1.3.1 Sales Cutoff"/>
      <sheetName val="Inv Analysis"/>
      <sheetName val="F-4 Inv Val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NETOV"/>
      <sheetName val="PacketDataModels"/>
      <sheetName val="1xEVDataModels"/>
      <sheetName val="Legend"/>
      <sheetName val="RKP KDR"/>
      <sheetName val="LAP KDR"/>
      <sheetName val="RKP MOST"/>
      <sheetName val="PNGM"/>
      <sheetName val="LAP CODE"/>
      <sheetName val="DBF"/>
      <sheetName val="TUNAI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LAMPUNG"/>
      <sheetName val="P PINANG"/>
      <sheetName val="TJ PANDAN"/>
      <sheetName val="BENGKULU"/>
      <sheetName val="PALEMBANG"/>
      <sheetName val="REGIONAL SUMBAGSEL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PALU"/>
      <sheetName val="AMBON"/>
      <sheetName val="TOLI2"/>
      <sheetName val="JAYAPURA"/>
      <sheetName val="BIAK"/>
      <sheetName val="MERAUKE"/>
      <sheetName val="MANOKWARI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TARAKAN"/>
      <sheetName val="REGIONAL BALIKA"/>
      <sheetName val="PONTIANAK"/>
      <sheetName val="SMA"/>
      <sheetName val="LPPU Sales Senin"/>
      <sheetName val="JKT1"/>
      <sheetName val="JKT2"/>
      <sheetName val="JKT3"/>
      <sheetName val="pl-adj"/>
      <sheetName val="Rek_SPK "/>
      <sheetName val="Rin SPK Tambak R&amp;D"/>
      <sheetName val="Rin SPK Kap"/>
      <sheetName val="Rin SPK Infra 1-15"/>
      <sheetName val="Kapitalisasi Des-06"/>
      <sheetName val="TB Damco Indonesia-nov09"/>
      <sheetName val="LS R.300h"/>
      <sheetName val="2452000"/>
      <sheetName val="Koreksi "/>
      <sheetName val="WBS - WPL Parent"/>
      <sheetName val="LABA_R"/>
      <sheetName val="Konsd All"/>
      <sheetName val="CAT_NRC"/>
      <sheetName val="CAT_LBR"/>
      <sheetName val="BS-KK"/>
      <sheetName val="IS-KK"/>
      <sheetName val="Cashflow'05"/>
      <sheetName val="WBS-KONS"/>
      <sheetName val="PEMAKAIAN PAKAN &amp; OBAT"/>
      <sheetName val="HEADER"/>
      <sheetName val="IndJan-Mar"/>
      <sheetName val="IndApr-Juni (2)"/>
      <sheetName val="IndJuly-Des"/>
      <sheetName val="Pemb Induk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10 FA"/>
      <sheetName val="11 CIP"/>
      <sheetName val="12 JAPG"/>
      <sheetName val="13 BRDSTK"/>
      <sheetName val="Boxes"/>
      <sheetName val="HARVEST02_Vennamei"/>
      <sheetName val="HARVEST02"/>
      <sheetName val="H3"/>
      <sheetName val="CYCLUS"/>
      <sheetName val="P_WEEK"/>
      <sheetName val="AREA_LIST"/>
      <sheetName val="HIII"/>
      <sheetName val="H4"/>
      <sheetName val="MP01"/>
      <sheetName val="Medical Facility"/>
      <sheetName val="MPP_JAN"/>
      <sheetName val="MPP_PEB"/>
      <sheetName val="MPP_MAR"/>
      <sheetName val="MPP_APR"/>
      <sheetName val="MPP_MAY"/>
      <sheetName val="MPP_JUN"/>
      <sheetName val="MPP_JUL"/>
      <sheetName val="MPP_AGT"/>
      <sheetName val="MPP_SEP"/>
      <sheetName val="MPP_OKT"/>
      <sheetName val="MPP_NOV"/>
      <sheetName val="MPP_DES"/>
      <sheetName val="ef"/>
      <sheetName val="avp"/>
      <sheetName val="avp_actual"/>
      <sheetName val="avp_lamp"/>
      <sheetName val="trd"/>
      <sheetName val="trd_Actual"/>
      <sheetName val="trad_lamp"/>
      <sheetName val="log"/>
      <sheetName val="log_Atual"/>
      <sheetName val="log_lamp"/>
      <sheetName val="ppc"/>
      <sheetName val="ppc_actual"/>
      <sheetName val="ppc_lamp"/>
      <sheetName val="NmList"/>
      <sheetName val="budgetvs real"/>
      <sheetName val="SALES &amp; COGS"/>
      <sheetName val="DETAIL-CFLW"/>
      <sheetName val="DL-SUMMARY"/>
      <sheetName val="JURNAL (Month)"/>
      <sheetName val="RAW"/>
      <sheetName val="DM99-HE"/>
      <sheetName val="DM99-PF"/>
      <sheetName val="DM99-PLO"/>
      <sheetName val="DM99-FHF"/>
      <sheetName val="DM99-EPI"/>
      <sheetName val="TK99-HE"/>
      <sheetName val="TK99-PF"/>
      <sheetName val="TK99-RP"/>
      <sheetName val="TK99-PLO"/>
      <sheetName val="TK99-EPI"/>
      <sheetName val="MPP01 OUTPUT BEP"/>
      <sheetName val="MPP FROM AQUA MANUAL"/>
      <sheetName val="BS MLOG"/>
      <sheetName val="IS MLOG"/>
      <sheetName val="ID02"/>
      <sheetName val="Schedule 1C"/>
      <sheetName val="IS MLog Consol"/>
      <sheetName val="rbt sparepart"/>
      <sheetName val="rbt Pakan"/>
      <sheetName val="A.4"/>
      <sheetName val="F1.1"/>
      <sheetName val="F1.2"/>
      <sheetName val="F2.1"/>
      <sheetName val="F6"/>
      <sheetName val="F7"/>
      <sheetName val="G3.2"/>
      <sheetName val="K2-FA"/>
      <sheetName val="K3-CIP"/>
      <sheetName val="L1-PDE Oct.05"/>
      <sheetName val="PDE Summ-MS1"/>
      <sheetName val="PDE Summ-MS2"/>
      <sheetName val="PDE Summ-MS3"/>
      <sheetName val="L1.7"/>
      <sheetName val="L1.8"/>
      <sheetName val="P1.1"/>
      <sheetName val="Accr Int SCB"/>
      <sheetName val="Accr Int BNP"/>
      <sheetName val="R-DIT"/>
      <sheetName val="PDE-MS1"/>
      <sheetName val="PDE-MS2"/>
      <sheetName val="PDE Sum-MS3"/>
      <sheetName val="P2-BNP"/>
      <sheetName val="P2-SCB"/>
      <sheetName val="P2-TSS"/>
      <sheetName val="A1-B.C"/>
      <sheetName val="AP BS"/>
      <sheetName val="AP PL"/>
      <sheetName val="AJE-RJE"/>
      <sheetName val="tb-oct"/>
      <sheetName val="F1-A"/>
      <sheetName val="L1-A"/>
      <sheetName val="L.310"/>
      <sheetName val="L.311"/>
      <sheetName val="Penambahan"/>
      <sheetName val="Jul'09"/>
      <sheetName val="Aug'09"/>
      <sheetName val="disposal modif"/>
      <sheetName val="Recap  CIP"/>
      <sheetName val="Deatil of CIP"/>
      <sheetName val="LISTING FA"/>
      <sheetName val="FA Observe"/>
      <sheetName val="(GAIN) LOSS_FA"/>
      <sheetName val="report presentation"/>
      <sheetName val="SALE &amp; DISPOSAL"/>
      <sheetName val="TANYA BUILDING"/>
      <sheetName val="List_building"/>
      <sheetName val="oret2 building"/>
      <sheetName val="building addition"/>
      <sheetName val="rea. depr. build"/>
      <sheetName val="oretan structure"/>
      <sheetName val="oret2 structure"/>
      <sheetName val="List_structure"/>
      <sheetName val="structure addtion"/>
      <sheetName val="rea. depr. structure"/>
      <sheetName val="machinery addition_interim"/>
      <sheetName val="List_machine"/>
      <sheetName val="oret2 machine"/>
      <sheetName val="oretan machine"/>
      <sheetName val="machinery addition"/>
      <sheetName val="rea. depre. machine_DD"/>
      <sheetName val="(Gain) Loss on FA_machine"/>
      <sheetName val="(Gain) Loss on FA_machinery"/>
      <sheetName val="Tools, dies &amp; jigs"/>
      <sheetName val="oret2 TDJ"/>
      <sheetName val="(Gain) Loss on FA_TDJ"/>
      <sheetName val="TDJ Addition"/>
      <sheetName val="Rea Depre TDJ"/>
      <sheetName val="(Gain) Loss on FA"/>
      <sheetName val="List_FF"/>
      <sheetName val="oret2 FF"/>
      <sheetName val="oretan"/>
      <sheetName val="FF_SL"/>
      <sheetName val="(Gain) Loss on FA_FF"/>
      <sheetName val="FF addition"/>
      <sheetName val="Rea Depre. FF"/>
      <sheetName val="Gainloss_FF"/>
      <sheetName val="(Gain) Loss on FA_VehicLe"/>
      <sheetName val="List_Motor vehicles"/>
      <sheetName val="oret2 vehicles"/>
      <sheetName val="Vehicle_SL"/>
      <sheetName val="Rea Depre. vehicles"/>
      <sheetName val="Vehicles addition"/>
      <sheetName val="Rea Depr. Vehicle"/>
      <sheetName val="GainLoss_vehicle"/>
      <sheetName val="Gain(loss) on FA"/>
      <sheetName val="Disposal by denny"/>
      <sheetName val="Disposal Modified"/>
      <sheetName val="Disposal By Mr.Denny"/>
      <sheetName val="Addition Leasehold"/>
      <sheetName val="leasehold improvement"/>
      <sheetName val="CFS"/>
      <sheetName val="TB Dec'09"/>
      <sheetName val="TB Feb'10"/>
      <sheetName val="WS_IS"/>
      <sheetName val="WS_BS"/>
      <sheetName val="Materiality revise"/>
      <sheetName val="Materiality 10"/>
      <sheetName val="Final BS 10"/>
      <sheetName val="Final IS 10"/>
      <sheetName val="Schedule 1A - Dual 09"/>
      <sheetName val="Schedule 2 - 09"/>
      <sheetName val="CAJE 09"/>
      <sheetName val="Final Fluct BS"/>
      <sheetName val="Final Fluct PL"/>
      <sheetName val="Planning Materiality"/>
      <sheetName val="TB March'10"/>
      <sheetName val="WS_BS (2)"/>
      <sheetName val="WS_IS (2)"/>
      <sheetName val="WS_BS_F"/>
      <sheetName val="WS_IS_F"/>
      <sheetName val="DATAFEED"/>
      <sheetName val="1771(2)"/>
      <sheetName val="Kor.Fis"/>
      <sheetName val="LK1"/>
      <sheetName val="Penys."/>
      <sheetName val="BUILD."/>
      <sheetName val="GOL I"/>
      <sheetName val="GOL II"/>
      <sheetName val="LK2"/>
      <sheetName val="LK2 (2)"/>
      <sheetName val="LK4"/>
      <sheetName val="LK3"/>
      <sheetName val="LK5"/>
      <sheetName val="LK6"/>
      <sheetName val="Pebt"/>
      <sheetName val="Peb2"/>
      <sheetName val="Peb1"/>
      <sheetName val="GLS0497"/>
      <sheetName val="Tally"/>
      <sheetName val="Cheklis"/>
      <sheetName val="Vin"/>
      <sheetName val="P3S"/>
      <sheetName val="9707093"/>
      <sheetName val="KRW"/>
      <sheetName val="REGIONAL JAKARTA"/>
      <sheetName val="SKB"/>
      <sheetName val="SKB+CJR"/>
      <sheetName val="SMD+SBG"/>
      <sheetName val="TSK"/>
      <sheetName val="GRT+TSK"/>
      <sheetName val="REGIONAL JABAR"/>
      <sheetName val="TEGAL"/>
      <sheetName val="PURWOKERTO"/>
      <sheetName val="REGIONAL TEGAL"/>
      <sheetName val="YOGYA"/>
      <sheetName val="MAGELANG"/>
      <sheetName val="SURAKARTA"/>
      <sheetName val="PATI"/>
      <sheetName val="REGIONAL JATENG"/>
      <sheetName val="MJKT"/>
      <sheetName val="BJN"/>
      <sheetName val="KEDIRI"/>
      <sheetName val="MADIUN"/>
      <sheetName val="MALANG"/>
      <sheetName val="PROBOLINGGO"/>
      <sheetName val="ADC MALANG"/>
      <sheetName val="JEMBER"/>
      <sheetName val="SITUBONDO"/>
      <sheetName val="LUMAJANG"/>
      <sheetName val="ADC JEMBER"/>
      <sheetName val="REGIONAL JATIM"/>
      <sheetName val="KONSOL SM"/>
      <sheetName val=" SPR Standar"/>
      <sheetName val="Target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Indikator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BD"/>
      <sheetName val="LG"/>
      <sheetName val="SR"/>
      <sheetName val="BP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Lead WHT tax"/>
      <sheetName val="Wht 21"/>
      <sheetName val="Wht 23"/>
      <sheetName val="Wht 4(2)"/>
      <sheetName val="Wht 26"/>
      <sheetName val="Sales Monthly"/>
      <sheetName val="Sales recon"/>
      <sheetName val="VAT recap"/>
      <sheetName val="VAT recon"/>
      <sheetName val="PBC VAT"/>
      <sheetName val="BS 311206"/>
      <sheetName val="IS 311206"/>
      <sheetName val="BS 311206 latest"/>
      <sheetName val="FLASH"/>
      <sheetName val="Sales Flash"/>
      <sheetName val="SLS&amp;GM"/>
      <sheetName val="SLS &amp; Tech"/>
      <sheetName val="HFM-BAL"/>
      <sheetName val="Sales-aloc"/>
      <sheetName val="Entry HFM"/>
      <sheetName val="MANAGER"/>
      <sheetName val="TO BEKOREKSI"/>
      <sheetName val="HFM-PNL"/>
      <sheetName val="TB-Movement"/>
      <sheetName val="Lead account receivable"/>
      <sheetName val="fluctuation analysis"/>
      <sheetName val="exchange rate revaluation test"/>
      <sheetName val="Aging trade receivables"/>
      <sheetName val="Trade receivable turn over"/>
      <sheetName val="perPartNo"/>
      <sheetName val="perpart_report"/>
      <sheetName val="sales-perpart (detail)"/>
      <sheetName val="sales+stcom+smh"/>
      <sheetName val="Inv_Report"/>
      <sheetName val="SUMMARY-editttt"/>
      <sheetName val="BIK"/>
      <sheetName val="PL komersil"/>
      <sheetName val="Inst PPh25 '06"/>
      <sheetName val="SalesRecon"/>
      <sheetName val="Recons Salary old"/>
      <sheetName val="Recons Salary 2005"/>
      <sheetName val="language"/>
      <sheetName val="Lead Sheet"/>
      <sheetName val="1&gt;P&amp;L"/>
      <sheetName val="1&gt;B&amp;S"/>
      <sheetName val="WS B&amp;S"/>
      <sheetName val="1&gt;Stat. of chan. in equ."/>
      <sheetName val="1&gt;CFS"/>
      <sheetName val="ws CFS"/>
      <sheetName val="2&gt;Expense"/>
      <sheetName val="COGS APE"/>
      <sheetName val="Propose Journal "/>
      <sheetName val="WS Expense"/>
      <sheetName val="3&gt;sales and other income"/>
      <sheetName val="WS Sales &amp; Oth Income"/>
      <sheetName val="4&gt;Director's emo. "/>
      <sheetName val="5&gt; Staff cost"/>
      <sheetName val="6&gt;tax"/>
      <sheetName val="7&gt;RPT"/>
      <sheetName val="10&gt;Invest."/>
      <sheetName val="11&gt; Inventories"/>
      <sheetName val="ws Inv"/>
      <sheetName val="12&gt;FA"/>
      <sheetName val="WS FA"/>
      <sheetName val="13&gt;LL &amp; LUR"/>
      <sheetName val="14&gt;AR"/>
      <sheetName val="14-1&gt;Other Recevable"/>
      <sheetName val="15&gt;AP"/>
      <sheetName val="ws AP"/>
      <sheetName val="15-1&gt;Other payables and accrual"/>
      <sheetName val="ws Other Payable"/>
      <sheetName val="WS Accrual"/>
      <sheetName val="16&gt;Bank loan"/>
      <sheetName val="17&gt;Cash"/>
      <sheetName val="ws Cash"/>
      <sheetName val="18&gt;IA"/>
      <sheetName val="19&gt;Charges"/>
      <sheetName val="20&gt;con lib"/>
      <sheetName val="21&gt;con ass"/>
      <sheetName val="22&gt;commit"/>
      <sheetName val="2324&gt;BF"/>
      <sheetName val="25&gt;Deposit,prepay&amp;others"/>
      <sheetName val="WS Deposit"/>
      <sheetName val="26&gt;Finance Costs"/>
      <sheetName val="27&gt;director"/>
      <sheetName val="28&gt;Shareholder"/>
      <sheetName val="29,30&gt;others"/>
      <sheetName val="DTA (2)"/>
      <sheetName val="FA  Recon"/>
      <sheetName val="FA (2)"/>
      <sheetName val="report presentation (2)"/>
      <sheetName val="daftar penyusutan"/>
      <sheetName val="CIT 09"/>
      <sheetName val="CIT 08"/>
      <sheetName val="FA commercial"/>
      <sheetName val="movement prepaid"/>
      <sheetName val="DTA Cal"/>
      <sheetName val="CIT-MS taxes"/>
      <sheetName val="fiscal correction"/>
      <sheetName val="172000"/>
      <sheetName val="OBYEK"/>
      <sheetName val="Marshal-99"/>
      <sheetName val="Prepaid tax -1998"/>
      <sheetName val="COGS-1"/>
      <sheetName val="COGS-2"/>
      <sheetName val="Topas"/>
      <sheetName val="TWB"/>
      <sheetName val="ID40 1-9"/>
      <sheetName val="ID40 3-6"/>
      <sheetName val="E7 SAP INV"/>
      <sheetName val="E7 SAP AR&amp;AP"/>
      <sheetName val="JULY"/>
      <sheetName val="List by Curr"/>
      <sheetName val="Anrev_BS"/>
      <sheetName val="Anrev_IS"/>
      <sheetName val="RRR"/>
      <sheetName val="GDG KECIL"/>
      <sheetName val="GDG KECIL (lanjutan)"/>
      <sheetName val="GDG BS"/>
      <sheetName val="GDG BS (lanjutan)"/>
      <sheetName val="GDG BESAR"/>
      <sheetName val="GDG BESAR (lanjutan)"/>
      <sheetName val="Mutasi BDP"/>
      <sheetName val="TB - 2012"/>
      <sheetName val="TB - 2011"/>
      <sheetName val="Price-Qty-EBT simulation"/>
      <sheetName val="EBT simulation"/>
      <sheetName val="IncomeS"/>
      <sheetName val="CF detail"/>
      <sheetName val="Prod Sales"/>
      <sheetName val="S.M. &amp; Labor"/>
      <sheetName val="BP_Prod"/>
      <sheetName val="BP_GA"/>
      <sheetName val="BP_WH"/>
      <sheetName val="electricity"/>
      <sheetName val="water"/>
      <sheetName val="Plan_02"/>
      <sheetName val="SVM acc"/>
      <sheetName val="SVM"/>
      <sheetName val="Prod Plan acc"/>
      <sheetName val="Prod Plan"/>
      <sheetName val="BS_Sum"/>
      <sheetName val="ISvsPlan"/>
      <sheetName val="Cover_Id"/>
      <sheetName val="Indonesiana"/>
      <sheetName val="BS-wide"/>
      <sheetName val="BS-wide-Old"/>
      <sheetName val="IS-old"/>
      <sheetName val="P&amp;L Division"/>
      <sheetName val="Ratios by aria"/>
      <sheetName val="Plan"/>
      <sheetName val="DIST-exp"/>
      <sheetName val="Fix99"/>
      <sheetName val="Fix"/>
      <sheetName val="Million"/>
      <sheetName val="New_COGS"/>
      <sheetName val="IS (3)"/>
      <sheetName val="Suspense cr card"/>
      <sheetName val="adv payment to supplier"/>
      <sheetName val="test FA depre"/>
      <sheetName val="reg new"/>
      <sheetName val="Diosposal"/>
      <sheetName val="list reclass"/>
      <sheetName val="ID20"/>
      <sheetName val="List of Disposal FA"/>
      <sheetName val="Register FA"/>
      <sheetName val="List of Additional FA"/>
      <sheetName val="Test-FA Depre"/>
      <sheetName val="register"/>
      <sheetName val="register 08"/>
      <sheetName val="lead 08"/>
      <sheetName val="registerFA"/>
      <sheetName val="ID20 (2)"/>
      <sheetName val="Test of Controls"/>
      <sheetName val="VIRUS-EDY"/>
      <sheetName val="Neraca 01"/>
      <sheetName val="Laba Rugi (2)"/>
      <sheetName val="Opex Jan~Jun"/>
      <sheetName val="Laba Rugi Jan~Dec"/>
      <sheetName val="Breakdown OPEX"/>
      <sheetName val="OPEX (Jan~Dec)"/>
      <sheetName val="Cash &amp; Bank"/>
      <sheetName val="Prepaid TAX"/>
      <sheetName val="AP Others"/>
      <sheetName val="Deposit Received"/>
      <sheetName val="Accrued Exp."/>
      <sheetName val="Bank Loan &amp; Capital"/>
      <sheetName val="TAKSIRAN PAJAK"/>
      <sheetName val="LABA RUGI FISKAL"/>
      <sheetName val="LR FISKAL 2005"/>
      <sheetName val="NDE "/>
      <sheetName val="PPh psl 29"/>
      <sheetName val="PPh psl 29 (Tahunan)"/>
      <sheetName val="9 R-1 Lead"/>
      <sheetName val="9 R-1.1"/>
      <sheetName val="9 R-2 Lead"/>
      <sheetName val="Dept. Obj"/>
      <sheetName val="Dept. Obj (2)"/>
      <sheetName val="PPV.SP"/>
      <sheetName val="SUMPPVSP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21s"/>
      <sheetName val="24b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Dibebankan"/>
      <sheetName val="Pembebanan"/>
      <sheetName val="Psr_Penghub"/>
      <sheetName val="HTI"/>
      <sheetName val="BeliLokal"/>
      <sheetName val="OngkosJahit"/>
      <sheetName val="Komisi"/>
      <sheetName val="LabTest"/>
      <sheetName val="PPN97 (4)"/>
      <sheetName val="buatWP"/>
      <sheetName val="DbKtr"/>
      <sheetName val="LPIS"/>
      <sheetName val="DTPP"/>
      <sheetName val="KKP Induk"/>
      <sheetName val="Nothit PPN"/>
      <sheetName val="LPPHP"/>
      <sheetName val="STHP"/>
      <sheetName val="PPNSPM"/>
      <sheetName val="SK Lengkap"/>
      <sheetName val="A 2"/>
      <sheetName val="A 3"/>
      <sheetName val="A 4"/>
      <sheetName val="A 6"/>
      <sheetName val="A 7"/>
      <sheetName val="A 8"/>
      <sheetName val="Koreksi"/>
      <sheetName val="Koreksi (2)"/>
      <sheetName val="B 5"/>
      <sheetName val="B 6"/>
      <sheetName val="Data Export"/>
      <sheetName val="Impor WP + 16C"/>
      <sheetName val="Master Klar"/>
      <sheetName val="Master Klar Impor"/>
      <sheetName val="Master Klar Lokal"/>
      <sheetName val="Master Klar Data"/>
      <sheetName val="FP M &lt; 500"/>
      <sheetName val="FP M &gt; 500"/>
      <sheetName val="FP M &gt; 500 Data (2)"/>
      <sheetName val="FP M &gt; 500 Data"/>
      <sheetName val="Data Klar"/>
      <sheetName val="Uji Arus Form"/>
      <sheetName val="ND Klar"/>
      <sheetName val="001"/>
      <sheetName val="002"/>
      <sheetName val="017"/>
      <sheetName val="023"/>
      <sheetName val="025"/>
      <sheetName val="041"/>
      <sheetName val="051"/>
      <sheetName val="052"/>
      <sheetName val="054"/>
      <sheetName val="056"/>
      <sheetName val="KonPMS"/>
      <sheetName val="092"/>
      <sheetName val="403"/>
      <sheetName val="407"/>
      <sheetName val="408"/>
      <sheetName val="411"/>
      <sheetName val="413"/>
      <sheetName val="KonfirSSP"/>
      <sheetName val="Ka Pos"/>
      <sheetName val="Korea"/>
      <sheetName val="Penegasan"/>
      <sheetName val="Penegasan In"/>
      <sheetName val="Rekap Konfirmasi"/>
      <sheetName val="Daf Rek"/>
      <sheetName val="KKP Klar"/>
      <sheetName val="BA Uang dan Brg"/>
      <sheetName val="BAPHP"/>
      <sheetName val="Uji Arus Isi"/>
      <sheetName val="KPS6"/>
      <sheetName val="Obyek 23"/>
      <sheetName val="Obyek 1"/>
      <sheetName val="Obyek 4(2)"/>
      <sheetName val="Revenue&amp;cost-9(A)"/>
      <sheetName val="KOR"/>
      <sheetName val="Perst"/>
      <sheetName val="NH"/>
      <sheetName val="UR"/>
      <sheetName val="PPNT"/>
      <sheetName val="P-PPN"/>
      <sheetName val="REF-CRB"/>
      <sheetName val="PPH21-TGL"/>
      <sheetName val="PPH21-CRB"/>
      <sheetName val="CRB"/>
      <sheetName val="TGL"/>
      <sheetName val="CRB+"/>
      <sheetName val="TGL+"/>
      <sheetName val="REF_CRB"/>
      <sheetName val="aktdit(WP)"/>
      <sheetName val="Daftar Hutang"/>
      <sheetName val="Daftar Piutang"/>
      <sheetName val="SALES BUDGET NOV"/>
      <sheetName val="SCHEDULE NOV"/>
      <sheetName val="A.T. Bali"/>
      <sheetName val="Eksekutif"/>
      <sheetName val="Niaga"/>
      <sheetName val="BII SG"/>
      <sheetName val="BCA Giro"/>
      <sheetName val="giro kerluar"/>
      <sheetName val="j. umum"/>
      <sheetName val="April Budget"/>
      <sheetName val="Cek Diff Expense"/>
      <sheetName val="PL data"/>
      <sheetName val="PL data P10"/>
      <sheetName val="PL data P30"/>
      <sheetName val="PL data P50"/>
      <sheetName val="PL IC Data"/>
      <sheetName val="balance sheet  "/>
      <sheetName val="P30"/>
      <sheetName val="P50"/>
      <sheetName val="Cek"/>
      <sheetName val="MPPR"/>
      <sheetName val="Prod Amount"/>
      <sheetName val="Ski used trsns"/>
      <sheetName val="Out in"/>
      <sheetName val="Out Out"/>
      <sheetName val="fiscal rekon"/>
      <sheetName val="FIXED asset updated"/>
      <sheetName val="fa FEb 06"/>
      <sheetName val="REkap PAjak"/>
      <sheetName val="HEADER-NEW"/>
      <sheetName val="CONT-ALL"/>
      <sheetName val="CONT-OPR"/>
      <sheetName val="COMB. BO-NP"/>
      <sheetName val="PAR-BO"/>
      <sheetName val="COMP. PAR-BO"/>
      <sheetName val="PAR-BO in PCS"/>
      <sheetName val="PAR-NP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Feb02"/>
      <sheetName val="Flushing Mar02"/>
      <sheetName val="Boxes-Monodon"/>
      <sheetName val="Boxes-Vannamei"/>
      <sheetName val="prop_price_van (2)"/>
      <sheetName val="Locas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C-2.1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 (2)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PAJE PRJE March"/>
      <sheetName val="PAJE PRJE Feb'07"/>
      <sheetName val="Test Reval March "/>
      <sheetName val="FiscComp"/>
      <sheetName val="O.1 "/>
      <sheetName val="U1-1"/>
      <sheetName val="U1-3"/>
      <sheetName val="U2-2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3.1.1"/>
      <sheetName val="Sheet permintaan vouching"/>
      <sheetName val="140801"/>
      <sheetName val="SAT_STAFF_ACC4_DC4"/>
      <sheetName val="E-1-1 subs AR-conf. only"/>
      <sheetName val="subs. AP"/>
      <sheetName val="vat&amp;pph21"/>
      <sheetName val=" FA Reconciliation"/>
      <sheetName val="SUMRI FA 02"/>
      <sheetName val="Modify (sort)"/>
      <sheetName val="Modify"/>
      <sheetName val="F-ASS-2002"/>
      <sheetName val="Disposal FA"/>
      <sheetName val="KU-Ajt'03"/>
      <sheetName val="KS-Ajt'03"/>
      <sheetName val="KT-Ajt'03"/>
      <sheetName val="KB-Ajt'03"/>
      <sheetName val="Mill-Ajt'03"/>
      <sheetName val="Sum KU,KS,KT,KB"/>
      <sheetName val="Garbage"/>
      <sheetName val="IDR"/>
      <sheetName val="P&amp;L short"/>
      <sheetName val="P&amp;L Sum"/>
      <sheetName val="BS short"/>
      <sheetName val="BS Sum"/>
      <sheetName val="****"/>
      <sheetName val="IECF"/>
      <sheetName val="JVShare"/>
      <sheetName val="IER"/>
      <sheetName val="PTRCI"/>
      <sheetName val="ProdRoll"/>
      <sheetName val="OpenSale"/>
      <sheetName val="OpenInvoice"/>
      <sheetName val="PTFIJE"/>
      <sheetName val="YTD Depr."/>
      <sheetName val="CIP movement"/>
      <sheetName val="allocation FA manual"/>
      <sheetName val="movement-FOREX "/>
      <sheetName val="accum vs depr 31 Dec"/>
      <sheetName val="Machine"/>
      <sheetName val="Tools "/>
      <sheetName val="Office - EQ"/>
      <sheetName val="IO 10947"/>
      <sheetName val="KPI Summary"/>
      <sheetName val="Mth KPI's"/>
      <sheetName val="Mth by Mth KPI's"/>
      <sheetName val="Mth by Mth P&amp;L"/>
      <sheetName val="LOM KPI's"/>
      <sheetName val="Qtrly KPI's"/>
      <sheetName val="Half Yrly KPI's"/>
      <sheetName val="Rev&amp;Op Costs"/>
      <sheetName val="Rev&amp;Op Cost-mth"/>
      <sheetName val="Unit Rates "/>
      <sheetName val="$t sold detail"/>
      <sheetName val="Manpower$"/>
      <sheetName val="Prod Schedule"/>
      <sheetName val="Mining Rates"/>
      <sheetName val="Amort&amp;Depn"/>
      <sheetName val="Final "/>
      <sheetName val="Analysis YTD"/>
      <sheetName val="CITR"/>
      <sheetName val="J293"/>
      <sheetName val="Analysis Mth"/>
      <sheetName val="Analysis FY"/>
      <sheetName val="Buma Rise and Fall"/>
      <sheetName val="LCI Rise &amp; Fall"/>
      <sheetName val="R&amp;F SIBOR"/>
      <sheetName val="Analysis Data"/>
      <sheetName val="CFWork"/>
      <sheetName val="GRN"/>
      <sheetName val="Local-Jur"/>
      <sheetName val="Over-Jur"/>
      <sheetName val="Name List"/>
      <sheetName val="Announcements"/>
      <sheetName val="P&amp;L 2"/>
      <sheetName val="Intangible"/>
      <sheetName val="Profit Comp"/>
      <sheetName val="Expl"/>
      <sheetName val="Pre-Dev"/>
      <sheetName val="Dev"/>
      <sheetName val="Cashflow Worksht"/>
      <sheetName val="Cash,Ratio,EPS"/>
      <sheetName val="Spec Outlays"/>
      <sheetName val="JV's"/>
      <sheetName val="Worksheet Segments"/>
      <sheetName val="Wksht Seg elimns"/>
      <sheetName val="Industry"/>
      <sheetName val="Geographical"/>
      <sheetName val="AJE &amp; SUD"/>
      <sheetName val="Deferred tax 2002"/>
      <sheetName val="Instalment"/>
      <sheetName val="FA Sum"/>
      <sheetName val="FA 2002"/>
      <sheetName val="FA 2001"/>
      <sheetName val="3300 &amp; 3500"/>
      <sheetName val="3600"/>
      <sheetName val="3800-Final"/>
      <sheetName val="3800- presentation"/>
      <sheetName val="3800-Interim"/>
      <sheetName val="LS Payroll"/>
      <sheetName val="MINE DEV"/>
      <sheetName val="nature of account"/>
      <sheetName val="PPh29 (I)"/>
      <sheetName val="client-add(I)"/>
      <sheetName val="client-add(E)"/>
      <sheetName val="Summary- Fixed Asset(I)"/>
      <sheetName val="Loss carryforw (I)"/>
      <sheetName val="PPh25 (I)"/>
      <sheetName val="PPh25 (E)"/>
      <sheetName val="Art.25 Inst. (I)"/>
      <sheetName val="Summary- Fixed Asset(E)"/>
      <sheetName val="Operation"/>
      <sheetName val="Loss carryforw"/>
      <sheetName val="Loss carryforw (2)"/>
      <sheetName val="PPh29 (2)"/>
      <sheetName val="Art.25 Inst. (2)"/>
      <sheetName val="NERACA-E"/>
      <sheetName val="LR-E"/>
      <sheetName val="Koreksi Fis"/>
      <sheetName val="Fisc correction"/>
      <sheetName val="DataKKP Surya Siam 02"/>
      <sheetName val="Intro"/>
      <sheetName val="Assump"/>
      <sheetName val="Hect."/>
      <sheetName val="FFB Prodn"/>
      <sheetName val="Mill"/>
      <sheetName val="O_H"/>
      <sheetName val="Prod costs"/>
      <sheetName val="Loans"/>
      <sheetName val="Actuals"/>
      <sheetName val="F_Assets"/>
      <sheetName val="Develop"/>
      <sheetName val="P&amp;L wkgs"/>
      <sheetName val="BS wkgs"/>
      <sheetName val="CF wkgs"/>
      <sheetName val="FS for Board"/>
      <sheetName val="Fin. Statements"/>
      <sheetName val="FA Fiscal vs Comm"/>
      <sheetName val="OS Points"/>
      <sheetName val="comments"/>
      <sheetName val="Changes post-conference"/>
      <sheetName val="Constants"/>
      <sheetName val="CF - LC"/>
      <sheetName val="BS - LC"/>
      <sheetName val="US$ Adj"/>
      <sheetName val="Crop Distn"/>
      <sheetName val="Overheads"/>
      <sheetName val="WC"/>
      <sheetName val="Capex - Rp"/>
      <sheetName val="Depn"/>
      <sheetName val="Sub Debt"/>
      <sheetName val="Board"/>
      <sheetName val="US$ - Detailed Cashflow"/>
      <sheetName val="Depreciation RBW (2)"/>
      <sheetName val="DISPOSE 01"/>
      <sheetName val="SUPPORT"/>
      <sheetName val="BS2006"/>
      <sheetName val="ICP"/>
      <sheetName val="Value"/>
      <sheetName val="Lease"/>
      <sheetName val="elecplant"/>
      <sheetName val="elecEqp"/>
      <sheetName val="fURFIX"/>
      <sheetName val="TANN"/>
      <sheetName val="DISPOS MC"/>
      <sheetName val="FORM"/>
      <sheetName val="138000"/>
      <sheetName val="139999"/>
      <sheetName val="Sheet9 (2)"/>
      <sheetName val="2008-2009SAP"/>
      <sheetName val="Fixed Asset Register"/>
      <sheetName val="157099"/>
      <sheetName val="157100"/>
      <sheetName val="157200(1)"/>
      <sheetName val="157200(2)"/>
      <sheetName val="170000"/>
      <sheetName val="174200"/>
      <sheetName val="174900"/>
      <sheetName val="177000"/>
      <sheetName val="235000"/>
      <sheetName val="250000"/>
      <sheetName val="269000"/>
      <sheetName val="274100"/>
      <sheetName val="278680"/>
      <sheetName val="293000"/>
      <sheetName val="293001"/>
      <sheetName val="297800"/>
      <sheetName val="List 293001 &amp; 297800"/>
      <sheetName val="298900"/>
      <sheetName val="296000"/>
      <sheetName val="298100"/>
      <sheetName val="298200"/>
      <sheetName val="Revision Oct 2001"/>
      <sheetName val="Revision 14 Aug 01 "/>
      <sheetName val="Revision 12 Jun 01"/>
      <sheetName val="FP_MODI"/>
      <sheetName val="FKT_PJK"/>
      <sheetName val="Lap_PPh"/>
      <sheetName val="DATA_FP"/>
      <sheetName val="KUIT"/>
      <sheetName val="KUIT Final"/>
      <sheetName val="REV 96"/>
      <sheetName val="KD PERS"/>
      <sheetName val="SSP (final)"/>
      <sheetName val="FP MODI_A"/>
      <sheetName val="KUIT MODI"/>
      <sheetName val="Kuit Pusdik"/>
      <sheetName val="lead schedule "/>
      <sheetName val="alocation FA "/>
      <sheetName val="movement"/>
      <sheetName val="Vehiclesok"/>
      <sheetName val="IO ALL"/>
      <sheetName val="IO 10948-Mazak"/>
      <sheetName val="taxcalc indo"/>
      <sheetName val="tax_recon"/>
      <sheetName val="taxcalc rupiah"/>
      <sheetName val="pe p-l"/>
      <sheetName val="jo p-l"/>
      <sheetName val="corp tax instll"/>
      <sheetName val="donation"/>
      <sheetName val="pph25 indo"/>
      <sheetName val="kpc wht"/>
      <sheetName val="imk wht"/>
      <sheetName val="pph23kpc indo"/>
      <sheetName val="pph23imk indo"/>
      <sheetName val="Deferred tax "/>
      <sheetName val="due to stockholder"/>
      <sheetName val="Capital stock "/>
      <sheetName val="MgmtTech_fee"/>
      <sheetName val="Cash_on_hand_and_in_banks"/>
      <sheetName val="Interest_bearing_receivable"/>
      <sheetName val="Accounts_receivable"/>
      <sheetName val="Other_receivable_"/>
      <sheetName val="Other_payable"/>
      <sheetName val="Prepaid_exp,_tax_and_advance"/>
      <sheetName val="Deferred_tax_"/>
      <sheetName val="Fixed_Assets"/>
      <sheetName val="Other_asset"/>
      <sheetName val="AP_trade"/>
      <sheetName val="Accrued_expense"/>
      <sheetName val="due_to_stockholder"/>
      <sheetName val="Taxes_payable"/>
      <sheetName val="Pension_Fund"/>
      <sheetName val="Due_to_related_party"/>
      <sheetName val="Capital_stock_"/>
      <sheetName val="Deferred_provision_for_inc_tax"/>
      <sheetName val="Other_charges_(income)"/>
      <sheetName val="调帐事项登记表"/>
      <sheetName val="帐套设置"/>
      <sheetName val="to be Accrued"/>
      <sheetName val="the formula"/>
      <sheetName val="Maintenance Rec"/>
      <sheetName val="Accounting Rec"/>
      <sheetName val="for Diff Rate Calc"/>
      <sheetName val="Prepaid tax -1999"/>
      <sheetName val="prepaid 23 page 2"/>
      <sheetName val="tax creditable"/>
      <sheetName val="R. VAT rev"/>
      <sheetName val="R. VAT"/>
      <sheetName val="sales &amp; VAT"/>
      <sheetName val="R. 21"/>
      <sheetName val="Salaries &amp; WHT 21"/>
      <sheetName val="R. WHT 23"/>
      <sheetName val="R. WHT 26"/>
      <sheetName val="SPM 23"/>
      <sheetName val="Penyusutan 0K"/>
      <sheetName val="Penyusutan 0"/>
      <sheetName val="Daf-Perhit-PPN"/>
      <sheetName val="Not PPN (stp)"/>
      <sheetName val="Not PPN"/>
      <sheetName val="21SSP"/>
      <sheetName val="21SPM"/>
      <sheetName val="21BP"/>
      <sheetName val="1721A1"/>
      <sheetName val="23SSP"/>
      <sheetName val="23SPM"/>
      <sheetName val="23BP"/>
      <sheetName val="FSSP"/>
      <sheetName val="FSPM"/>
      <sheetName val="FBP"/>
      <sheetName val="26SSP"/>
      <sheetName val="26SPM"/>
      <sheetName val="26BP"/>
      <sheetName val="21SSP_Lokasi"/>
      <sheetName val="21SPM_Lokasi"/>
      <sheetName val="21BP_Lokasi"/>
      <sheetName val="1721A1_Lokasi"/>
      <sheetName val="23SSP_Lokasi"/>
      <sheetName val="23SPM_Lokasi"/>
      <sheetName val="23BP_Lokasi"/>
      <sheetName val="FSSP_Lokasi"/>
      <sheetName val="FSPM_Lokasi"/>
      <sheetName val="FBP_Lokasi"/>
      <sheetName val="26SSP_Lokasi"/>
      <sheetName val="26SPM_Lokasi"/>
      <sheetName val="26BP_Lokasi"/>
      <sheetName val="1721A1 Lokasi"/>
      <sheetName val="1721A1 Edit"/>
      <sheetName val="23SSP Lok"/>
      <sheetName val="23SPM Lok"/>
      <sheetName val="23BP Lok"/>
      <sheetName val="Rekap SPT"/>
      <sheetName val="Ekualisasi WP"/>
      <sheetName val="Rekap SPT WP WH"/>
      <sheetName val="21SSP PMA"/>
      <sheetName val="21SPM PMA"/>
      <sheetName val="21BP PMA"/>
      <sheetName val="1721A1 PMA"/>
      <sheetName val="21SSP Serpg"/>
      <sheetName val="21SPM Serpg"/>
      <sheetName val="21BP Serpg"/>
      <sheetName val="1721A1 Serpg"/>
      <sheetName val="21SSP Sidoarj"/>
      <sheetName val="21SPM Sidoarj"/>
      <sheetName val="21BP Sidoarj"/>
      <sheetName val="1721A1 Sidoarj"/>
      <sheetName val="23SSP PMA"/>
      <sheetName val="23SPM PMA"/>
      <sheetName val="23BP PMA"/>
      <sheetName val="23SSP Sidoarj"/>
      <sheetName val="23SPM Sidoarj"/>
      <sheetName val="23BP Sidoarj"/>
      <sheetName val="FSSP PMA"/>
      <sheetName val="FSPM PMA"/>
      <sheetName val="FBP PMA"/>
      <sheetName val="FSSP Sidoarj"/>
      <sheetName val="FSPM Sidoarj"/>
      <sheetName val="FBP Sidoarj"/>
      <sheetName val="26SSP PMA"/>
      <sheetName val="26SPM PMA"/>
      <sheetName val="26BP PMA"/>
      <sheetName val="26SSP Sidoarj"/>
      <sheetName val="26SPM Sidoarj"/>
      <sheetName val="26BP Sidoarj"/>
      <sheetName val="23SSP Ok"/>
      <sheetName val="23SPM Ok"/>
      <sheetName val="23BP Ok"/>
      <sheetName val="23SSP CBNG Ok"/>
      <sheetName val="23SPM CBNG Ok"/>
      <sheetName val="23BP CBNG"/>
      <sheetName val="23SSP SMG"/>
      <sheetName val="23SPM SMG"/>
      <sheetName val="23BP SMG"/>
      <sheetName val="21SSP_Cibinong"/>
      <sheetName val="21SPM_Cibinong"/>
      <sheetName val="21BP_Cibinong"/>
      <sheetName val="1721A1_Cibinong"/>
      <sheetName val="21SSP_SMG"/>
      <sheetName val="21SPM_SMG"/>
      <sheetName val="21BP_SMG"/>
      <sheetName val="1721A1_SMG"/>
      <sheetName val="PPNSSP"/>
      <sheetName val="PK PM"/>
      <sheetName val="FP Masuk"/>
      <sheetName val="FP Keluar"/>
      <sheetName val="STPPPN"/>
      <sheetName val="PPNLN"/>
      <sheetName val="PPNLNSSP"/>
      <sheetName val="PPnBM"/>
      <sheetName val="PPnBMSSP"/>
      <sheetName val="PPnBMSPM"/>
      <sheetName val="014"/>
      <sheetName val="034"/>
      <sheetName val="035"/>
      <sheetName val="058"/>
      <sheetName val="059"/>
      <sheetName val="612"/>
      <sheetName val="615"/>
      <sheetName val="Uji Arus Form 05"/>
      <sheetName val="SE 14' 05"/>
      <sheetName val="Rekap Apr to Des 03"/>
      <sheetName val="Rekap Jan to Mar 03"/>
      <sheetName val="Bank PPn Impor Jan Mar 03"/>
      <sheetName val="PPN Impor Jan Des "/>
      <sheetName val="003"/>
      <sheetName val="K 002"/>
      <sheetName val="K 003 "/>
      <sheetName val="K 004"/>
      <sheetName val="K 005"/>
      <sheetName val="K 006"/>
      <sheetName val="K 010"/>
      <sheetName val="K 011"/>
      <sheetName val="K 012"/>
      <sheetName val="K 013"/>
      <sheetName val="K 014"/>
      <sheetName val="K 015"/>
      <sheetName val="K 017"/>
      <sheetName val="K 018"/>
      <sheetName val="K 022"/>
      <sheetName val="K 023"/>
      <sheetName val="K 025"/>
      <sheetName val="K 026"/>
      <sheetName val="K 027"/>
      <sheetName val="K 028"/>
      <sheetName val="K 029"/>
      <sheetName val="K 031"/>
      <sheetName val="K 032"/>
      <sheetName val="K 033"/>
      <sheetName val="K 034"/>
      <sheetName val="K 035"/>
      <sheetName val="K 036"/>
      <sheetName val="K 037"/>
      <sheetName val="K 041"/>
      <sheetName val="K 042"/>
      <sheetName val="K 043"/>
      <sheetName val="K 044"/>
      <sheetName val="K 052"/>
      <sheetName val="K 054"/>
      <sheetName val="K 055"/>
      <sheetName val="K 056"/>
      <sheetName val="K 058"/>
      <sheetName val="K 071"/>
      <sheetName val="K 092"/>
      <sheetName val="K 102"/>
      <sheetName val="K 121"/>
      <sheetName val="K 122"/>
      <sheetName val="K 211"/>
      <sheetName val="K 302"/>
      <sheetName val="K 331"/>
      <sheetName val="K 301"/>
      <sheetName val="K 401"/>
      <sheetName val="K 402"/>
      <sheetName val="K 403"/>
      <sheetName val="K 404"/>
      <sheetName val="K 407"/>
      <sheetName val="K 411"/>
      <sheetName val="K 412"/>
      <sheetName val="K 413"/>
      <sheetName val="K 421"/>
      <sheetName val="K 422"/>
      <sheetName val="K 423"/>
      <sheetName val="K 603"/>
      <sheetName val="K 606"/>
      <sheetName val="K 607"/>
      <sheetName val="K 609"/>
      <sheetName val="K 612"/>
      <sheetName val="K 615"/>
      <sheetName val="K 617"/>
      <sheetName val="K 721"/>
      <sheetName val="Rekap Apr to Des 03 Edit"/>
      <sheetName val="Rekap Jan to Mar 03 Edit"/>
      <sheetName val="403 PPN LN Ap Dec 03"/>
      <sheetName val="Uji Arus"/>
      <sheetName val="KKP Klar PSK PPN"/>
      <sheetName val="Uji Arus Form 04"/>
      <sheetName val="Eq PPN PPH"/>
      <sheetName val="FPM WP"/>
      <sheetName val="Rekap FPM WP"/>
      <sheetName val="PPN Impor"/>
      <sheetName val="PPN DN aja"/>
      <sheetName val="PPN DN &lt;500"/>
      <sheetName val="PPN DN &gt;500"/>
      <sheetName val="PPN DN &gt;500 Data"/>
      <sheetName val="PPN DN &gt;500 PK=PM"/>
      <sheetName val="Intra PM 411"/>
      <sheetName val="Intra PM"/>
      <sheetName val="Susupect List"/>
      <sheetName val="021"/>
      <sheetName val="305"/>
      <sheetName val="PPN DN &gt;500 PK#PM"/>
      <sheetName val="PPN LN"/>
      <sheetName val="Intranet PM Edit"/>
      <sheetName val="Rekap PPN Masuk"/>
      <sheetName val="PPn DN Sort"/>
      <sheetName val="PPn DN Sort &lt;500"/>
      <sheetName val="PPn DN Sort &gt;500"/>
      <sheetName val="PPn DN Sort &gt;500 PK=PM"/>
      <sheetName val="PPn DN Sort &gt;500 PK#PM"/>
      <sheetName val="PPN Retur aja"/>
      <sheetName val="FP Kel A1"/>
      <sheetName val="FP Kel A2"/>
      <sheetName val="006"/>
      <sheetName val="011"/>
      <sheetName val="012"/>
      <sheetName val="015"/>
      <sheetName val="018"/>
      <sheetName val="022"/>
      <sheetName val="027"/>
      <sheetName val="032"/>
      <sheetName val="071"/>
      <sheetName val="072"/>
      <sheetName val="428"/>
      <sheetName val="602"/>
      <sheetName val="625"/>
      <sheetName val="Intranet"/>
      <sheetName val="SIDJP PPN"/>
      <sheetName val="Susp List PMA CLG"/>
      <sheetName val="uji Arus WP"/>
      <sheetName val="FP Keluar PMA"/>
      <sheetName val="FP Masuk PMA"/>
      <sheetName val="Ek PPN Ags Des"/>
      <sheetName val="Koreksi PPn Impor"/>
      <sheetName val="PPN 16D"/>
      <sheetName val="PPN 16 D SSP"/>
      <sheetName val="FP Masuk Data"/>
      <sheetName val="045"/>
      <sheetName val="005"/>
      <sheetName val="061"/>
      <sheetName val="057"/>
      <sheetName val="044"/>
      <sheetName val="412"/>
      <sheetName val="024"/>
      <sheetName val="Arus Brg n Uang"/>
      <sheetName val="Arus Brg n Uang urut"/>
      <sheetName val="043"/>
      <sheetName val="033"/>
      <sheetName val="042"/>
      <sheetName val="036"/>
      <sheetName val="026"/>
      <sheetName val="423"/>
      <sheetName val="028"/>
      <sheetName val="055"/>
      <sheetName val="Arus Klarifikasi"/>
      <sheetName val="FP Masuk Advertising"/>
      <sheetName val="Koreksi PM"/>
      <sheetName val="dr intranet"/>
      <sheetName val="Koreksi DPP PPN"/>
      <sheetName val="Koreksi PM Sort"/>
      <sheetName val="Obyek PPNLN"/>
      <sheetName val="dr intranet &gt; 500,000"/>
      <sheetName val="FP M DN aja - retur"/>
      <sheetName val="FP M DN Net &gt; 500,000"/>
      <sheetName val="FP M DN Net &lt; 500,000"/>
      <sheetName val="PPNJLN"/>
      <sheetName val="004"/>
      <sheetName val="013"/>
      <sheetName val="016"/>
      <sheetName val="029"/>
      <sheetName val="031"/>
      <sheetName val="052 3"/>
      <sheetName val="052 2"/>
      <sheetName val="091"/>
      <sheetName val="505"/>
      <sheetName val="506"/>
      <sheetName val="508"/>
      <sheetName val="623"/>
      <sheetName val="624"/>
      <sheetName val="Master Klarifikasi"/>
      <sheetName val="Impor PMA"/>
      <sheetName val="PPN Lok"/>
      <sheetName val="PPNSPM Lok"/>
      <sheetName val="PPNSSP Lok"/>
      <sheetName val="FP Keluar CLG"/>
      <sheetName val="FP Masuk CLG"/>
      <sheetName val="KonPMS PMA"/>
      <sheetName val="Klar PMA"/>
      <sheetName val="ND Klar PMA I"/>
      <sheetName val="ND Klar PMA I (2)"/>
      <sheetName val="KonPMS CLG"/>
      <sheetName val="Klar Clg"/>
      <sheetName val="041clg"/>
      <sheetName val="052 (2)"/>
      <sheetName val="407clg"/>
      <sheetName val="Surat PMA"/>
      <sheetName val="Impor Gab"/>
      <sheetName val="Niaga PPn Im"/>
      <sheetName val="BNI  Priok PPn Im"/>
      <sheetName val="Cat Konf SSP dan FPM"/>
      <sheetName val="Rekap PM PPN DN"/>
      <sheetName val="Rekap PM All"/>
      <sheetName val="PPNDN Master"/>
      <sheetName val="PPNDN Master &lt;500"/>
      <sheetName val="PPNDN Master &gt;500"/>
      <sheetName val="PPN JLN"/>
      <sheetName val="Sidoarjo Intranet PM"/>
      <sheetName val="037"/>
      <sheetName val="073"/>
      <sheetName val="609"/>
      <sheetName val="611"/>
      <sheetName val="613"/>
      <sheetName val="614"/>
      <sheetName val="616"/>
      <sheetName val="617"/>
      <sheetName val="626"/>
      <sheetName val="PPNDN Master Konf"/>
      <sheetName val="FP Keluar Tdk dipungut"/>
      <sheetName val="Retur PK"/>
      <sheetName val="FP Masuk Tdk Dikredit"/>
      <sheetName val="FPM DN"/>
      <sheetName val="FPM DN &lt;500"/>
      <sheetName val="PM Lok"/>
      <sheetName val="FPM DN &gt;500"/>
      <sheetName val="Eq PPN PPH (2)"/>
      <sheetName val="Rekap FP Sederhana"/>
      <sheetName val="FPM Rekap Asli"/>
      <sheetName val="FPM Rekap Asli Edit"/>
      <sheetName val="FPM &lt;500"/>
      <sheetName val="FPM &gt;500"/>
      <sheetName val="FPM &gt;500 PK=PM"/>
      <sheetName val="Intra PM Lok"/>
      <sheetName val="Intra PM Ok"/>
      <sheetName val="PPNSSP 16D"/>
      <sheetName val="Obyek PPN JLN"/>
      <sheetName val="Jual Aset"/>
      <sheetName val="421"/>
      <sheetName val="Uji Arus Isian"/>
      <sheetName val="PPN 16 D KKP"/>
      <sheetName val="PPN 16 D"/>
      <sheetName val="Uji Arus Form 04 Fax"/>
      <sheetName val="Data Uji Arus"/>
      <sheetName val="PPNSPM Asli"/>
      <sheetName val="PPN SPHP"/>
      <sheetName val="9 Data Uji Arus WP"/>
      <sheetName val="Rekap Konfirmasi PPN"/>
      <sheetName val="Data Uji Arus LPP"/>
      <sheetName val="Penyerahan DN"/>
      <sheetName val="Penyerahan DN Cuma2"/>
      <sheetName val="Impor MS"/>
      <sheetName val="Impor MTS"/>
      <sheetName val="PM MS"/>
      <sheetName val="PM MTS"/>
      <sheetName val="PM ALL ASLI"/>
      <sheetName val="PM ALL ASLI SORT"/>
      <sheetName val="Retur Beli"/>
      <sheetName val="SSP PPN LN"/>
      <sheetName val="114"/>
      <sheetName val="404"/>
      <sheetName val="424"/>
      <sheetName val="425"/>
      <sheetName val="426"/>
      <sheetName val="603"/>
      <sheetName val="607"/>
      <sheetName val="PM All Klarifikasi"/>
      <sheetName val="003 (28)"/>
      <sheetName val="003 (29)"/>
      <sheetName val="003 (30)"/>
      <sheetName val="003 (22)"/>
      <sheetName val="003 (23)"/>
      <sheetName val="509"/>
      <sheetName val="504"/>
      <sheetName val="503"/>
      <sheetName val="Dasar Klarifikasi"/>
      <sheetName val="PPNSSP Ok"/>
      <sheetName val="FP Keluar Ok"/>
      <sheetName val="FP Masuk Ok"/>
      <sheetName val="074"/>
      <sheetName val="PPh 21 2011"/>
      <sheetName val="from MIS_With Holding Tax"/>
      <sheetName val="S-Konf-SSP Bank (P 3)"/>
      <sheetName val="S-Konf-SSP Bank (BTM)"/>
      <sheetName val="Bank (P 3)"/>
      <sheetName val="Bank (P 3) (2)"/>
      <sheetName val="Bank (P 3) (3)"/>
      <sheetName val="L- Konf-SSP per bank "/>
      <sheetName val="S-Konf-SSP Kantor"/>
      <sheetName val="S-Konf-SSP Kantor (Lokasi)"/>
      <sheetName val="L- Konf-SSP KTR"/>
      <sheetName val="L- Konf-SSP KTR (Lokasi)"/>
      <sheetName val="S-Konf-bukti pngt&amp;pot"/>
      <sheetName val="L- Konf-bkti pngt&amp;pot"/>
      <sheetName val="S-Konf-bukti png&amp;pot Kantor "/>
      <sheetName val="L- Konf-bkti pngt&amp;pot Kantor"/>
      <sheetName val="S-Konf PM PPN Kantor"/>
      <sheetName val="L-Konf PM PPN"/>
      <sheetName val="Perluasan"/>
      <sheetName val="Mohon Panjang"/>
      <sheetName val="Pemb panjang"/>
      <sheetName val="Peringatan "/>
      <sheetName val="DATA OBYEK "/>
      <sheetName val="KKP PPH  POT-PUT"/>
      <sheetName val="daftar21"/>
      <sheetName val="Draft KKP"/>
      <sheetName val="Daf KKP OK (2)"/>
      <sheetName val="PPN JKP LN"/>
      <sheetName val="PPN JKP LN (STP)"/>
      <sheetName val="PPN BTW LN "/>
      <sheetName val="PPN BTW LN  (STP)"/>
      <sheetName val="Not PPN 16 D"/>
      <sheetName val="not-25"/>
      <sheetName val="Not-Badan Final 4(2)"/>
      <sheetName val="Not-Badan Final 15"/>
      <sheetName val="not-21"/>
      <sheetName val="not-22"/>
      <sheetName val="Not-23"/>
      <sheetName val="Not-23 (STP)"/>
      <sheetName val="Not-26"/>
      <sheetName val="Not-26 (STP)"/>
      <sheetName val="Not-4(2)"/>
      <sheetName val="Not-4(2) (STP)"/>
      <sheetName val="Not-15"/>
      <sheetName val="Not-15 (STP)"/>
      <sheetName val="KLU"/>
      <sheetName val="L_PHP"/>
      <sheetName val="L_PHP (OK)"/>
      <sheetName val="~Mar"/>
      <sheetName val="Summary of TB"/>
      <sheetName val="TB Currency Wise (BS account) "/>
      <sheetName val="sur"/>
      <sheetName val="cpp"/>
      <sheetName val="Equity in IN"/>
      <sheetName val="jualan"/>
      <sheetName val="nbv 2002"/>
      <sheetName val="WBS-proformaOWK"/>
      <sheetName val="Profit&amp;Loss"/>
      <sheetName val="Aje-gt"/>
      <sheetName val="Caje-HO"/>
      <sheetName val="Caje-Spj"/>
      <sheetName val="Caje-Smr&amp;Dpk"/>
      <sheetName val="T-Acc-gt"/>
      <sheetName val="CF (ok)"/>
      <sheetName val="wpl-FIS"/>
      <sheetName val="wbs-FIS"/>
      <sheetName val="MutFa"/>
      <sheetName val="add fafis 04"/>
      <sheetName val="depfis"/>
      <sheetName val="fafis"/>
      <sheetName val="kep150"/>
      <sheetName val="exp-FIS"/>
      <sheetName val="RE-awal"/>
      <sheetName val="Aje1"/>
      <sheetName val="Aje2"/>
      <sheetName val="cons-1"/>
      <sheetName val="cons-2"/>
      <sheetName val="cons-pl"/>
      <sheetName val="CashFlows"/>
      <sheetName val="mut FA-cons"/>
      <sheetName val="report-FA"/>
      <sheetName val="Equity NI"/>
      <sheetName val="Unrealized"/>
      <sheetName val="Segmen-BS"/>
      <sheetName val="Segmen-WPIS"/>
      <sheetName val="Currency"/>
      <sheetName val="mutFA'97"/>
      <sheetName val="mutFA'98"/>
      <sheetName val="Elimination Journals"/>
      <sheetName val="Sales purchase eliminasi"/>
      <sheetName val="Equity in NI"/>
      <sheetName val="Cash flow (direct)"/>
      <sheetName val="Cash flow for report"/>
      <sheetName val="List of PAJEs"/>
      <sheetName val="T-Acc PAJEs"/>
      <sheetName val="K. Combine (audited)"/>
      <sheetName val="add fafis 05"/>
      <sheetName val="detail-1"/>
      <sheetName val="detail-2"/>
      <sheetName val="detail-3"/>
      <sheetName val="cf-parent"/>
      <sheetName val="cf-consol"/>
      <sheetName val="T-Acc caje"/>
      <sheetName val="T-Acc paje"/>
      <sheetName val="sales-prod"/>
      <sheetName val=" cogs"/>
      <sheetName val="cogs for report"/>
      <sheetName val="wbs-segmen- revised"/>
      <sheetName val="wpl-segmen-revised"/>
      <sheetName val="FA for report"/>
      <sheetName val="LL 13"/>
      <sheetName val="fiscal-comp"/>
      <sheetName val="FAkomersial"/>
      <sheetName val="FAdijamin"/>
      <sheetName val="FAcompletion"/>
      <sheetName val="CFkonsol"/>
      <sheetName val="CFinduk"/>
      <sheetName val="share-1"/>
      <sheetName val="share-2"/>
      <sheetName val="goodwil"/>
      <sheetName val="FISkor"/>
      <sheetName val="FC-1 Rekap Donation"/>
      <sheetName val="FC-2 Gain on sale of FA"/>
      <sheetName val="FC-3 FAfiskal"/>
      <sheetName val="P-1-3 Labor Law - UU No 13"/>
      <sheetName val="loan-konsol"/>
      <sheetName val="loan-cam"/>
      <sheetName val="insurance2002"/>
      <sheetName val="rentincome"/>
      <sheetName val="U-2-1.GManalytical"/>
      <sheetName val="AR-TurnOver"/>
      <sheetName val="Jasa Giro"/>
      <sheetName val="*******00"/>
      <sheetName val="*******01"/>
      <sheetName val="*******02"/>
      <sheetName val="*******03"/>
      <sheetName val="*******04"/>
      <sheetName val="*******05"/>
      <sheetName val="*******06"/>
      <sheetName val="*******07"/>
      <sheetName val="Hatchery"/>
      <sheetName val="site (2)"/>
      <sheetName val="Bdl (2)"/>
      <sheetName val="Summary Audit"/>
      <sheetName val="TOING12"/>
      <sheetName val="CPC"/>
      <sheetName val="cost to june"/>
      <sheetName val="Planning"/>
      <sheetName val="PAJE-Sby"/>
      <sheetName val="PM Set per branch"/>
      <sheetName val="InterBranch"/>
      <sheetName val="Pivot CAJE"/>
      <sheetName val="Pivot PAJE"/>
      <sheetName val="LIAB"/>
      <sheetName val="Leases Mutation"/>
      <sheetName val="FA Sold - fiscal"/>
      <sheetName val="AMOR RENT"/>
      <sheetName val="Def-Tax"/>
      <sheetName val="Sales-Elim"/>
      <sheetName val="Break Sales"/>
      <sheetName val="Emp. Ben"/>
      <sheetName val="Aging TR"/>
      <sheetName val="MUA"/>
      <sheetName val="Appraisal"/>
      <sheetName val="Sales related 2007"/>
      <sheetName val="sampul"/>
      <sheetName val="Daftar aff"/>
      <sheetName val="detail(2)"/>
      <sheetName val="Detail FA"/>
      <sheetName val="SUMFA"/>
      <sheetName val="AS-02-aff"/>
      <sheetName val="AS-02-unaff"/>
      <sheetName val="Sales-aff"/>
      <sheetName val="Other elim"/>
      <sheetName val="348"/>
      <sheetName val="354"/>
      <sheetName val="355"/>
      <sheetName val="363"/>
      <sheetName val="366"/>
      <sheetName val="372"/>
      <sheetName val="381"/>
      <sheetName val="388"/>
      <sheetName val="405"/>
      <sheetName val="429"/>
      <sheetName val="433"/>
      <sheetName val="444"/>
      <sheetName val="467"/>
      <sheetName val="469"/>
      <sheetName val="2008-BS-PREPAID-RENT-FISKAL"/>
      <sheetName val="2008-BS-PREPAID-RENT-FISKAL (2)"/>
      <sheetName val="2008-BS-PREPAID-RENT-KOMERSIL"/>
      <sheetName val="2008-BS-PREPAID-RENT-KOMERS (2)"/>
      <sheetName val="G.1 Prepaid Insurance"/>
      <sheetName val="G.2 Prepaid Rent detail"/>
      <sheetName val="G.2-1"/>
      <sheetName val="G.2 PREPAID RENT"/>
      <sheetName val="G.2.1 beginning and addition'08"/>
      <sheetName val="G.2.2 ADDITION 2009"/>
      <sheetName val="G.3 PPH22"/>
      <sheetName val="G.3.1 PPH 22"/>
      <sheetName val="G.4 Prepaid - Art 25"/>
      <sheetName val="G.5 Advance"/>
      <sheetName val="G.5.2"/>
      <sheetName val="G.5.3"/>
      <sheetName val="G.6 PPH23"/>
      <sheetName val="PM Set"/>
      <sheetName val="PAJE &amp; PRJE (Parent)"/>
      <sheetName val="CAJE &amp; CRJE (Parent)"/>
      <sheetName val="WBS 1 (Parent)"/>
      <sheetName val="WBS 2 (Parent)"/>
      <sheetName val="WBS 1 (Detail)"/>
      <sheetName val="WPL (Parent)"/>
      <sheetName val="WBS 2 (Detail)"/>
      <sheetName val="WPL (Detail)"/>
      <sheetName val="Rent Fiscal"/>
      <sheetName val="2007-BS-PREPAID-RENT-FISKAL"/>
      <sheetName val="WBS-1 (Consol)"/>
      <sheetName val="WBS-2 (Consol)"/>
      <sheetName val="WPL (Consol)"/>
      <sheetName val="Detail WBS-1 (Consol)"/>
      <sheetName val="Detail WBS-2 (Consol)"/>
      <sheetName val="Pivot Elim"/>
      <sheetName val="Detail WPL (Consol)"/>
      <sheetName val="T-Elim"/>
      <sheetName val="investment 2006"/>
      <sheetName val="SRM - WBS WPL"/>
      <sheetName val="ASM - WBS"/>
      <sheetName val="ASM - WPL"/>
      <sheetName val="Segmen-BS (2005)"/>
      <sheetName val="Segmen-IS (2005)"/>
      <sheetName val="Segmen-BS (2004 restated)"/>
      <sheetName val="Segmen-WPIS (2004 restated)"/>
      <sheetName val="Segmen-BS (2003 restated)"/>
      <sheetName val="Segmen-IS (2003 restated)"/>
      <sheetName val="investment 2005"/>
      <sheetName val="investment 2004 =&lt;"/>
      <sheetName val="Unrealized 2005"/>
      <sheetName val="Unrealized 2004"/>
      <sheetName val="Movement CF Direct"/>
      <sheetName val="CF-Direct"/>
      <sheetName val="AMOR RENT2008"/>
      <sheetName val="List FA Fiscal"/>
      <sheetName val="Provision2008"/>
      <sheetName val="08-TSP-YG-FA FISKAL"/>
      <sheetName val="LIAB."/>
      <sheetName val="Pemusnahan"/>
      <sheetName val="Super Deductible"/>
      <sheetName val="List Fiscal"/>
      <sheetName val="detail-cf"/>
      <sheetName val="FA FISCAL-A"/>
      <sheetName val="FA FISCAL B"/>
      <sheetName val="Provision2009"/>
      <sheetName val="DTL effect 10"/>
      <sheetName val="AMOR RENT2009"/>
      <sheetName val="JP"/>
      <sheetName val="MML"/>
      <sheetName val="Asset Transfer"/>
      <sheetName val="Existing Asset"/>
      <sheetName val="Usfl Life"/>
      <sheetName val="SEMB Capex 2004-July04"/>
      <sheetName val="SEMB Capex 2005"/>
      <sheetName val="Acq-Dep-NBV"/>
      <sheetName val="Departmental Capex"/>
      <sheetName val="Control Sub"/>
      <sheetName val="Account Sub"/>
      <sheetName val="O_R_"/>
      <sheetName val="1_2"/>
      <sheetName val="17_22"/>
      <sheetName val="45_46"/>
      <sheetName val="Kid rid"/>
      <sheetName val="Perijinan"/>
      <sheetName val="AT 10"/>
      <sheetName val="AL 10 "/>
      <sheetName val="AT 11"/>
      <sheetName val="AL 11"/>
      <sheetName val="AT 12"/>
      <sheetName val="AL 12"/>
      <sheetName val="SURPLUS"/>
      <sheetName val="Y 2006"/>
      <sheetName val="rinci2006"/>
      <sheetName val="TBL HUT_ INV"/>
      <sheetName val="RAB IO"/>
      <sheetName val="NBH"/>
      <sheetName val="SAT_STAFF_ACC1_DC2 _2_"/>
      <sheetName val="DC_FZ01_"/>
      <sheetName val="CBY_B002_"/>
      <sheetName val="AYN_B004_"/>
      <sheetName val="PMY_B043_"/>
      <sheetName val="APR_B082_"/>
      <sheetName val="KHR_F001_"/>
      <sheetName val="ERTN_F004_"/>
      <sheetName val="PGRG_F006_"/>
      <sheetName val="PBR _F010_"/>
      <sheetName val="LMA _F011_"/>
      <sheetName val="KSA_F012_"/>
      <sheetName val="KRSB_F013_"/>
      <sheetName val="MTPD_F014_"/>
      <sheetName val="AYBS_F015_"/>
      <sheetName val="KTGN_F016_"/>
      <sheetName val="BLMB_F017_"/>
      <sheetName val="CWI_F018_"/>
      <sheetName val="GBI_F019_"/>
      <sheetName val="TPV _F020_"/>
      <sheetName val="WRU _F021_"/>
      <sheetName val="CRM _F022_"/>
      <sheetName val="PLSR_F023_"/>
      <sheetName val="CLA_F024_"/>
      <sheetName val="KGRN_F025_"/>
      <sheetName val="PLMN_F026_"/>
      <sheetName val="SBR_F027_"/>
      <sheetName val="JTW_F029_"/>
      <sheetName val="_PLA _F030_"/>
      <sheetName val="KDP _F032_"/>
      <sheetName val="TJG_F033_"/>
      <sheetName val="K MLY_F034_"/>
      <sheetName val="CLM_F035_"/>
      <sheetName val="RJGH_F036_"/>
      <sheetName val="JTTH_F037_"/>
      <sheetName val="JTB _F038_"/>
      <sheetName val="JTB2_F039_"/>
      <sheetName val="JGA_F040_"/>
      <sheetName val="KRA_F041_"/>
      <sheetName val="GGSK_F042_"/>
      <sheetName val="AJW _F043_"/>
      <sheetName val="BNKR_F044_"/>
      <sheetName val="LLA_F045_"/>
      <sheetName val="PJT_F046_"/>
      <sheetName val="SAT_F047__"/>
      <sheetName val="PLR_F048_"/>
      <sheetName val="LDR_F049_"/>
      <sheetName val="BTL_F050_"/>
      <sheetName val="LSI_F052_"/>
      <sheetName val="KSDM_F053_"/>
      <sheetName val="CPJH_F054_"/>
      <sheetName val="WRKD_F055_"/>
      <sheetName val="MSTY_F056_"/>
      <sheetName val="BLMA_F057_"/>
      <sheetName val="PLRY2_F058_"/>
      <sheetName val="LSI TIMUR_F059_"/>
      <sheetName val="KLTG_F060_"/>
      <sheetName val="MSA_F062"/>
      <sheetName val="ADWN_F063_"/>
      <sheetName val="BLPL_F065_"/>
      <sheetName val="CLG_F068_"/>
      <sheetName val="SKRJ_F069_ "/>
      <sheetName val="MJSN_F070_"/>
      <sheetName val="JSN_F071_"/>
      <sheetName val="PJN_F072_ "/>
      <sheetName val="AJT_F074_ "/>
      <sheetName val="LMG_F075_"/>
      <sheetName val="BGG_F076_"/>
      <sheetName val="AAI_F078_"/>
      <sheetName val="KRA2_F079_"/>
      <sheetName val="SAT_STAFF_ACC1_DC2 _3_"/>
      <sheetName val="SAT_STAFF_ACC1_DC2 _4_"/>
      <sheetName val="RJ btj 165104"/>
      <sheetName val="TABEL_DJ"/>
      <sheetName val="DJ_TAF"/>
      <sheetName val="FA_BARU"/>
      <sheetName val="SAT_STAFF_ACC1_DC2"/>
      <sheetName val="FA_BLM_DGK"/>
      <sheetName val="TRIAL BALANCE NOV08"/>
      <sheetName val="Depresiasi 2008"/>
      <sheetName val="Building &amp; Installation 2008"/>
      <sheetName val="Office Furniture 2008"/>
      <sheetName val="Tools&amp;Spareparts  2008"/>
      <sheetName val="Benches&amp;Machineries 2008"/>
      <sheetName val=" Computer Hardware 2008"/>
      <sheetName val="Office Equipment2008"/>
      <sheetName val="Mould &amp; Dies 2008"/>
      <sheetName val="Motor Vehicle 2008"/>
      <sheetName val="Software 2008"/>
      <sheetName val="HAMIDI"/>
      <sheetName val="UTOMO"/>
      <sheetName val="YOHANES"/>
      <sheetName val="PAHYUMI"/>
      <sheetName val="DT"/>
      <sheetName val="TOP"/>
      <sheetName val="ICF"/>
      <sheetName val="Det WBS I"/>
      <sheetName val="Det WBS II"/>
      <sheetName val="Det WPL"/>
      <sheetName val="KF PBC"/>
      <sheetName val="PRJE 2008"/>
      <sheetName val="sad 1"/>
      <sheetName val="Quasi"/>
      <sheetName val="sad03"/>
      <sheetName val="caje03"/>
      <sheetName val="crje03"/>
      <sheetName val="paje03"/>
      <sheetName val="prje03"/>
      <sheetName val="Prje07"/>
      <sheetName val="dta06"/>
      <sheetName val="Det WPL 12"/>
      <sheetName val="caje9"/>
      <sheetName val="crje9"/>
      <sheetName val="paje9"/>
      <sheetName val="prje9"/>
      <sheetName val="Det WPL June"/>
      <sheetName val="WS PBC T7&amp;Subs"/>
      <sheetName val="caje '10"/>
      <sheetName val="crje '10"/>
      <sheetName val="caje '09"/>
      <sheetName val="crje '09"/>
      <sheetName val="Det WBS I - Dec 2008"/>
      <sheetName val="TB Jun 09"/>
      <sheetName val="UM Asset"/>
      <sheetName val="Biaya All 2009-Coding Desc"/>
      <sheetName val="J1-1"/>
      <sheetName val="J1-2"/>
      <sheetName val="TOP-P"/>
      <sheetName val="Detail-P"/>
      <sheetName val="Report EY HK-P"/>
      <sheetName val="VA-Lead"/>
      <sheetName val="VA-1 COPB Acquisition Asing"/>
      <sheetName val="VA-1.1 COPB Acquisition Lokal"/>
      <sheetName val="VA-2 COPB-Others"/>
      <sheetName val="jan 08"/>
      <sheetName val="feb 08"/>
      <sheetName val="mar 08"/>
      <sheetName val="Report MMR"/>
      <sheetName val="Hitung-All"/>
      <sheetName val="Rekap Beli"/>
      <sheetName val="Report BYMHD"/>
      <sheetName val="Other-Info"/>
      <sheetName val="0912"/>
      <sheetName val="CF-Des"/>
      <sheetName val="RincPersd"/>
      <sheetName val="PKK"/>
      <sheetName val="UMKary"/>
      <sheetName val="UMPL"/>
      <sheetName val="UMPA"/>
      <sheetName val="Pjk"/>
      <sheetName val="ATB"/>
      <sheetName val="ATT"/>
      <sheetName val="AP-ALL"/>
      <sheetName val="AP-Rp MK"/>
      <sheetName val="APP"/>
      <sheetName val="AP-VLS MK"/>
      <sheetName val="APV"/>
      <sheetName val="APL"/>
      <sheetName val="oprs"/>
      <sheetName val="H1-1"/>
      <sheetName val="H1-2"/>
      <sheetName val="P2-1"/>
      <sheetName val="U4 - Lead"/>
      <sheetName val="U4.1.1"/>
      <sheetName val="U4.3"/>
      <sheetName val="U4.3.1"/>
      <sheetName val="U4.3.2"/>
      <sheetName val="WPs N"/>
      <sheetName val="N1-1"/>
      <sheetName val="N1-1a"/>
      <sheetName val="N1-2"/>
      <sheetName val="N1-3"/>
      <sheetName val="N1-4"/>
      <sheetName val="NN.1"/>
      <sheetName val="N2 Lead"/>
      <sheetName val="N2-1"/>
      <sheetName val="N2-2"/>
      <sheetName val="N2-3"/>
      <sheetName val="N2-3-1"/>
      <sheetName val="N2-3-2"/>
      <sheetName val="N2-3-3"/>
      <sheetName val="NN.2"/>
      <sheetName val="N3-1"/>
      <sheetName val="PSP"/>
      <sheetName val="E1.1 Aging 2009"/>
      <sheetName val="E1.2 Allowance 2009"/>
      <sheetName val="E1.2.1"/>
      <sheetName val="E1.3 Subsequent"/>
      <sheetName val="E1.3.1 Jan"/>
      <sheetName val="E1.3.2 Feb"/>
      <sheetName val="E1.4"/>
      <sheetName val="E1.4.1"/>
      <sheetName val="E1.4.1.1"/>
      <sheetName val="E1.4.2"/>
      <sheetName val="E1.4.2.1"/>
      <sheetName val="E1.4.3"/>
      <sheetName val="E1.4.3.1"/>
      <sheetName val="E1.5"/>
      <sheetName val="EE Address"/>
      <sheetName val="PBC AFDA"/>
      <sheetName val="Sheet1 "/>
      <sheetName val="TOP-WP"/>
      <sheetName val="DETAIL WBS I"/>
      <sheetName val="DETAIL WBS II"/>
      <sheetName val="DETAIL WPL"/>
      <sheetName val="Dir CF"/>
      <sheetName val="PAJE Mar"/>
      <sheetName val="CAJE.CRJE"/>
      <sheetName val="PRJE Mar"/>
      <sheetName val="PRJE 2007"/>
      <sheetName val="prje 07"/>
      <sheetName val="VD-Lead"/>
      <sheetName val="VD-1"/>
      <sheetName val="VD-2"/>
      <sheetName val="G3.1.1"/>
      <sheetName val="G3.2.1"/>
      <sheetName val="G3.3"/>
      <sheetName val="G-1-1PPHdulu"/>
      <sheetName val="AZ01"/>
      <sheetName val="BZ01"/>
      <sheetName val="CZ01"/>
      <sheetName val="DZ01"/>
      <sheetName val="EZ01"/>
      <sheetName val="FZ01"/>
      <sheetName val="HZ01"/>
      <sheetName val="IZ01"/>
      <sheetName val="JZ01"/>
      <sheetName val="KZ01"/>
      <sheetName val="LZ01"/>
      <sheetName val="Z001"/>
      <sheetName val="C019"/>
      <sheetName val="C020"/>
      <sheetName val="C028_CKB_"/>
      <sheetName val="C030_BBB_"/>
      <sheetName val="C031_JBK_"/>
      <sheetName val="C048_TPC_"/>
      <sheetName val="C056_JDC_"/>
      <sheetName val="C072_RSK_"/>
      <sheetName val="C075"/>
      <sheetName val="C079_TRS_"/>
      <sheetName val="C081_STL_"/>
      <sheetName val="C082_RMS_"/>
      <sheetName val="C084_PLS_"/>
      <sheetName val="C086_CCP_"/>
      <sheetName val="C088_IDC_"/>
      <sheetName val="C090_RGD_"/>
      <sheetName val="C097_VBI_"/>
      <sheetName val="C098_SHD_"/>
      <sheetName val="C099_KSK_"/>
      <sheetName val="C100_AYP_"/>
      <sheetName val="C102_HAS_"/>
      <sheetName val="C107_CBC_"/>
      <sheetName val="C121_PCW_"/>
      <sheetName val="C124_BWT_"/>
      <sheetName val="C131_KBM_"/>
      <sheetName val="C134_DWC_"/>
      <sheetName val="C135_YMC_"/>
      <sheetName val="C137_PRK_"/>
      <sheetName val="C139_PRA_"/>
      <sheetName val="C144_PHJ_"/>
      <sheetName val="C146 STA"/>
      <sheetName val="C147"/>
      <sheetName val="C151_BWS2_"/>
      <sheetName val="C160_PCB_"/>
      <sheetName val="C163_GAP_"/>
      <sheetName val="C164_STS_"/>
      <sheetName val="C179_VAG_"/>
      <sheetName val="C184_BSP_"/>
      <sheetName val="C188_SKU_"/>
      <sheetName val="C218_DJP_"/>
      <sheetName val="C234_WAS2_"/>
      <sheetName val="C236_GTS_"/>
      <sheetName val="C240_VCT_"/>
      <sheetName val="C253_SPS_"/>
      <sheetName val="C254_IBC_"/>
      <sheetName val="C262_BGB_"/>
      <sheetName val="C268_SMT_"/>
      <sheetName val="C283_TMG_"/>
      <sheetName val="C284_SKI_"/>
      <sheetName val="C285_TMR2_"/>
      <sheetName val="C286_PMU_"/>
      <sheetName val="C289_MBA_"/>
      <sheetName val="C295_TWA2_"/>
      <sheetName val="C299_HRB2_"/>
      <sheetName val="C307_SNS_"/>
      <sheetName val="C309_ALK_"/>
      <sheetName val="C310_MGJ_"/>
      <sheetName val="C311_RGB_"/>
      <sheetName val="C312_BBA_"/>
      <sheetName val="C313_JTS"/>
      <sheetName val="C315_GRM_"/>
      <sheetName val="C321_PPM_"/>
      <sheetName val="C328_KGW_"/>
      <sheetName val="C329_CMA_"/>
      <sheetName val="C332_KGU_"/>
      <sheetName val="C334_PMC_"/>
      <sheetName val="C336_HOC_"/>
      <sheetName val="C337_RSI_"/>
      <sheetName val="C339_CKM_"/>
      <sheetName val="C344_MARGAHAYU_"/>
      <sheetName val="C345_WISMA JAYA_"/>
      <sheetName val="C347_TRIDAYA_"/>
      <sheetName val="C348_BSH 3_"/>
      <sheetName val="C353_VBI 2_"/>
      <sheetName val="C354_WRK 2_"/>
      <sheetName val="C357_ANGGADITA_"/>
      <sheetName val="C361_MEKARSARI_"/>
      <sheetName val="C362_TMR2_"/>
      <sheetName val="C363_TGL DANAS_"/>
      <sheetName val="C364_LOJI_"/>
      <sheetName val="C368_SMBR JY 2_"/>
      <sheetName val="C369_SMBR JY_"/>
      <sheetName val="C371_BJI_"/>
      <sheetName val="C375_PERUMNAS 1_"/>
      <sheetName val="C379_IPIK 2_"/>
      <sheetName val="C380_IPIK 3_"/>
      <sheetName val="C382_PINAYUNGAN_"/>
      <sheetName val="C383_KRG SATRIA_"/>
      <sheetName val="C389_WANAYASA_"/>
      <sheetName val="C390_FUDHOLI_"/>
      <sheetName val="C392_ALINDA_"/>
      <sheetName val="C393_SYECH QURO_"/>
      <sheetName val="C394_R_KALONG_"/>
      <sheetName val="C395_GRM_IO"/>
      <sheetName val="C396_KYR_"/>
      <sheetName val="C398_PCW2_"/>
      <sheetName val="C414_ARD BR_"/>
      <sheetName val="C432_MJA2_"/>
      <sheetName val="C433 BBL2"/>
      <sheetName val="C435 VMT2"/>
      <sheetName val="C437 KHD"/>
      <sheetName val="C439 PRK2"/>
      <sheetName val="C440 KSB2"/>
      <sheetName val="C444_DWI"/>
      <sheetName val="C445_SGB"/>
      <sheetName val="C446"/>
      <sheetName val="C447 BSI"/>
      <sheetName val="C448 TRG"/>
      <sheetName val="C449"/>
      <sheetName val="C450"/>
      <sheetName val="C453"/>
      <sheetName val="C455 KRB"/>
      <sheetName val="C459 HBU3"/>
      <sheetName val="C460 KDJ"/>
      <sheetName val="C461 JDC2"/>
      <sheetName val="C462 GYA2"/>
      <sheetName val="C466 RWL"/>
      <sheetName val="C467 GLM"/>
      <sheetName val="C468 TRA"/>
      <sheetName val="C471 BYA"/>
      <sheetName val="C473 RPJ"/>
      <sheetName val="C474 KDS"/>
      <sheetName val="C477 ABG"/>
      <sheetName val="C478 JMY2"/>
      <sheetName val="C480 MGT"/>
      <sheetName val="C481 PMD"/>
      <sheetName val="C482 ZRD"/>
      <sheetName val="C483"/>
      <sheetName val="C484 TUM"/>
      <sheetName val="C485 CLM"/>
      <sheetName val="C486"/>
      <sheetName val="C488 GKA"/>
      <sheetName val="C489 AMI"/>
      <sheetName val="C492 "/>
      <sheetName val="C493"/>
      <sheetName val="C496 TJB3"/>
      <sheetName val="C498"/>
      <sheetName val="C499 TJB2"/>
      <sheetName val="C500"/>
      <sheetName val="C501"/>
      <sheetName val="C502"/>
      <sheetName val="C503"/>
      <sheetName val="C504 VAG2"/>
      <sheetName val="C505"/>
      <sheetName val="C507"/>
      <sheetName val="C508"/>
      <sheetName val="C509"/>
      <sheetName val="C510"/>
      <sheetName val="C512"/>
      <sheetName val="C513"/>
      <sheetName val="C515"/>
      <sheetName val="C516"/>
      <sheetName val="C517"/>
      <sheetName val="C518"/>
      <sheetName val="C519"/>
      <sheetName val="C522"/>
      <sheetName val="C524"/>
      <sheetName val="C526"/>
      <sheetName val="C527"/>
      <sheetName val="C528"/>
      <sheetName val="C533"/>
      <sheetName val="C535"/>
      <sheetName val="C536"/>
      <sheetName val="C537"/>
      <sheetName val="C539"/>
      <sheetName val="C542"/>
      <sheetName val="C543"/>
      <sheetName val="C544"/>
      <sheetName val="C545"/>
      <sheetName val="C546"/>
      <sheetName val="C551"/>
      <sheetName val="C552"/>
      <sheetName val="C553"/>
      <sheetName val="C554"/>
      <sheetName val="C555"/>
      <sheetName val="C556"/>
      <sheetName val="C558"/>
      <sheetName val="C560"/>
      <sheetName val="C561"/>
      <sheetName val="C562"/>
      <sheetName val="C566"/>
      <sheetName val="C567"/>
      <sheetName val="C568"/>
      <sheetName val="C572"/>
      <sheetName val="Lap_ Kinerja Toko _2_"/>
      <sheetName val="Lap_ Kinerja Toko"/>
      <sheetName val="Bbn perlengkapan tk"/>
      <sheetName val="401100"/>
      <sheetName val="405000"/>
      <sheetName val="410030"/>
      <sheetName val="410090"/>
      <sheetName val="412040"/>
      <sheetName val="412070"/>
      <sheetName val="412080"/>
      <sheetName val="CFJun"/>
      <sheetName val="DetailPersed"/>
      <sheetName val="PersMK"/>
      <sheetName val="KasetKosong"/>
      <sheetName val="UM_Kary"/>
      <sheetName val="UM_ProgLokal"/>
      <sheetName val="UM_ProgAsing"/>
      <sheetName val="AT-Bulanan"/>
      <sheetName val="AT-Tahunan"/>
      <sheetName val="HutangAll"/>
      <sheetName val="HutProgRp_MK"/>
      <sheetName val="HutProgRp_NonMK"/>
      <sheetName val="HutProgValas_MK"/>
      <sheetName val="HutProgValas_NonMK"/>
      <sheetName val="Hut_ProgInh"/>
      <sheetName val="Hut_ProgLain"/>
      <sheetName val="Hut_Inv"/>
      <sheetName val="Hut_Oprs"/>
      <sheetName val="Rinc_Persed"/>
      <sheetName val="Kaset_Kosong"/>
      <sheetName val="Hutang_Bank"/>
      <sheetName val="Hutang_All"/>
      <sheetName val="Hutang Rp_Program"/>
      <sheetName val="Hutang Rp_NonMK"/>
      <sheetName val="Hutang Valas_Program"/>
      <sheetName val="Hutang Valas_Non MK"/>
      <sheetName val="Hutang Inhouse"/>
      <sheetName val="Hutang Lain_Program"/>
      <sheetName val="Hutang Lain_Investasi"/>
      <sheetName val="Hutang Lain_Operasional"/>
      <sheetName val="Adj Pdn"/>
      <sheetName val="Adj Jkt"/>
      <sheetName val="SPA BS"/>
      <sheetName val="SPA P&amp;L"/>
      <sheetName val="Mov. Inv."/>
      <sheetName val="Movement2"/>
      <sheetName val="Timing Diff FA"/>
      <sheetName val="Control Fiscal Comp"/>
      <sheetName val="Fiscal Journal-J04"/>
      <sheetName val="FA Mov.Com. Combine"/>
      <sheetName val="FA Mov.Com. Jkt-J04"/>
      <sheetName val="FA Mov. Com. Pdn-J04"/>
      <sheetName val="Transaction Affiliates "/>
      <sheetName val="Detail Consol"/>
      <sheetName val="TOP fiscal-update"/>
      <sheetName val="fiscal journal-update"/>
      <sheetName val="Increase-Decrease"/>
      <sheetName val="CF - Report"/>
      <sheetName val="Det WBS 1"/>
      <sheetName val="Det WBS 2"/>
      <sheetName val="FINANCIAL RATIO"/>
      <sheetName val="tb 2008 audited"/>
      <sheetName val="NBV"/>
      <sheetName val="neraca &amp; labarugi sep"/>
      <sheetName val="TB 2008"/>
      <sheetName val="TB 2009"/>
      <sheetName val="Rekap biaya gaji"/>
      <sheetName val="WBS 1 (2)"/>
      <sheetName val="WBS 2 (2)"/>
      <sheetName val="Det WPL (2)"/>
      <sheetName val="FA-EST per sept"/>
      <sheetName val="FA-POM per sept"/>
      <sheetName val="FA-EST Dec"/>
      <sheetName val="FA-POM dec"/>
      <sheetName val="CIP-addition POM"/>
      <sheetName val="General Instructions"/>
      <sheetName val="ARPS BS"/>
      <sheetName val="ARPS PL"/>
      <sheetName val="PL(Discl)"/>
      <sheetName val="BS int1"/>
      <sheetName val="BS int2"/>
      <sheetName val="BS analysis"/>
      <sheetName val="17A"/>
      <sheetName val="17B"/>
      <sheetName val="26a"/>
      <sheetName val="26b"/>
      <sheetName val="32A"/>
      <sheetName val="32B"/>
      <sheetName val="39A"/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CTVanChuyen"/>
      <sheetName val="VLC_Tramcat"/>
      <sheetName val="VLC_35KV"/>
      <sheetName val="VLC_TBA"/>
      <sheetName val="TT_10KV"/>
      <sheetName val="TT_0,4KV"/>
      <sheetName val="T_TBA"/>
      <sheetName val="10KV"/>
      <sheetName val="T_10KV"/>
      <sheetName val="0,4KV"/>
      <sheetName val="T_0,4KV"/>
      <sheetName val="CP_Xaylap"/>
      <sheetName val="CP_Thietbi"/>
      <sheetName val="CP_Khac"/>
      <sheetName val="Tong_DT"/>
      <sheetName val="TTVanChuyen"/>
      <sheetName val="Gia_GC_Satthep"/>
      <sheetName val="Phuluc"/>
      <sheetName val="封面"/>
      <sheetName val="目录"/>
      <sheetName val="快报"/>
      <sheetName val="资产负债表"/>
      <sheetName val="货币资金分类表"/>
      <sheetName val="资产减值准备明细表 "/>
      <sheetName val="固定资产增减变动及折旧计提表"/>
      <sheetName val="应交税金明细表"/>
      <sheetName val="长期股权投资增减变动明细表"/>
      <sheetName val="所有者权益增减明细表"/>
      <sheetName val="关联单位往来明细表"/>
      <sheetName val="企业存款明细表"/>
      <sheetName val="利润表"/>
      <sheetName val="利润分配表"/>
      <sheetName val="投资收益明细表"/>
      <sheetName val="营业费用明细表"/>
      <sheetName val="管理费用明细表"/>
      <sheetName val="财务费用明细表"/>
      <sheetName val="关联交易明细表"/>
      <sheetName val="主营业务利润明细表"/>
      <sheetName val="现金流量表 "/>
      <sheetName val="分部报告"/>
      <sheetName val="非经常性损益"/>
      <sheetName val="补充资料"/>
      <sheetName val="企业会计差异调节表"/>
      <sheetName val="个别会计报表表内勾稽关系一览表 "/>
      <sheetName val="表间主要勾稽关系一览表"/>
      <sheetName val="关联单位"/>
      <sheetName val="产业群一览表"/>
      <sheetName val="集团范围投资结构（1）"/>
      <sheetName val="集团单位代码名称对照表"/>
      <sheetName val="集团范围投资结构（2）"/>
      <sheetName val="Tonghop"/>
      <sheetName val="0"/>
      <sheetName val="K Fixed Assets"/>
      <sheetName val="K1.1 &amp; K1.2"/>
      <sheetName val="K1.3"/>
      <sheetName val="K1.4"/>
      <sheetName val="K1.5"/>
      <sheetName val="K1.6"/>
      <sheetName val="K1.7"/>
      <sheetName val="Vouching Add."/>
      <sheetName val="Sale &amp; Disposal of FA"/>
      <sheetName val="FA Report"/>
      <sheetName val="E (AR)"/>
      <sheetName val="E.1 (Trade)"/>
      <sheetName val="E.1 (Trade) 2"/>
      <sheetName val="E.1 (Trade) after forex"/>
      <sheetName val="E.1 (Trade) after forex 2802"/>
      <sheetName val="Test Forex'042802"/>
      <sheetName val="Test Forex'04"/>
      <sheetName val="testaging"/>
      <sheetName val="E.2 (Related)"/>
      <sheetName val="E.3 (AR Others)"/>
      <sheetName val="E.3.1"/>
      <sheetName val="E.3.2"/>
      <sheetName val="E.3.3"/>
      <sheetName val="E.3.4"/>
      <sheetName val="E.3.5 "/>
      <sheetName val="AR Turnover"/>
      <sheetName val="CASHFLOW2003"/>
      <sheetName val="BERLI 2002"/>
      <sheetName val="Cashflow'03"/>
      <sheetName val="Cashflow Indirect"/>
      <sheetName val="Consolidation"/>
      <sheetName val="Consolidation (Sort)"/>
      <sheetName val="Perhitungan fiskal"/>
      <sheetName val="Detailed WBS 1"/>
      <sheetName val="Detail WBS 2"/>
      <sheetName val="PAJE-PRJE'04"/>
      <sheetName val="T-ACC (PAJE)"/>
      <sheetName val="CAJE-CRJE'04"/>
      <sheetName val="T-ACC (CAJE)"/>
      <sheetName val="CAJE-CRJERekap"/>
      <sheetName val="PAJE-PRJErekap"/>
      <sheetName val="AKM DEPR"/>
      <sheetName val="EPS-StlhPLB"/>
      <sheetName val="EPS-SblmPLB"/>
      <sheetName val="ESOP 2003"/>
      <sheetName val="PAJE-PRJE (SORT)'02"/>
      <sheetName val="CAJE-CRJE (SORT)"/>
      <sheetName val="PAJE-PRJE'02"/>
      <sheetName val="CAJE-CRJE'02"/>
      <sheetName val="REKAPAN PARJE'04"/>
      <sheetName val="Accrued Expenses - P - ok"/>
      <sheetName val="Accrued Interest-P.1-ok"/>
      <sheetName val="Accrued Rent-P.2-ok"/>
      <sheetName val="Accr.Electricity-P.3-ok"/>
      <sheetName val="Accr. Spareparts-P.4-2005-ok"/>
      <sheetName val="Accrued Int.Leasing-P.4-ok"/>
      <sheetName val="J.1.1"/>
      <sheetName val="J.1.2"/>
      <sheetName val="J.1.3"/>
      <sheetName val="J.1.4"/>
      <sheetName val="J.1.5"/>
      <sheetName val="J.1.6"/>
      <sheetName val="J.1.7"/>
      <sheetName val="J.1.8"/>
      <sheetName val="J.3"/>
      <sheetName val="J.4"/>
      <sheetName val="PBC"/>
      <sheetName val="TB Dec 2010 SAP"/>
      <sheetName val="N.2 Lead"/>
      <sheetName val="N.2.1.1"/>
      <sheetName val="N.2.1.2"/>
      <sheetName val="N.2.1.3"/>
      <sheetName val="NN2"/>
      <sheetName val="Attributes"/>
      <sheetName val="Cal. Cost Broiler"/>
      <sheetName val=" Cal. Cost Layer"/>
      <sheetName val="Test Feed Consumed daily F-1"/>
      <sheetName val="Test Medicine used daily F-1"/>
      <sheetName val="Summary Feed Purchased Sept06"/>
      <sheetName val="MD-0906 "/>
      <sheetName val="Allocation DL-FOH_06"/>
      <sheetName val="Depletion Journal"/>
      <sheetName val="Depletion Calculation"/>
      <sheetName val="GA.100 200"/>
      <sheetName val="GA.301"/>
      <sheetName val="174.302"/>
      <sheetName val="Fiskal Recon"/>
      <sheetName val="O300 PPh art 23&amp;4(2)"/>
      <sheetName val="Deferred_tax_Assets"/>
      <sheetName val="Other_Assets"/>
      <sheetName val="Capital_stock"/>
      <sheetName val="Sales&amp;COGS"/>
      <sheetName val="EI"/>
      <sheetName val="Penyus To use "/>
      <sheetName val="LK1 (2)"/>
      <sheetName val="Penys. oke"/>
      <sheetName val="Penyus To use"/>
      <sheetName val="Penyus To use 3"/>
      <sheetName val="Kor.Fis Konservatif"/>
      <sheetName val="Kor.Fis AGRESIVE"/>
      <sheetName val="Penyus To use 2"/>
      <sheetName val="Kor.Fis Konservative 3"/>
      <sheetName val="Kor.Fis Agresive 3 "/>
      <sheetName val="OPR"/>
      <sheetName val="MEI'02"/>
      <sheetName val="Gls897"/>
      <sheetName val="Back"/>
      <sheetName val="PPh.22"/>
      <sheetName val="Kor.Fis  "/>
      <sheetName val="BUILD (2)"/>
      <sheetName val="GOL I (2)"/>
      <sheetName val="GOL II (2)"/>
      <sheetName val="GOL III (2)"/>
      <sheetName val="Lookup2"/>
      <sheetName val="Kor. Fis (2)"/>
      <sheetName val="BUILD"/>
      <sheetName val="LK7"/>
      <sheetName val="NERACA 04 (2)"/>
      <sheetName val="RL (2)"/>
      <sheetName val="PPh 29 &amp; 25"/>
      <sheetName val="TERBIT (2)"/>
      <sheetName val="CETAK (2)"/>
      <sheetName val="OPR EXP "/>
      <sheetName val="TERBIT (3)"/>
      <sheetName val="CETAK"/>
      <sheetName val="Kor. Fis"/>
      <sheetName val="GOL III"/>
      <sheetName val="2.PPh.22.02"/>
      <sheetName val="3.FISCAL"/>
      <sheetName val="4.PPh.23.02"/>
      <sheetName val="5.PPH.25"/>
      <sheetName val="HPP EXP"/>
      <sheetName val="Ent (3)"/>
      <sheetName val="ENT (2)"/>
      <sheetName val="V (2)"/>
      <sheetName val="OPR "/>
      <sheetName val="PENJELASAN KOREKSI FISKAL (2)"/>
      <sheetName val="PPh 22 Solar Sby"/>
      <sheetName val="PPh 22 Krakatau Sby"/>
      <sheetName val="PPh 22 Impor Sby"/>
      <sheetName val="PPh 22 Impor PNK"/>
      <sheetName val="PPh 22 Krakatau PNK "/>
      <sheetName val="PPh 22 Solar PNK "/>
      <sheetName val="SE46 "/>
      <sheetName val="Revenue Cut Off Service"/>
      <sheetName val="Payroll Journal"/>
      <sheetName val="POR Classifications"/>
      <sheetName val="Salary Info"/>
      <sheetName val="Employee Ref Table"/>
      <sheetName val="Group Codes"/>
      <sheetName val="Account Groups"/>
      <sheetName val="Allocations"/>
      <sheetName val="Start Dates"/>
      <sheetName val="2003 Annual Leave"/>
      <sheetName val="Samurai Bond"/>
      <sheetName val="BSMI Clean II IDR 500 bio"/>
      <sheetName val="DEG"/>
      <sheetName val="BTMU ABL Non Rev-IDR"/>
      <sheetName val="RPO Derivative effect"/>
      <sheetName val="FMO 2"/>
      <sheetName val="IFC AB Syndicated"/>
      <sheetName val="STBC 6"/>
      <sheetName val="SCCA Nexi"/>
      <sheetName val="STBC 7"/>
      <sheetName val="STBC 8"/>
      <sheetName val="STBC 9"/>
      <sheetName val="BOA"/>
      <sheetName val="MUTB"/>
      <sheetName val="MUTB 2"/>
      <sheetName val="BTMU ABL II Non Rev-IDR (2)"/>
      <sheetName val="BTMU ABL 3 Non Rev-USD"/>
      <sheetName val="STBC 4-Rev"/>
      <sheetName val="FA reconciliation"/>
      <sheetName val="org. advances"/>
      <sheetName val="advance cabang"/>
      <sheetName val="MED. ADV aug"/>
      <sheetName val="sal deduct 0807"/>
      <sheetName val="ORG.travel adv"/>
      <sheetName val="trav. adv"/>
      <sheetName val="other advance org"/>
      <sheetName val="other adv "/>
      <sheetName val="rincian 2005"/>
      <sheetName val="olah 78320 april "/>
      <sheetName val="original 78320 april"/>
      <sheetName val="olah 78310 april"/>
      <sheetName val="original 78310 april"/>
      <sheetName val="olah 78300 april"/>
      <sheetName val="location"/>
      <sheetName val="original 78300 april"/>
      <sheetName val="78300 april"/>
      <sheetName val="final  (2)"/>
      <sheetName val="FOLLOW-UP"/>
      <sheetName val="employee 03.07"/>
      <sheetName val="employee per april"/>
      <sheetName val="empl. pasrb"/>
      <sheetName val="emply.crcs"/>
      <sheetName val="emply.up country"/>
      <sheetName val="employee per agus "/>
      <sheetName val="clear"/>
      <sheetName val="NAMA"/>
      <sheetName val="original 78310 april (2)"/>
      <sheetName val="FOLLOW UP APRIL"/>
      <sheetName val="sal deduction"/>
      <sheetName val="origin. adv travel"/>
      <sheetName val="other adv jul"/>
      <sheetName val="ADVANCES jul"/>
      <sheetName val="follow-up medical"/>
      <sheetName val="Salary Recon"/>
      <sheetName val="SAL12-12"/>
      <sheetName val="letter"/>
      <sheetName val="Recons-Basic"/>
      <sheetName val="Recon Bank"/>
      <sheetName val="payslip"/>
      <sheetName val="JV split"/>
      <sheetName val="ADD BONUS"/>
      <sheetName val="13&amp;14"/>
      <sheetName val="JV03"/>
      <sheetName val="JV REVERSE"/>
      <sheetName val="Total Amount (2)"/>
      <sheetName val="Unaudited PY TB"/>
      <sheetName val="WPL CYe"/>
      <sheetName val="WBS-r"/>
      <sheetName val="CIT Calculation New"/>
      <sheetName val="presentation"/>
      <sheetName val="Journal DTA CIT"/>
      <sheetName val="DTA provision"/>
      <sheetName val="WBSsalah"/>
      <sheetName val="WPL CY"/>
      <sheetName val="TMP2"/>
      <sheetName val="DEMOCAR"/>
      <sheetName val="Penj BBN"/>
      <sheetName val="WO BLM TERIMA"/>
      <sheetName val="FPM BLM TERIMA (UNIT)"/>
      <sheetName val="disposal (2)"/>
      <sheetName val="Gain per fiscal"/>
      <sheetName val="Dec.021"/>
      <sheetName val="Mar.03"/>
      <sheetName val="Feb.03"/>
      <sheetName val="Jan.03"/>
      <sheetName val="Dec.02"/>
      <sheetName val="Nov.02"/>
      <sheetName val="Oct.02"/>
      <sheetName val="Adj.Q3"/>
      <sheetName val="Sep.02"/>
      <sheetName val="Aug.02"/>
      <sheetName val="Jul.02"/>
      <sheetName val="Remark expense"/>
      <sheetName val="Cost for sales"/>
      <sheetName val="JD"/>
      <sheetName val="Recharge_Form"/>
      <sheetName val="ICP-Summary"/>
      <sheetName val="ICP-Accounting"/>
      <sheetName val="ICP-Procurement"/>
      <sheetName val="Labour"/>
      <sheetName val="Equipments"/>
      <sheetName val="Implementation Budget"/>
      <sheetName val="IT (THB)Budget "/>
      <sheetName val="2006 WH Budget"/>
      <sheetName val="Transport Rates (excl. Margin)"/>
      <sheetName val="TPT. Conditions (INTERNAL ONLY)"/>
      <sheetName val="SADR_1_20051019"/>
      <sheetName val="Residences"/>
      <sheetName val="Base Costs"/>
      <sheetName val="Estate Detail"/>
      <sheetName val="RE Base Cost"/>
      <sheetName val="Real Estate Detail"/>
      <sheetName val="Vertical view (2)"/>
      <sheetName val="Budget Equity Rollup"/>
      <sheetName val="Project View"/>
      <sheetName val="Vertical view"/>
      <sheetName val="Fee bridge"/>
      <sheetName val="Notable items"/>
      <sheetName val="Jupiter"/>
      <sheetName val="Phuket"/>
      <sheetName val="Las Vegas"/>
      <sheetName val="CNL"/>
      <sheetName val="CASA"/>
      <sheetName val="RCC ST THOMAS"/>
      <sheetName val="FL BEACH"/>
      <sheetName val="RCC KAPALUA"/>
      <sheetName val="RCC SAN FRAN"/>
      <sheetName val="RCC SANTA BARBARA"/>
      <sheetName val="Dubai"/>
      <sheetName val="Whitbread"/>
      <sheetName val="RCC Los Cabos"/>
      <sheetName val=" Fee Summary"/>
      <sheetName val=" Fee Detail"/>
      <sheetName val="Closings"/>
      <sheetName val="2005 Volume"/>
      <sheetName val="JV ADMN  5010"/>
      <sheetName val="qryBu22_xls"/>
      <sheetName val="qryBu22_xls (2)"/>
      <sheetName val="fee income to Karen"/>
      <sheetName val="ALL JV FCAST FEE INCOME"/>
      <sheetName val="LRP Closings"/>
      <sheetName val="NEW SALES"/>
      <sheetName val="for FRMS calcs"/>
      <sheetName val="Jupiter Closings"/>
      <sheetName val="all Closings"/>
      <sheetName val="Jupiter Fcast Equity"/>
      <sheetName val="Chateau Fcast Equity"/>
      <sheetName val="Chateau LRP Financing"/>
      <sheetName val="Chateau LRP Equity"/>
      <sheetName val="CNL Fcast Equity"/>
      <sheetName val="CNL LRP Equity"/>
      <sheetName val="Phuket Fcast Equity"/>
      <sheetName val="Gross Sales"/>
      <sheetName val="FRS"/>
      <sheetName val="Europe"/>
      <sheetName val="Phuket 2004 LRP Equity"/>
      <sheetName val="CASA EQUITY"/>
      <sheetName val="SUM ALL JVS"/>
      <sheetName val="SUM NEW JVS"/>
      <sheetName val="JV Expenses Detail"/>
      <sheetName val="TSA"/>
      <sheetName val="Jupiter FN10"/>
      <sheetName val="Jupiter 2004 LRP Equity"/>
      <sheetName val="Jupiter Budget"/>
      <sheetName val="MVCI-Equity US$"/>
      <sheetName val="LV detail"/>
      <sheetName val="LRP Fee Summary"/>
      <sheetName val="LRP Fee Detail"/>
      <sheetName val="New JVs timeline"/>
      <sheetName val="Financials"/>
      <sheetName val="Labour Summary"/>
      <sheetName val="Labour Duty"/>
      <sheetName val="Op. Exp."/>
      <sheetName val="IT Costs"/>
      <sheetName val="Definition on costing model"/>
      <sheetName val="Modifications Log"/>
      <sheetName val="Module4"/>
      <sheetName val="Dialog1"/>
      <sheetName val="Module5"/>
      <sheetName val="SoldTo"/>
      <sheetName val="ShipTo"/>
      <sheetName val="Payer"/>
      <sheetName val="IDS Customer Master"/>
      <sheetName val="BDC Raw Data - Ship To"/>
      <sheetName val="IDS Customer"/>
      <sheetName val="HHR SUD"/>
      <sheetName val="OCA"/>
      <sheetName val="OA"/>
      <sheetName val="OCL"/>
      <sheetName val="SG&amp;A expenses"/>
      <sheetName val="Operating profit"/>
      <sheetName val="Intercom_BS_CPY32"/>
      <sheetName val="Interco_PL_YTD_CPY32"/>
      <sheetName val="ACCT_YTD_CPY32 December"/>
      <sheetName val="ST Investment"/>
      <sheetName val="AR Trade"/>
      <sheetName val="Invest in asso (1)"/>
      <sheetName val="Invest in asso (2)"/>
      <sheetName val="Invest in other"/>
      <sheetName val="HHR (in MINT Conso)"/>
      <sheetName val="AP FA"/>
      <sheetName val="Computer software 2009"/>
      <sheetName val="Intangible asset"/>
      <sheetName val="LT Borrowing"/>
      <sheetName val="Construction commitment"/>
      <sheetName val="Lease commitment"/>
      <sheetName val="Guarantee liabilities"/>
      <sheetName val="Segment reporting"/>
      <sheetName val="Other income"/>
      <sheetName val="Warrant"/>
      <sheetName val="Staff cost"/>
      <sheetName val="Forward exchange contract"/>
      <sheetName val="PMTH"/>
      <sheetName val="Sherene"/>
      <sheetName val="PhilipMorrisCost-Dec24"/>
      <sheetName val="Final Transport Charges"/>
      <sheetName val="PMTL Dispebser-2"/>
      <sheetName val="Organization Chart"/>
      <sheetName val="Flow Diagram"/>
      <sheetName val="User"/>
      <sheetName val="Orientation"/>
      <sheetName val="RptClose"/>
      <sheetName val="Hidden"/>
      <sheetName val="Configuration"/>
      <sheetName val="Report Local OLD 3MO"/>
      <sheetName val="Report USD OLD 3MO"/>
      <sheetName val="USD REPORT"/>
      <sheetName val="3MO_DETAIL_RPT"/>
      <sheetName val="3MO_TOT_FY_RPT"/>
      <sheetName val="3MO_TOT_FY_RPT_OV"/>
      <sheetName val="DETAIL_BY_QUARTER_RPT"/>
      <sheetName val="expset"/>
      <sheetName val="EXPORT_FCST"/>
      <sheetName val="EXPORT_FCSTPLAN$"/>
      <sheetName val="CAFL "/>
      <sheetName val="Press MC Capacity (2)"/>
      <sheetName val="Press MC Capacity (3)"/>
      <sheetName val="total GA per dept"/>
      <sheetName val="MOULD&amp;DIES_ok"/>
      <sheetName val="GR 1"/>
      <sheetName val="GR 2"/>
      <sheetName val="GR 3"/>
      <sheetName val="Reasonable Test"/>
      <sheetName val="COMMON"/>
      <sheetName val="E1.2GROUP-DIRECT"/>
      <sheetName val="RL Fiscal"/>
      <sheetName val="Salary Detail"/>
      <sheetName val="Calc. test w.holding tax 21"/>
      <sheetName val="Analisis BS (2)"/>
      <sheetName val="Analisis PL (2)"/>
      <sheetName val="Tickmarks (2)"/>
      <sheetName val="Analisis BS (3)"/>
      <sheetName val="Analisis PL (3)"/>
      <sheetName val="Tickmarks (3)"/>
      <sheetName val="153300 Deposits"/>
      <sheetName val="DEPN 2002"/>
      <sheetName val="temp"/>
      <sheetName val="Lookups"/>
      <sheetName val="Payment Record"/>
      <sheetName val="Currency Table"/>
      <sheetName val="Pivot Report (2)"/>
      <sheetName val="Project Code"/>
      <sheetName val="Accounts Entry"/>
      <sheetName val="M'sia billings"/>
      <sheetName val="Reports Required"/>
      <sheetName val="WBS asset"/>
      <sheetName val="WBS liabilities"/>
      <sheetName val="Result"/>
      <sheetName val="Group"/>
      <sheetName val="Class"/>
      <sheetName val="Atribute"/>
      <sheetName val="sales summary 2005"/>
      <sheetName val="target 2005"/>
      <sheetName val="sales analysis"/>
      <sheetName val="product group table"/>
      <sheetName val="month from C0"/>
      <sheetName val="Month_Tar2005"/>
      <sheetName val="Actual2004_2005"/>
      <sheetName val="sales summary 2004"/>
      <sheetName val="graph A-04 analysis"/>
      <sheetName val="unpaid"/>
      <sheetName val="Home Aged Debts"/>
      <sheetName val="Dollar Aged Debts"/>
      <sheetName val="Geograhpical"/>
      <sheetName val="Payment"/>
      <sheetName val="Exchange"/>
      <sheetName val="Unbilled USD"/>
      <sheetName val="Deferred USD"/>
      <sheetName val="COS USD"/>
      <sheetName val="Rechargeable USD"/>
      <sheetName val="March 03 Deferred"/>
      <sheetName val="P&amp;L Account Codes"/>
      <sheetName val="Unbilled receivables"/>
      <sheetName val="Deferred income - Wireline (2)"/>
      <sheetName val="Deferred income"/>
      <sheetName val="COS Accrual"/>
      <sheetName val="Rechargeable Exps"/>
      <sheetName val="Recognition Schedule"/>
      <sheetName val="Programmes Look up"/>
      <sheetName val="Rechargable Summary 2003"/>
      <sheetName val="Investment-P (2)"/>
      <sheetName val="Elimination Adjustment"/>
      <sheetName val="IDCF-P"/>
      <sheetName val="AR-AGING SCH."/>
      <sheetName val="PP&amp;E"/>
      <sheetName val="Adj-Branches"/>
      <sheetName val="CC-1.1k"/>
      <sheetName val="CC-2k"/>
      <sheetName val="AA-1 .1"/>
      <sheetName val="AA-1. 2"/>
      <sheetName val="AA-1. 3"/>
      <sheetName val="AA-2"/>
      <sheetName val="AA-2.1"/>
      <sheetName val="AA-4"/>
      <sheetName val="AA-5"/>
      <sheetName val="AA- 6"/>
      <sheetName val="Consol-1205"/>
      <sheetName val="RE Consol"/>
      <sheetName val="CAJE CSFB"/>
      <sheetName val="CAJE Intercompany"/>
      <sheetName val="TB CIGL'1205"/>
      <sheetName val="CIGL-1205"/>
      <sheetName val="PAJE CIGL"/>
      <sheetName val="TB JOB"/>
      <sheetName val="JOB-1205"/>
      <sheetName val="PAJE JOB"/>
      <sheetName val="RE JOB "/>
      <sheetName val="Consol-1204"/>
      <sheetName val="Consol-1203"/>
      <sheetName val="Consol-1202"/>
      <sheetName val="LT Avril 02"/>
      <sheetName val="Bonus Long Term"/>
      <sheetName val="Short term Bilan "/>
      <sheetName val="Feuil1"/>
      <sheetName val="Bonus ST Cost"/>
      <sheetName val="Read me first"/>
      <sheetName val="USD customers"/>
      <sheetName val="IDR customers"/>
      <sheetName val="CO E3-02"/>
      <sheetName val="CO T-03"/>
      <sheetName val="Sales Summary master"/>
      <sheetName val="check"/>
      <sheetName val="monthly budget per cust num"/>
      <sheetName val="GroupRef"/>
      <sheetName val="EmpCost"/>
      <sheetName val="Sum(PAYnIT)"/>
      <sheetName val="Sum(Mth)"/>
      <sheetName val="Sum(Div)"/>
      <sheetName val="Sum(FQR)"/>
      <sheetName val="Exe"/>
      <sheetName val="HRnS"/>
      <sheetName val="Lgl"/>
      <sheetName val="PnC"/>
      <sheetName val="Aud"/>
      <sheetName val="Drl"/>
      <sheetName val="TSB"/>
      <sheetName val="Exl"/>
      <sheetName val="TnS"/>
      <sheetName val="HR(All)"/>
      <sheetName val="IT(All)"/>
      <sheetName val="dt-val-02"/>
      <sheetName val="tunj."/>
      <sheetName val="dt-val-03"/>
      <sheetName val="dt-val-04"/>
      <sheetName val="dt-val-05"/>
      <sheetName val="adu"/>
      <sheetName val="2004 (3)"/>
      <sheetName val="2005_KP"/>
      <sheetName val="2004_KP"/>
      <sheetName val="2005 (2)"/>
      <sheetName val="2004 (2)"/>
      <sheetName val="2005 (3)"/>
      <sheetName val="hit_03"/>
      <sheetName val="hit_04"/>
      <sheetName val="indrec"/>
      <sheetName val="psak-psgjbr"/>
      <sheetName val="DIPA KINMATGI"/>
      <sheetName val="BRG.FSL.KB."/>
      <sheetName val="KWS.BRKT"/>
      <sheetName val="DETAIL MSLH KB"/>
      <sheetName val="SKEMA KAM"/>
      <sheetName val="MASLH.F2"/>
      <sheetName val="CROP_9"/>
      <sheetName val="CROP-1"/>
      <sheetName val="CROP-2"/>
      <sheetName val="CROP-3"/>
      <sheetName val="CROP-4"/>
      <sheetName val="CROP-5"/>
      <sheetName val="CROP-6"/>
      <sheetName val="CROP-7"/>
      <sheetName val="CROP-8"/>
      <sheetName val="CROP-9"/>
      <sheetName val="CROP-10"/>
      <sheetName val="CROP-11"/>
      <sheetName val="SEMBV"/>
      <sheetName val="wbs_1"/>
      <sheetName val="wbs_2"/>
      <sheetName val="detail _2_"/>
      <sheetName val="sales aff_"/>
      <sheetName val="other elim_"/>
      <sheetName val="other _2_"/>
      <sheetName val="rekonsil cpi"/>
      <sheetName val="Perincian CPP"/>
      <sheetName val="Sales FA"/>
      <sheetName val="Pesangon _ jml kary"/>
      <sheetName val="F00048"/>
      <sheetName val="A-FI-(3)"/>
      <sheetName val="inc-fi"/>
      <sheetName val="J-inc-sh"/>
      <sheetName val="J-inc-fi"/>
      <sheetName val="rec-1"/>
      <sheetName val="rec-2"/>
      <sheetName val="j-inc-aq"/>
      <sheetName val="inc-Aq"/>
      <sheetName val="GR-(2)"/>
      <sheetName val="NS-(1)"/>
      <sheetName val="NS-BNRTY"/>
      <sheetName val="SH-(4)"/>
      <sheetName val="FI-(5)"/>
      <sheetName val="FI-()"/>
      <sheetName val="FI-(6)"/>
      <sheetName val="Prepaid_Jun-05"/>
      <sheetName val="FA_Jun-05"/>
      <sheetName val="Update Non PO New"/>
      <sheetName val="JS. PEMASARAN"/>
      <sheetName val="Jasa Blm JV"/>
      <sheetName val="Peny.aktiva"/>
      <sheetName val="PPN OS Std"/>
      <sheetName val="BBN"/>
      <sheetName val="16D"/>
      <sheetName val="REALISASI"/>
      <sheetName val="PPN BENGKEL"/>
      <sheetName val="A3 Blm Terima"/>
      <sheetName val="monci"/>
      <sheetName val="TDM"/>
      <sheetName val="TIS"/>
      <sheetName val="TFS"/>
      <sheetName val="TFM"/>
      <sheetName val="CY profit"/>
      <sheetName val="Inc. TMP &amp; TMP2"/>
      <sheetName val="Movt TR"/>
      <sheetName val="Movt TMP"/>
      <sheetName val="Movt ARP"/>
      <sheetName val="AJE Invst."/>
      <sheetName val="Elim&amp;Eq Journal 1"/>
      <sheetName val="Elim&amp;Eq Journal 2"/>
      <sheetName val="Elim Intercoy"/>
      <sheetName val="Elim Intercoy Sales"/>
      <sheetName val="PwCTest_Units"/>
      <sheetName val="PwCTest_Parts"/>
      <sheetName val="Itory 0705"/>
      <sheetName val="Parts0705"/>
      <sheetName val="WP0505"/>
      <sheetName val="KCM0705"/>
      <sheetName val="KCM0505"/>
      <sheetName val="Jan 09"/>
      <sheetName val="Feb 09"/>
      <sheetName val="Dec08"/>
      <sheetName val="Nov08"/>
      <sheetName val="Okt08"/>
      <sheetName val="Sept08"/>
      <sheetName val="Aug08"/>
      <sheetName val="Juli 08"/>
      <sheetName val="Juni 08"/>
      <sheetName val="Mei  08"/>
      <sheetName val="Apr  08"/>
      <sheetName val="ndafis"/>
      <sheetName val="BS-KOM"/>
      <sheetName val="IS-COBA"/>
      <sheetName val="PROTAK"/>
      <sheetName val="BS BANK"/>
      <sheetName val="BS-FIS "/>
      <sheetName val="SPT FISKAL 2003 "/>
      <sheetName val="SPT MURNI 2003"/>
      <sheetName val="fiskal2003 REV"/>
      <sheetName val="fiskal2003"/>
      <sheetName val="IS-FIS "/>
      <sheetName val="FAKOM"/>
      <sheetName val="jual-fiskal"/>
      <sheetName val="WP (2)"/>
      <sheetName val="AKT"/>
      <sheetName val="WP-Penj."/>
      <sheetName val="Bi. Penj."/>
      <sheetName val="Bi. Pabrikase"/>
      <sheetName val="wp-pwkl"/>
      <sheetName val="HPP (2)"/>
      <sheetName val="NAMA DEPT"/>
      <sheetName val="RUMS"/>
      <sheetName val="RUMS_AMTSLS"/>
      <sheetName val="DB CR"/>
      <sheetName val="BGT 04"/>
      <sheetName val="PER UNIT UNREVAL03 (MPP ALL)"/>
      <sheetName val="PER UNIT UNREVAL03 (MPP COO)"/>
      <sheetName val="REPORT CR UNREVAL"/>
      <sheetName val="PER UNIT REVAL03 (MPP ALL)"/>
      <sheetName val="PER UNIT REVAL03 (MPP COO)"/>
      <sheetName val="REPORT CR REVAL"/>
      <sheetName val="ACTUAL-MASTER (2002)"/>
      <sheetName val="BUDGET-MASTER (2003)"/>
      <sheetName val="KERTAS KERJA 03"/>
      <sheetName val="BS 10-07"/>
      <sheetName val="PL 10-07"/>
      <sheetName val="TB 10-07"/>
      <sheetName val="L1-PDE"/>
      <sheetName val="PDE-Dec.04"/>
      <sheetName val="L1.4"/>
      <sheetName val="L1.5"/>
      <sheetName val="L1.6"/>
      <sheetName val="BS old"/>
      <sheetName val="Q05"/>
      <sheetName val="Urut Div"/>
      <sheetName val="WS May '06"/>
      <sheetName val="AJE May'06"/>
      <sheetName val="Flux IS"/>
      <sheetName val="Flux BS"/>
      <sheetName val="Lease disp"/>
      <sheetName val="lease class"/>
      <sheetName val="lease intrst"/>
      <sheetName val="ᅸ力怀疗凨_x0002__x0000_"/>
      <sheetName val="Stock-BUYING"/>
      <sheetName val="EST &quot;Stock SELLING 2000&quot;"/>
      <sheetName val="FCST Stock SELLING 2001"/>
      <sheetName val="AR &amp; AP Other RP"/>
      <sheetName val="AP&amp;AR Kievit"/>
      <sheetName val="AP Other"/>
      <sheetName val="OPEX-Revised"/>
      <sheetName val="Tax1"/>
      <sheetName val="Tax2"/>
      <sheetName val="Tax2-R"/>
      <sheetName val="Tax3"/>
      <sheetName val="Est empl Benefit"/>
      <sheetName val="Dec31,08"/>
      <sheetName val="Feb10,09"/>
      <sheetName val="RECO. BalanceSheet"/>
      <sheetName val="Affiliate IG RECO"/>
      <sheetName val="IG No+Names"/>
      <sheetName val="#BusinessQuery#"/>
      <sheetName val="RECOUSD"/>
      <sheetName val="AR open item"/>
      <sheetName val="OR open item"/>
      <sheetName val="IG REC"/>
      <sheetName val="ACCTS REC"/>
      <sheetName val="Firjava Reco"/>
      <sheetName val="Hidden Legend"/>
      <sheetName val="Summary 051206"/>
      <sheetName val="Purpose"/>
      <sheetName val="Life"/>
      <sheetName val="Asset_Cat"/>
      <sheetName val="Cost_Center"/>
      <sheetName val="Timing"/>
      <sheetName val="PV"/>
      <sheetName val="GL Pivot"/>
      <sheetName val="GL - 801001 - Interest Expense "/>
      <sheetName val="GL OK"/>
      <sheetName val="PVT OK"/>
      <sheetName val="K.100 Lead"/>
      <sheetName val="K.200 List"/>
      <sheetName val="K.210 Reasonable Test"/>
      <sheetName val="K.220 AJE"/>
      <sheetName val="K.230 Sales per customer"/>
      <sheetName val="K.231 MPMR"/>
      <sheetName val="K.300 Sales Cutoff"/>
      <sheetName val="MONTHLY REPORT PRODUCING"/>
      <sheetName val="Month Data"/>
      <sheetName val="T Bal - C Rpt"/>
      <sheetName val="MPB P L"/>
      <sheetName val="B S"/>
      <sheetName val="MPB (S) 2002 "/>
      <sheetName val="PTSFPI (S) 2002"/>
      <sheetName val="PT Summ 02-CONSOL"/>
      <sheetName val="MPB Summ 02"/>
      <sheetName val="PTSFPI Summ 02 "/>
      <sheetName val="Rec XX"/>
      <sheetName val="Sch 28 x"/>
      <sheetName val="PT Tax"/>
      <sheetName val="Burden"/>
      <sheetName val="Exch Rates"/>
      <sheetName val="Chart Acc"/>
      <sheetName val="MPB (S) 2001"/>
      <sheetName val="PTSFPI (S) 2000"/>
      <sheetName val="PT Summ 99"/>
      <sheetName val="PT Summ 00"/>
      <sheetName val="PT Summ 01"/>
      <sheetName val="MPB Summ 99"/>
      <sheetName val="MPB Summ 00"/>
      <sheetName val="MPB Summ 01"/>
      <sheetName val="MPB Summ 01 (OL)"/>
      <sheetName val="MPB (S) 2000"/>
      <sheetName val="PT Summ 02"/>
      <sheetName val="MPB (S) 2001 "/>
      <sheetName val="PTSFPI (S) 2001"/>
      <sheetName val="SMITH"/>
      <sheetName val="Sales Cutoff"/>
      <sheetName val="Credit Note Cutoff"/>
      <sheetName val="Receivable"/>
      <sheetName val="GroupCo"/>
      <sheetName val="App 3"/>
      <sheetName val="avg_rate"/>
      <sheetName val="Form A-Input-Current"/>
      <sheetName val="Marshal 2"/>
      <sheetName val="Lampiran "/>
      <sheetName val="F!771-V"/>
      <sheetName val="SChDepr"/>
      <sheetName val="rINGKASANdEPRESIASI"/>
      <sheetName val="Interdata"/>
      <sheetName val="COGSan"/>
      <sheetName val="COGS &amp; SELLING"/>
      <sheetName val="PPE (2)"/>
      <sheetName val="AR 2"/>
      <sheetName val="XREF"/>
      <sheetName val="E15"/>
      <sheetName val="E14"/>
      <sheetName val="E13"/>
      <sheetName val="E09"/>
      <sheetName val="E08"/>
      <sheetName val="E07"/>
      <sheetName val="E06"/>
      <sheetName val="E05"/>
      <sheetName val="E04"/>
      <sheetName val="E03"/>
      <sheetName val="E02"/>
      <sheetName val="E01"/>
      <sheetName val="salaryrecon"/>
      <sheetName val="Lead (2)"/>
      <sheetName val="PL indo"/>
      <sheetName val="PPh 25 indo"/>
      <sheetName val="COGS-02"/>
      <sheetName val="net allocation out"/>
      <sheetName val="10000000"/>
      <sheetName val="20000000"/>
      <sheetName val="TP business FC-5%"/>
      <sheetName val="TP by Business"/>
      <sheetName val="TRADING PROFIT"/>
      <sheetName val="TAX COM"/>
      <sheetName val="TAX SCH"/>
      <sheetName val="SIN DIVIDEND"/>
      <sheetName val="HK DIVIDEND "/>
      <sheetName val="WT"/>
      <sheetName val="job wip"/>
      <sheetName val="factoryworkload"/>
      <sheetName val="Design Workload"/>
      <sheetName val="Order acquisition"/>
      <sheetName val="Personnel-policy"/>
      <sheetName val="Person-heads"/>
      <sheetName val="over-under-Summary"/>
      <sheetName val="P&amp;l DEPT"/>
      <sheetName val="Technical"/>
      <sheetName val="Testing"/>
      <sheetName val="Project General"/>
      <sheetName val="Contract&amp; MKTG"/>
      <sheetName val="Summary of overheads"/>
      <sheetName val="Other Costs( Income)"/>
      <sheetName val="Mktg. &amp; Svc. Dept."/>
      <sheetName val="Grp. Acct. &amp; Admin."/>
      <sheetName val="Fin exp"/>
      <sheetName val="Extra exp"/>
      <sheetName val="Investments"/>
      <sheetName val="PAC"/>
      <sheetName val="CvrPg"/>
      <sheetName val="GpStr "/>
      <sheetName val="Consol BS"/>
      <sheetName val="Consol P&amp;L"/>
      <sheetName val="PL Notes"/>
      <sheetName val="CJEs"/>
      <sheetName val="Gdwill"/>
      <sheetName val="BS AE"/>
      <sheetName val="Co adj"/>
      <sheetName val="AEM"/>
      <sheetName val="YH"/>
      <sheetName val="YH_PL"/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Apr 02"/>
      <sheetName val="Jun 02"/>
      <sheetName val="Jul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Nov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  <sheetName val="Oct 04"/>
      <sheetName val="Nov 04"/>
      <sheetName val="Dec 04"/>
      <sheetName val="Jan 05"/>
      <sheetName val="Upkeep MV"/>
      <sheetName val="Project Schedule"/>
      <sheetName val="6542"/>
      <sheetName val="6543"/>
      <sheetName val="6544"/>
      <sheetName val="A14-Sales"/>
      <sheetName val="A19-2"/>
      <sheetName val="A19-3"/>
      <sheetName val="Journal Voucher"/>
      <sheetName val="B2A"/>
      <sheetName val="C100"/>
      <sheetName val="C200"/>
      <sheetName val="C400"/>
      <sheetName val="C-Note for final"/>
      <sheetName val="D100"/>
      <sheetName val="D101"/>
      <sheetName val="D-Analysis"/>
      <sheetName val="D-Notes for final"/>
      <sheetName val="F100"/>
      <sheetName val="F200"/>
      <sheetName val="F-Costing OB"/>
      <sheetName val="F-Costing"/>
      <sheetName val="I1A"/>
      <sheetName val="I100"/>
      <sheetName val="I200"/>
      <sheetName val="I400"/>
      <sheetName val="O100"/>
      <sheetName val="O200"/>
      <sheetName val="O201"/>
      <sheetName val="O300"/>
      <sheetName val="O1000-Local"/>
      <sheetName val="O1002-Export"/>
      <sheetName val="O1100"/>
      <sheetName val="O1101"/>
      <sheetName val="O1200-Local"/>
      <sheetName val="O1201-Export"/>
      <sheetName val="O1300-Local"/>
      <sheetName val="O1400"/>
      <sheetName val="O1500-Local"/>
      <sheetName val="O1600"/>
      <sheetName val="O-Notes for final"/>
      <sheetName val="Audited BS"/>
      <sheetName val="Audited P&amp;L"/>
      <sheetName val="B-1 Revenue"/>
      <sheetName val="B-1.1 Breakdown"/>
      <sheetName val="B-100 Trade Receivables"/>
      <sheetName val="D-1 PPE"/>
      <sheetName val="E - Cash"/>
      <sheetName val="E -100"/>
      <sheetName val="M - Other Assets"/>
      <sheetName val="N-1 "/>
      <sheetName val="B-2 Reasonableness test"/>
      <sheetName val="P-1 Interco"/>
      <sheetName val="J-100"/>
      <sheetName val="L-1 Income tax movements"/>
      <sheetName val="H-1 Payroll"/>
      <sheetName val="O-1 Other income&amp;Exp"/>
      <sheetName val="Other Income &amp; Expenses"/>
      <sheetName val="O-2 Break-down"/>
      <sheetName val="B-1.1"/>
      <sheetName val="B-100 Receivables"/>
      <sheetName val="Payroll-COGS"/>
      <sheetName val="Payroll_Admin"/>
      <sheetName val="O-1 Other Income &amp; Expenses"/>
      <sheetName val="Profit &amp; Loss account"/>
      <sheetName val="Recon MPRS BS"/>
      <sheetName val="BS Face"/>
      <sheetName val="GB 1"/>
      <sheetName val="GC 1"/>
      <sheetName val="GE 100"/>
      <sheetName val="GE101"/>
      <sheetName val="GF 1"/>
      <sheetName val="GH 1"/>
      <sheetName val="GH 1A"/>
      <sheetName val="GJ 1"/>
      <sheetName val="GK 100"/>
      <sheetName val="GK101"/>
      <sheetName val="GL1"/>
      <sheetName val="GL1.1"/>
      <sheetName val="GQ 1"/>
      <sheetName val="GQ3"/>
      <sheetName val="GW 1.1"/>
      <sheetName val="GW 1.4"/>
      <sheetName val="GX1"/>
      <sheetName val="GX100.1."/>
      <sheetName val="GX100.1.1"/>
      <sheetName val="GX100.2"/>
      <sheetName val="GX100.3"/>
      <sheetName val="GX100.3.1"/>
      <sheetName val="GX101-AR"/>
      <sheetName val="GX102-Rental"/>
      <sheetName val="GX103-Mgmt fee"/>
      <sheetName val="GX1.3"/>
      <sheetName val="GY1"/>
      <sheetName val="GY1.1"/>
      <sheetName val="GY4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AJE &amp; SUD 04"/>
      <sheetName val="RE rekon journal"/>
      <sheetName val="Jurnal 13"/>
      <sheetName val="Taxation 1999"/>
      <sheetName val="NBV movements"/>
      <sheetName val="AJE 2001"/>
      <sheetName val="FA Comm 99"/>
      <sheetName val="FA Comm 00"/>
      <sheetName val="FA Comm 01"/>
      <sheetName val="3200 - 99&amp;00"/>
      <sheetName val="3200 - 00&amp;01"/>
      <sheetName val="4100 (2)"/>
      <sheetName val="4100 (3)"/>
      <sheetName val="4100 - 99&amp;00"/>
      <sheetName val="4100 - 00&amp;01"/>
      <sheetName val="FUR-2000"/>
      <sheetName val="edp-2000"/>
      <sheetName val="COM-2000"/>
      <sheetName val="FA99"/>
      <sheetName val="FA98"/>
      <sheetName val="FA97"/>
      <sheetName val="FA96"/>
      <sheetName val="FA95"/>
      <sheetName val="FA94"/>
      <sheetName val="FA93"/>
      <sheetName val="FA-COMM91"/>
      <sheetName val="FA-DWELL91"/>
      <sheetName val="FA-FURNT91"/>
      <sheetName val="FA92-D99"/>
      <sheetName val="6200 (2)"/>
      <sheetName val="AdJ RE Beginning"/>
      <sheetName val="Sales Cycle"/>
      <sheetName val="O - Sales Controls"/>
      <sheetName val="Sales Control"/>
      <sheetName val="sales internal control obj"/>
      <sheetName val="Sales Control Testing-finding"/>
      <sheetName val="Sales testing-Obj."/>
      <sheetName val="Sales Testing"/>
      <sheetName val="Sch 8 - IAS Adj"/>
      <sheetName val="Sch 1.0 PL"/>
      <sheetName val="Sch 8"/>
      <sheetName val="June2002-Value (Filter)"/>
      <sheetName val="list of attachment (2)"/>
      <sheetName val="Tax Calc"/>
      <sheetName val="Marshal-SPT"/>
      <sheetName val="Summ Corr"/>
      <sheetName val="tax penalty"/>
      <sheetName val="fiscorrection"/>
      <sheetName val="Koreksifiskal"/>
      <sheetName val="fiscaldepr"/>
      <sheetName val="AT jual"/>
      <sheetName val="Employee cost"/>
      <sheetName val="WH tax"/>
      <sheetName val="Art. 22"/>
      <sheetName val="F1771-6 (2)"/>
      <sheetName val="Recap "/>
      <sheetName val="Input area"/>
      <sheetName val="Acc Surplus &amp; other Funds"/>
      <sheetName val="Debtors"/>
      <sheetName val="Income &amp; Expenditure"/>
      <sheetName val="A12_2"/>
      <sheetName val="J3  (2)"/>
      <sheetName val="J4"/>
      <sheetName val="O2_1"/>
      <sheetName val="O6"/>
      <sheetName val="P2_1"/>
      <sheetName val="P2_2"/>
      <sheetName val="P2_3"/>
      <sheetName val="P2_4"/>
      <sheetName val="P3"/>
      <sheetName val="P3_1"/>
      <sheetName val="O6 (2)"/>
      <sheetName val="F1771- III"/>
      <sheetName val="F1771- V"/>
      <sheetName val="Gain FA"/>
      <sheetName val="WP- Lain"/>
      <sheetName val="sAL-REC"/>
      <sheetName val="F 1771-IV"/>
      <sheetName val="F 1771-V"/>
      <sheetName val="F 1771-VI"/>
      <sheetName val="J101"/>
      <sheetName val="I2"/>
      <sheetName val="I2|1"/>
      <sheetName val="A4-1"/>
      <sheetName val="A4-2"/>
      <sheetName val="A4-3"/>
      <sheetName val="A12"/>
      <sheetName val="A14_1"/>
      <sheetName val="A19"/>
      <sheetName val="H1|1"/>
      <sheetName val="J3 - Search unrecorded liab"/>
      <sheetName val="O1|1"/>
      <sheetName val="P 2 detail expenses"/>
      <sheetName val="purchase testing"/>
      <sheetName val="sale testing"/>
      <sheetName val="Retainers"/>
      <sheetName val="2002-Interest"/>
      <sheetName val="2003-Interest"/>
      <sheetName val="2004-Interest"/>
      <sheetName val="2005-Interest"/>
      <sheetName val="Trade-AR-Sea Bear-AI"/>
      <sheetName val="Trade-AR-OGP029-AI"/>
      <sheetName val="2006-Interest"/>
      <sheetName val="Total Management fee"/>
      <sheetName val="Total Cash,Mat &amp; Equip provided"/>
      <sheetName val="AR-AY (SIN)"/>
      <sheetName val="AR-AI"/>
      <sheetName val="AP-AFV"/>
      <sheetName val="AR-AFV"/>
      <sheetName val="AY (VN)"/>
      <sheetName val="Total loan due to AI"/>
      <sheetName val="Inter Co"/>
      <sheetName val="Notes to disposal PT "/>
      <sheetName val="1.0 FS"/>
      <sheetName val="1.1 FS"/>
      <sheetName val="2.0 UH Consol"/>
      <sheetName val="4.0 Adj"/>
      <sheetName val="IMA Consol"/>
      <sheetName val="3.0 Inter Co"/>
      <sheetName val="A8.1"/>
      <sheetName val="A8.2"/>
      <sheetName val="A11.1"/>
      <sheetName val="A12.1"/>
      <sheetName val="A19.1"/>
      <sheetName val="D6"/>
      <sheetName val="D7"/>
      <sheetName val="F4.1"/>
      <sheetName val="H1.1"/>
      <sheetName val="I3"/>
      <sheetName val="I4"/>
      <sheetName val="I4.1"/>
      <sheetName val="J5"/>
      <sheetName val="J10"/>
      <sheetName val="J11"/>
      <sheetName val="L2.1"/>
      <sheetName val="L2.2"/>
      <sheetName val="L2.3"/>
      <sheetName val="O4.1"/>
      <sheetName val="P3.1"/>
      <sheetName val="P4"/>
      <sheetName val="P4.1"/>
      <sheetName val="P5.1"/>
      <sheetName val="P5.AR"/>
      <sheetName val="P6"/>
      <sheetName val="PXX"/>
      <sheetName val="R1.1"/>
      <sheetName val="R4.1"/>
      <sheetName val="Korea impairment test"/>
      <sheetName val="Capex &amp; WC"/>
      <sheetName val=" Profit &amp; Loss "/>
      <sheetName val=" 2009 Profit &amp; Loss -Analysis"/>
      <sheetName val=" Bu10 Profit &amp; Loss -Analys"/>
      <sheetName val=" SAP11Profit &amp; Loss -Analys"/>
      <sheetName val=" SAP12Profit &amp; Loss -Analys "/>
      <sheetName val="Japan impairment test"/>
      <sheetName val="Conn Spore impairment test"/>
      <sheetName val="Goodwill-HQ"/>
      <sheetName val="Schedule-HQ"/>
      <sheetName val="Goodwill - ELX"/>
      <sheetName val="PL - ELX"/>
      <sheetName val="Bishop - ELX"/>
      <sheetName val="(1)Discount Rate"/>
      <sheetName val="A14.1"/>
      <sheetName val="A100"/>
      <sheetName val="B100"/>
      <sheetName val="B200"/>
      <sheetName val="B300"/>
      <sheetName val="B400"/>
      <sheetName val="B500"/>
      <sheetName val="C201"/>
      <sheetName val="C300"/>
      <sheetName val="C301"/>
      <sheetName val="D2.8"/>
      <sheetName val="D102"/>
      <sheetName val="D102.1"/>
      <sheetName val="D200"/>
      <sheetName val="D201"/>
      <sheetName val="D201.1"/>
      <sheetName val="D300"/>
      <sheetName val="D301"/>
      <sheetName val="D302"/>
      <sheetName val="D400"/>
      <sheetName val="D500"/>
      <sheetName val="F300"/>
      <sheetName val="F301"/>
      <sheetName val="F302"/>
      <sheetName val="F303"/>
      <sheetName val="F304"/>
      <sheetName val="F400"/>
      <sheetName val="F500"/>
      <sheetName val="F600"/>
      <sheetName val="G100"/>
      <sheetName val="G200"/>
      <sheetName val="G201"/>
      <sheetName val="G201.1"/>
      <sheetName val="G300"/>
      <sheetName val="G400"/>
      <sheetName val="G500"/>
      <sheetName val="I2.1"/>
      <sheetName val="I2.2"/>
      <sheetName val="I2.3"/>
      <sheetName val="I2.4"/>
      <sheetName val="I2.5"/>
      <sheetName val="I101"/>
      <sheetName val="I300"/>
      <sheetName val="I301"/>
      <sheetName val="I302"/>
      <sheetName val="I500"/>
      <sheetName val="J3"/>
      <sheetName val="J4.1"/>
      <sheetName val="J100"/>
      <sheetName val="J102"/>
      <sheetName val="J200"/>
      <sheetName val="J201"/>
      <sheetName val="J201.1"/>
      <sheetName val="J300"/>
      <sheetName val="J301"/>
      <sheetName val="J400"/>
      <sheetName val="Dat"/>
      <sheetName val="A6"/>
      <sheetName val="GP BS"/>
      <sheetName val="Highlight"/>
      <sheetName val="PL details"/>
      <sheetName val="Sales &amp; COGS  Curr Month"/>
      <sheetName val="Sales &amp; COGS YTD"/>
      <sheetName val="GP Analysis Sales"/>
      <sheetName val="Tax Movement _PL_ RB"/>
      <sheetName val="AR Aging"/>
      <sheetName val="AR Collections"/>
      <sheetName val="ADS (USD)"/>
      <sheetName val="Detail - Current View"/>
      <sheetName val="Raw mat"/>
      <sheetName val="Manufacturing expense"/>
      <sheetName val="manufacturing expense-detail"/>
      <sheetName val="BP (2)"/>
      <sheetName val="Direct Labour"/>
      <sheetName val="Detail - Current View-sort HPP"/>
      <sheetName val="Gen &amp; Adm"/>
      <sheetName val="Buad"/>
      <sheetName val="other gainloss"/>
      <sheetName val="Provisi Bonus"/>
      <sheetName val="Rekon Salary "/>
      <sheetName val="Tax Credit"/>
      <sheetName val="Rekap vat 2004"/>
      <sheetName val="rekonPPN"/>
      <sheetName val="AN_Input"/>
      <sheetName val="Sales, AR"/>
      <sheetName val="Purchase, AP"/>
      <sheetName val="Payroll-Est"/>
      <sheetName val="TOC Purch"/>
      <sheetName val="TOC Capex"/>
      <sheetName val="TOC Payroll"/>
      <sheetName val="TOC Payroll-Fac"/>
      <sheetName val="TOC-CR"/>
      <sheetName val="TOC-CU"/>
      <sheetName val="Fac"/>
      <sheetName val="cutoff sales"/>
      <sheetName val="TOC delivery CPO"/>
      <sheetName val="Summary Of Assets"/>
      <sheetName val="AJE 2015"/>
      <sheetName val="TBRP"/>
      <sheetName val="TB HQ"/>
      <sheetName val="FX"/>
      <sheetName val="GC EstateRM"/>
      <sheetName val="TB S1"/>
      <sheetName val="TB S2"/>
      <sheetName val="TB N1"/>
      <sheetName val="TB N2"/>
      <sheetName val="GC Estate"/>
      <sheetName val="JAE"/>
      <sheetName val="JAHQ"/>
      <sheetName val="Rekon OCBC RP"/>
      <sheetName val="Rekon OCBC USD"/>
      <sheetName val="Rekon BNI"/>
      <sheetName val="Rekon BRIS"/>
      <sheetName val="Rekon BRIS (2)"/>
      <sheetName val="Rekon BRIP"/>
      <sheetName val="Rekon BRIP (2)"/>
      <sheetName val="ISRP.5"/>
      <sheetName val="ISRP.6"/>
      <sheetName val="BSRP"/>
      <sheetName val="BSRP (2)"/>
      <sheetName val="BSRP.6"/>
      <sheetName val="Rate Adj"/>
      <sheetName val="TBRM"/>
      <sheetName val="ISRM"/>
      <sheetName val="BSRM"/>
      <sheetName val="Mgt Fee"/>
      <sheetName val="Mgt Fee Plasma"/>
      <sheetName val="Amount Due TDMB"/>
      <sheetName val="TDMB"/>
      <sheetName val="Persatuan"/>
      <sheetName val="ACTIVITY - SAWIT"/>
      <sheetName val="PN OKE"/>
      <sheetName val="MN OKE"/>
      <sheetName val="LC MEKANIS OKE"/>
      <sheetName val="INV PK BANGUNAN OKE"/>
      <sheetName val="INV PO OKE"/>
      <sheetName val="INV INFRAS OKE"/>
      <sheetName val="TBM-0 OKE"/>
      <sheetName val="TBM-0 REHAP"/>
      <sheetName val="TBM-1 REHAP"/>
      <sheetName val="RAB 2008"/>
      <sheetName val="Lembar Isian"/>
      <sheetName val="Harga Aprit"/>
      <sheetName val="1 Rekap Pemupukan"/>
      <sheetName val="3.NORMA_HK"/>
      <sheetName val="2 Rekom comp 2008   "/>
      <sheetName val="UMP.AFD.AA"/>
      <sheetName val="UMP.AFD.BB"/>
      <sheetName val="UMP.AFD.CC"/>
      <sheetName val="UMP.Bibitan"/>
      <sheetName val="kns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16_Pemupukan N"/>
      <sheetName val="17_Pemupukan Borate"/>
      <sheetName val="18_Pemupukan Compound"/>
      <sheetName val="19_Sensus Pokok"/>
      <sheetName val="20_Tunasan,Pruning"/>
      <sheetName val="21_Kastrasi"/>
      <sheetName val="22_Rawat Tapak Timbun"/>
      <sheetName val="23_Rawat Teras(Tp.Kuda)"/>
      <sheetName val="24_Rawat Pagar"/>
      <sheetName val="24_Rawat Jalan"/>
      <sheetName val="24_Rawat Parit"/>
      <sheetName val="24_Mandor"/>
      <sheetName val="24_Mandor (KR)"/>
      <sheetName val="24_Kerani"/>
      <sheetName val="KebutuhanPKU"/>
      <sheetName val="Norma Harga"/>
      <sheetName val="Asumsi.(Kbn)"/>
      <sheetName val="Perbandiangan Norma"/>
      <sheetName val="RAWAT (Jkt)"/>
      <sheetName val="RAWAT(JBI)"/>
      <sheetName val="NormaTBM0"/>
      <sheetName val="CPT_TBM_NORMA (Jkt)"/>
      <sheetName val="CPT_TBM_NORMA (JBI)"/>
      <sheetName val="TBM1"/>
      <sheetName val="TBM2"/>
      <sheetName val="RAB 2008 PLASMA"/>
      <sheetName val="a.PK Umum"/>
      <sheetName val="b.Supervisi"/>
      <sheetName val="c.ATK"/>
      <sheetName val="d.Infra"/>
      <sheetName val="01_Konsolidasi Tanaman"/>
      <sheetName val="02_Transpor Bibit"/>
      <sheetName val="03_Ecer Bibit"/>
      <sheetName val="04_Menyisip Tanam"/>
      <sheetName val="05_Rawat Pagar"/>
      <sheetName val="06_Wiping Lalang"/>
      <sheetName val="07_Spot.Lalang"/>
      <sheetName val="10_Buat Jalan Pikul"/>
      <sheetName val="11_Weding Manual"/>
      <sheetName val="12_Semprot Rendahan"/>
      <sheetName val="16_Sensus Pokok"/>
      <sheetName val="17_Tunasan,Pruning"/>
      <sheetName val="18_Kastrasi"/>
      <sheetName val="19_Perawatan Jalan Pikul"/>
      <sheetName val="20_Rawat Jalan"/>
      <sheetName val="21_Rawat Parit"/>
      <sheetName val="22_Rawat Teras(Tp.Kuda)"/>
      <sheetName val="23_Rawat Tapak Timbun"/>
      <sheetName val="24_Pemupukan N"/>
      <sheetName val="25_Pemupukan Borate"/>
      <sheetName val="26_Pemupukan Compound"/>
      <sheetName val="27-Atk"/>
      <sheetName val="6.Asumsi"/>
      <sheetName val="1.HALAMAN DEPAN"/>
      <sheetName val="2.Rekapitulasi"/>
      <sheetName val="3.KALENDER 2008"/>
      <sheetName val="4.NORMA RAWAT"/>
      <sheetName val="5.HK RAWAT "/>
      <sheetName val="7.CPT TM"/>
      <sheetName val="8.CPT_TM_NORMA"/>
      <sheetName val="9. Circle Weeding Manual "/>
      <sheetName val="10._CPT Chemist"/>
      <sheetName val="11_Buat Rawat TPH Manual"/>
      <sheetName val="12_Weeding Gwg. Manual (DAK)"/>
      <sheetName val="13_Weeding Gwg Chemist"/>
      <sheetName val="14_Deteksi HPT"/>
      <sheetName val="15_Sensus Pokok"/>
      <sheetName val="16_Sensus Produksi"/>
      <sheetName val="17_Analisa Daun"/>
      <sheetName val="18_TANKOS"/>
      <sheetName val="19_Pruning"/>
      <sheetName val="20_Land Aplikasi"/>
      <sheetName val="21 Rawat Jalan"/>
      <sheetName val="1. Rapor Kebun"/>
      <sheetName val="2. Area Statement"/>
      <sheetName val="3.Peta Kebun Inti"/>
      <sheetName val="3a. Peta kebun Plasma1"/>
      <sheetName val="3b. Peta Kebun Plasma 2"/>
      <sheetName val="4. Produksi &amp; Potensi"/>
      <sheetName val="5. Tanam &amp; Sisip"/>
      <sheetName val="6. Peta SPH"/>
      <sheetName val="7. Peta Rawat Inti"/>
      <sheetName val="8. Nursery Sawit"/>
      <sheetName val="9. Progres Rawat TM"/>
      <sheetName val="10. Estate Cost"/>
      <sheetName val="11. Mill Cost"/>
      <sheetName val="12. Progres Tanaman TBM"/>
      <sheetName val="13. DevCost &amp; CTM"/>
      <sheetName val="14. Maintenance Cost Nursery"/>
      <sheetName val="15. Mill Performance"/>
      <sheetName val="16. Standar Kematangan TBS"/>
      <sheetName val="17. ZAO"/>
      <sheetName val="18. Peta Jalan"/>
      <sheetName val="19. Roda PDCA"/>
      <sheetName val="20. Compliance Report"/>
      <sheetName val="21. QCC-SS-QCP"/>
      <sheetName val="PNDKG"/>
      <sheetName val="LR-HD98"/>
      <sheetName val="PBLL"/>
      <sheetName val="RINBI-HD98"/>
      <sheetName val="NER-HD98-99"/>
      <sheetName val="JLSNER-HD98"/>
      <sheetName val="JLSNER-HD99_"/>
      <sheetName val="IPA Direct"/>
      <sheetName val="Kriteria IPA"/>
      <sheetName val="Biaya Panen"/>
      <sheetName val="1 HALAMAN DEPAN"/>
      <sheetName val="2 Rekap Panen"/>
      <sheetName val="3 NormaHK"/>
      <sheetName val="4 NormaTRUK"/>
      <sheetName val="5 Farm Traktor"/>
      <sheetName val="6 NORMA PANEN"/>
      <sheetName val="7 NORMA_HKPANEN"/>
      <sheetName val="8 NORMA HK KUTIP"/>
      <sheetName val="9 Norma Lansir"/>
      <sheetName val="10 Asumsi"/>
      <sheetName val="12 Prod 2008"/>
      <sheetName val="pLAN pROD 2008"/>
      <sheetName val="11 BUDGET PANEN"/>
      <sheetName val="BBB JAMBI"/>
      <sheetName val="KSE JAMBI"/>
      <sheetName val="PLASMA1 KSE"/>
      <sheetName val="PLASMA2 KSE"/>
      <sheetName val="PK Rwt"/>
      <sheetName val="PK Pan"/>
      <sheetName val="PK Rwt HPT"/>
      <sheetName val="Transp Pan"/>
      <sheetName val="PO Rwt"/>
      <sheetName val="PK RM Kbn"/>
      <sheetName val="PO RM Kbn"/>
      <sheetName val="PO Panen"/>
      <sheetName val="Gj Site"/>
      <sheetName val="Ovh Site"/>
      <sheetName val="Fix Ass"/>
      <sheetName val="DTL Transit Tek"/>
      <sheetName val="HA Done CPTCh"/>
      <sheetName val="_x005f_x0000__x005f_x0000__x005f_x0000__x005f_x0000__x0"/>
      <sheetName val="GS"/>
      <sheetName val="PS"/>
      <sheetName val="FO"/>
      <sheetName val="COE"/>
      <sheetName val="AHM"/>
      <sheetName val="QTY PRO"/>
      <sheetName val="Rp PRO"/>
      <sheetName val="Amount"/>
      <sheetName val="TOTAL SBU3"/>
      <sheetName val="TOTAL SBU4"/>
      <sheetName val="TOTAL SBU3+4"/>
      <sheetName val="TOTAL existing+project"/>
      <sheetName val="Price Unit"/>
      <sheetName val="Amount (2)"/>
      <sheetName val="GeminiProject"/>
      <sheetName val="Kridatama"/>
      <sheetName val="NRO Jan Actual"/>
      <sheetName val="CASH beg Jan"/>
      <sheetName val="Feb PO"/>
      <sheetName val="RevPerMonth"/>
      <sheetName val="S&amp;M G&amp;A"/>
      <sheetName val="Collections"/>
      <sheetName val="Cashflow 2008 USD"/>
      <sheetName val="Cashflow 2008 USD New"/>
      <sheetName val="Summary in mio"/>
      <sheetName val="Cashflow 2008 IDR"/>
      <sheetName val="Revenue Projection"/>
      <sheetName val="Bandwith"/>
      <sheetName val="Operational Expense"/>
      <sheetName val="STNotes"/>
      <sheetName val="BNI Loan"/>
      <sheetName val="CashMar25"/>
      <sheetName val="Cash beg Mar"/>
      <sheetName val="Cash May 13"/>
      <sheetName val="July 4"/>
      <sheetName val="May 27"/>
      <sheetName val="Cash As per July 31"/>
      <sheetName val="Aug 8"/>
      <sheetName val="Programers"/>
      <sheetName val="ProgramNew"/>
      <sheetName val="ProgrammingCost"/>
      <sheetName val="outs prog report"/>
      <sheetName val="Pivot Prog. Cost"/>
      <sheetName val="Capex Projection Summary"/>
      <sheetName val="Capex Detail"/>
      <sheetName val="Home Shopping CAPEX OPEX"/>
      <sheetName val="News OPEX"/>
      <sheetName val="Capex TV station"/>
      <sheetName val="TotalTVProjectCapex"/>
      <sheetName val="JA Aug 16"/>
      <sheetName val="capex tv sum"/>
      <sheetName val="RevProjectBase Sce"/>
      <sheetName val="Estimate Capex (CallCenter)"/>
      <sheetName val="25% DP March"/>
      <sheetName val="Settl 70% March"/>
      <sheetName val="Capex Expense April"/>
      <sheetName val="印尼當地採購軟硬體(TV Shopping)"/>
      <sheetName val="Document Proses TTD (5)"/>
      <sheetName val="Document Proses TTD (4)"/>
      <sheetName val="JADI"/>
      <sheetName val="Sektor "/>
      <sheetName val="SALES2003"/>
      <sheetName val="DAGANG"/>
      <sheetName val="ASUMSI UMUM (Not Print)"/>
      <sheetName val="INVESTMENT All"/>
      <sheetName val="Cost LCC"/>
      <sheetName val="Cost Tanam"/>
      <sheetName val="Cost TBM"/>
      <sheetName val="Cost TM"/>
      <sheetName val="Cost Prenursery"/>
      <sheetName val="Cost Mainnursery"/>
      <sheetName val="Kendaraan Kbn"/>
      <sheetName val="BangKeb"/>
      <sheetName val="Mesin &amp; Inventaris"/>
      <sheetName val="INFRASTR TBM 3"/>
      <sheetName val="Tanah &amp; Pra Ops"/>
      <sheetName val="SGA "/>
      <sheetName val="COGS &amp; Beban Usaha"/>
      <sheetName val="Gaji Kbn"/>
      <sheetName val="Gaji CPO Mill"/>
      <sheetName val="Cost CPO Mill"/>
      <sheetName val="Depre Tanaman"/>
      <sheetName val="Analyst"/>
      <sheetName val="TBS &amp; CPO Price"/>
      <sheetName val="Hist Prod"/>
      <sheetName val="Proyeksi Prod"/>
      <sheetName val="Cost Prod (noprint)"/>
      <sheetName val="KI 08"/>
      <sheetName val="IDC 08"/>
      <sheetName val="KI 09"/>
      <sheetName val="IDC 09"/>
      <sheetName val="KI 10"/>
      <sheetName val="IDC 10"/>
      <sheetName val="KI TBM Lanjut"/>
      <sheetName val="IDC TBM Lanjut"/>
      <sheetName val="KI CPO 1"/>
      <sheetName val="IDC CPO 1"/>
      <sheetName val="KI CPO 2"/>
      <sheetName val="IDC Portion"/>
      <sheetName val="GRANDSUM OK"/>
      <sheetName val="GFA"/>
      <sheetName val="RUPS"/>
      <sheetName val="SALES2004"/>
      <sheetName val="Sektor 2004"/>
      <sheetName val="JADI2004"/>
      <sheetName val="DAGANG2004"/>
      <sheetName val="PEND2004"/>
      <sheetName val="TW II"/>
      <sheetName val="Scenario"/>
      <sheetName val="LCC"/>
      <sheetName val="Init"/>
      <sheetName val="Statement"/>
      <sheetName val="SGA"/>
      <sheetName val="Prod Kebun Luar"/>
      <sheetName val="PKS Cost"/>
      <sheetName val="Gaji PKS "/>
      <sheetName val="Kendaraan Kbn (Realisasi)"/>
      <sheetName val="Infrastruktur (2)"/>
      <sheetName val="Realisasi tanam"/>
      <sheetName val="Investment (realisasi)"/>
      <sheetName val="Investment (Blm Realisasi)"/>
      <sheetName val="Investment New"/>
      <sheetName val="KI Kebun Old"/>
      <sheetName val="IDC Kebun Old"/>
      <sheetName val="KI Kebun New"/>
      <sheetName val="IDC Kebun New"/>
      <sheetName val="KI 11"/>
      <sheetName val="IDC 11"/>
      <sheetName val="KI 12"/>
      <sheetName val="IDC 12"/>
      <sheetName val="KI LAnjut TT 10"/>
      <sheetName val="IDC Lanjut TT10"/>
      <sheetName val="KI PKS 45-60"/>
      <sheetName val="IDC PKS 45-60"/>
      <sheetName val="Leas 1"/>
      <sheetName val="Leas 2"/>
      <sheetName val="COP PKS 30"/>
      <sheetName val="COP PKS 30-60"/>
      <sheetName val="COP PKS 45"/>
      <sheetName val="KI PKS 30"/>
      <sheetName val="IDC PKS 30"/>
      <sheetName val="KI PKS 30 Exp 60"/>
      <sheetName val="KI Lanjutan"/>
      <sheetName val="agst"/>
      <sheetName val="AGST'01"/>
      <sheetName val="JUL'01"/>
      <sheetName val="JUN'01"/>
      <sheetName val="Graph-Rev"/>
      <sheetName val="Graph-Opex"/>
      <sheetName val="Detail Opex"/>
      <sheetName val="Rumus BS"/>
      <sheetName val="RumusTB 1 bln"/>
      <sheetName val="RumusPL"/>
      <sheetName val="PL2001"/>
      <sheetName val="PFC"/>
      <sheetName val="GDR"/>
      <sheetName val="TBH"/>
      <sheetName val="PL2001 (2)"/>
      <sheetName val="SumPerfrmc"/>
      <sheetName val="Graph-Rev (2)"/>
      <sheetName val="Graph COGS (2)"/>
      <sheetName val="Graph COGS"/>
      <sheetName val="Detail Opex (2)"/>
      <sheetName val="Rumus Notes BS"/>
      <sheetName val="Rumus PL Accpac"/>
      <sheetName val="PL All"/>
      <sheetName val="PL PFC"/>
      <sheetName val="PL GDR"/>
      <sheetName val="PL TBH"/>
      <sheetName val="CF PFC"/>
      <sheetName val="CF GDR"/>
      <sheetName val="CF TBH"/>
      <sheetName val="Building PFC"/>
      <sheetName val="Building GDR"/>
      <sheetName val="Rekap Tamu"/>
      <sheetName val="Rumus PL"/>
      <sheetName val="COPA DETAIL"/>
      <sheetName val="fr BS"/>
      <sheetName val="fr PL"/>
      <sheetName val="fr notes BS"/>
      <sheetName val="fr summ PL"/>
      <sheetName val="TH LALU"/>
      <sheetName val="MONTHLY"/>
      <sheetName val="Proyeksi 2005"/>
      <sheetName val="FH &amp; GI"/>
      <sheetName val="FI per Category"/>
      <sheetName val="FH &amp; GI (Non LMIRT)"/>
      <sheetName val="FI per Category (Non LMIRT)"/>
      <sheetName val="FH &amp; GI (2008-2013)"/>
      <sheetName val="FI per Category (2008-2013)"/>
      <sheetName val="ii.Ulasan"/>
      <sheetName val="1.Areal Statemen"/>
      <sheetName val="2.AS.Afd"/>
      <sheetName val="3.Peta Kebun"/>
      <sheetName val="04.STO"/>
      <sheetName val="05.Nama staf"/>
      <sheetName val="06. tk"/>
      <sheetName val="07.MUTASI"/>
      <sheetName val="08.MHKK"/>
      <sheetName val="09.HKE"/>
      <sheetName val="10.rumah"/>
      <sheetName val="11.inventaris"/>
      <sheetName val="12.kendaraan"/>
      <sheetName val="13.ch"/>
      <sheetName val="14.Prod"/>
      <sheetName val="15.output pt bh"/>
      <sheetName val="16 BY PROD"/>
      <sheetName val="17 UMUM "/>
      <sheetName val="18,REKAP panen"/>
      <sheetName val="19, by panen"/>
      <sheetName val="20,rekap tm"/>
      <sheetName val="21, tm PER TT"/>
      <sheetName val="22,rekap tbm"/>
      <sheetName val="23,rawat tbm"/>
      <sheetName val="24SPK-Pst"/>
      <sheetName val="25 SPK-lkl"/>
      <sheetName val="26 tb"/>
      <sheetName val="27.BBT STATE"/>
      <sheetName val="28.SELEKSI"/>
      <sheetName val="29.KIRIM BBT"/>
      <sheetName val="30 bY BBT"/>
      <sheetName val="31.PETA BBT"/>
      <sheetName val="32.PUPUKan"/>
      <sheetName val="32. stock BHN"/>
      <sheetName val="32. Distribusai ppk"/>
      <sheetName val="33.TRANSIT KEND"/>
      <sheetName val="34.TRANSIR AB"/>
      <sheetName val="35.TRANSIT MSN"/>
      <sheetName val="30.Peta KONDS AREAL"/>
      <sheetName val="SUMMARY I"/>
      <sheetName val="RAB I"/>
      <sheetName val="Summary II"/>
      <sheetName val="RAB II"/>
      <sheetName val="FIX PRODUKSI"/>
      <sheetName val="Kirana"/>
      <sheetName val="RAB UMUM&amp;PDC KSE"/>
      <sheetName val="KTR KS BLN"/>
      <sheetName val="VER SG"/>
      <sheetName val="Upah SKU 1"/>
      <sheetName val="Matrial"/>
      <sheetName val="PROD KS"/>
      <sheetName val="PICA KS"/>
      <sheetName val="DAILY (KG)"/>
      <sheetName val="Plan actual"/>
      <sheetName val="Realisai Ha"/>
      <sheetName val="NORMA_HK"/>
      <sheetName val="REKAP PUPUK TM"/>
      <sheetName val="PUPUK TM BLOK KECIL"/>
      <sheetName val="REKOMENDASI PUPUK TBM"/>
      <sheetName val="REKAP PUPUK TBM"/>
      <sheetName val="PUPUK TBM BLOK KECIL"/>
      <sheetName val="Jan-Feb"/>
      <sheetName val="Strategy Activity"/>
      <sheetName val=" PERFORMANCE"/>
      <sheetName val=" Monthly Review"/>
      <sheetName val="W.Shop"/>
      <sheetName val="Part"/>
      <sheetName val="F.By Objc"/>
      <sheetName val="F.By Type"/>
      <sheetName val="F.BKL'99 "/>
      <sheetName val="F.PART'99"/>
      <sheetName val="03_Rawat Path Chemis=CPT"/>
      <sheetName val="EXF PK OLAH"/>
      <sheetName val="EXF PK RM"/>
      <sheetName val="Summary Revisi"/>
      <sheetName val="Review Note GAP"/>
      <sheetName val="Pay Back"/>
      <sheetName val="Rkp-Jdwl"/>
      <sheetName val="NONTAN_baru"/>
      <sheetName val="Angsuran per Fasilitas"/>
      <sheetName val="IDC per fasilitas"/>
      <sheetName val="inv per fasilitas"/>
      <sheetName val="Detail-Susut"/>
      <sheetName val="SATUAN BARU"/>
      <sheetName val="HARGA TBS"/>
      <sheetName val="RENCANA LAHAN"/>
      <sheetName val="Tan"/>
      <sheetName val="POTENSI PRODUKSI"/>
      <sheetName val="T-KERJA"/>
      <sheetName val="Nontan_lama"/>
      <sheetName val="Data-Machine_PKO"/>
      <sheetName val="32.1.Harga pupuk (2)"/>
      <sheetName val="32.3.Harga tools (2)"/>
      <sheetName val="32.2.Harga agrochemical (2)"/>
      <sheetName val="SAWA "/>
      <sheetName val="Budget vs Actual Tonase"/>
      <sheetName val="COA LHM"/>
      <sheetName val="TBM I"/>
      <sheetName val="Parameter1"/>
      <sheetName val="Database Karyawan"/>
      <sheetName val="Master List of 2013"/>
      <sheetName val="Master Data HS Blok"/>
      <sheetName val="Master Data PIC"/>
      <sheetName val="Lampiran Jenis Kecelakaan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Database_Karyawan"/>
      <sheetName val="Master_List_of_2013"/>
      <sheetName val="Master_Data_HS_Blok"/>
      <sheetName val="Master_Data_PIC"/>
      <sheetName val="Lampiran_Jenis_Kecelakaan"/>
      <sheetName val="DKI@"/>
      <sheetName val="JATIM@"/>
      <sheetName val="JABAR@"/>
      <sheetName val="INTIM@"/>
      <sheetName val="JATENG@"/>
      <sheetName val="SMR@"/>
      <sheetName val="JATENG X"/>
      <sheetName val="intim"/>
      <sheetName val="OPR-99"/>
      <sheetName val="OPR_99"/>
      <sheetName val="PO"/>
      <sheetName val="pks"/>
      <sheetName val="BCA_01"/>
      <sheetName val="JATENG_X"/>
      <sheetName val="PABRIK_(2)"/>
      <sheetName val="Sanitasi"/>
      <sheetName val="Kastrasi"/>
      <sheetName val="Pasar IP"/>
      <sheetName val="Rawat Jalan"/>
      <sheetName val="Garuk Piringan"/>
      <sheetName val="Semprot CPT"/>
      <sheetName val="Oles Anak Kayu"/>
      <sheetName val="Pengendalian Lalang"/>
      <sheetName val="PATH MANUAL"/>
      <sheetName val="Deteksi HPT"/>
      <sheetName val="Pruning"/>
      <sheetName val="Data Blok"/>
      <sheetName val="TITI PANEN"/>
      <sheetName val="Pemupukan "/>
      <sheetName val=" PATOK BLOK"/>
      <sheetName val="Tanam Sisip"/>
      <sheetName val="Pembuatan TPH"/>
      <sheetName val="Prunning Rempes"/>
      <sheetName val="Tarrik goloran"/>
      <sheetName val="SENSUS SISIP"/>
      <sheetName val="Pendukung"/>
      <sheetName val="PETUNJUK_ISI"/>
      <sheetName val="TGL_KERJA"/>
      <sheetName val="DEV_COST"/>
      <sheetName val="RWT_TM"/>
      <sheetName val="RWT_TBM"/>
      <sheetName val="REKAP_CAPEX ESTATE"/>
      <sheetName val="T_PANEN"/>
      <sheetName val="ESTATE_COST"/>
      <sheetName val="COST PANEN"/>
      <sheetName val="REKAP_HS"/>
      <sheetName val="REKAP_TBS"/>
      <sheetName val="HA_STATEMENT"/>
      <sheetName val="HS_2012_2013"/>
      <sheetName val="HS_BLOK"/>
      <sheetName val="YIELD_PRO"/>
      <sheetName val="TBS_BLOK"/>
      <sheetName val="LAND_CLEARING"/>
      <sheetName val="BUAT_JALAN"/>
      <sheetName val="BUAT_INFRA"/>
      <sheetName val="PERKERASAN_JALAN"/>
      <sheetName val="TANAM"/>
      <sheetName val="JALAN_BLOK"/>
      <sheetName val="CUCI_PARIT"/>
      <sheetName val="AKSES_BLOK"/>
      <sheetName val="HPT BLOK"/>
      <sheetName val="WDG_BLOK"/>
      <sheetName val="CPT_BLOK"/>
      <sheetName val="LLG_BLOK"/>
      <sheetName val="IPM_BLOK"/>
      <sheetName val="PUPUK TBM_BLOK"/>
      <sheetName val="PUPUK TM_BLOK"/>
      <sheetName val="PUPUK_ORGANIK"/>
      <sheetName val="SENSUS BLOK"/>
      <sheetName val="TUNAS_BLOK"/>
      <sheetName val="TRANSPORT_TBS"/>
      <sheetName val="MPP_CHECKROLL"/>
      <sheetName val="BUM"/>
      <sheetName val="PK_UMUM"/>
      <sheetName val="CSR"/>
      <sheetName val="OPEX_NONTAN"/>
      <sheetName val="INTERNAL RELATIONSHIP"/>
      <sheetName val="SUSTAINABILITY"/>
      <sheetName val="CAPEX_NONTAN"/>
      <sheetName val="Infra"/>
      <sheetName val="NORMA_INFRA"/>
      <sheetName val="PERKERASAN JALAN"/>
      <sheetName val="NORMA_BIAYA"/>
      <sheetName val="HARGA_BORONG"/>
      <sheetName val="VRA"/>
      <sheetName val="DIST_VRA"/>
      <sheetName val="STANDART_CTM"/>
      <sheetName val="BIBITAN"/>
      <sheetName val="STD_RWT"/>
      <sheetName val="WRA"/>
      <sheetName val="ALAT KERJA 2"/>
      <sheetName val="ALAT KERJA"/>
      <sheetName val="Perumahan"/>
      <sheetName val="data_val"/>
      <sheetName val="05-07"/>
      <sheetName val="AMP01"/>
      <sheetName val="kse_pks"/>
      <sheetName val="AMP MAR"/>
      <sheetName val="bbb"/>
      <sheetName val="kse"/>
      <sheetName val="revisi_gltran"/>
      <sheetName val="1_SETUP"/>
      <sheetName val="BA bbt"/>
      <sheetName val="DU bbt-1"/>
      <sheetName val="DU bbt-2"/>
      <sheetName val="DU bbt-3"/>
      <sheetName val="DU bbt-4 "/>
      <sheetName val="DU bbt-5"/>
      <sheetName val="Du bbt-6"/>
      <sheetName val="Du bbt-7"/>
      <sheetName val="Du bbt-8"/>
      <sheetName val="Du bbt-9"/>
      <sheetName val="BA Afd II"/>
      <sheetName val="DU afd2-1"/>
      <sheetName val="DU afd 2-2"/>
      <sheetName val="DU Afd 2-3"/>
      <sheetName val="DU Afd 2-4"/>
      <sheetName val="DU Afd 2-5"/>
      <sheetName val="DU Afd 2-6"/>
      <sheetName val="BA Afd III"/>
      <sheetName val="Du afd III-1"/>
      <sheetName val="Du afd III-2"/>
      <sheetName val="Du afd III-3"/>
      <sheetName val="Du afd III-4"/>
      <sheetName val="Du afd III-5"/>
      <sheetName val="Du afd III-6"/>
      <sheetName val="Du afd III-7"/>
      <sheetName val="Du afd III-8"/>
      <sheetName val="Du afd III-9"/>
      <sheetName val="Du afd III-10"/>
      <sheetName val="Du afd III-11"/>
      <sheetName val="BA PLANT"/>
      <sheetName val="Absensi  JULI 2009"/>
      <sheetName val="Hasil Kerja 3 (2)"/>
      <sheetName val="Premi 4 (2)"/>
      <sheetName val="Lembur 5 (2)"/>
      <sheetName val="DU"/>
      <sheetName val="Slip Gaji (2)"/>
      <sheetName val="T. T. G AFD. OI"/>
      <sheetName val="Buat sirap"/>
      <sheetName val="Langsir Bibit"/>
      <sheetName val="CWM"/>
      <sheetName val="Weeding Manual"/>
      <sheetName val="Extra Fooding"/>
      <sheetName val="Jul 2014"/>
      <sheetName val="SS Site"/>
      <sheetName val="Map KTU"/>
      <sheetName val="INVES"/>
      <sheetName val="PICA"/>
      <sheetName val="Byr HO"/>
      <sheetName val="k_servis"/>
      <sheetName val="skb_tek"/>
      <sheetName val="PK Panen"/>
      <sheetName val="LSK"/>
      <sheetName val="ovh"/>
      <sheetName val="PK Umum"/>
      <sheetName val="PK RM Kebun"/>
      <sheetName val="202_405"/>
      <sheetName val="202_503"/>
      <sheetName val="PK Rawat"/>
      <sheetName val="Tabur Tankos"/>
      <sheetName val="700_416"/>
      <sheetName val="Transport_Tankos"/>
      <sheetName val="Trans Panen"/>
      <sheetName val="200_423"/>
      <sheetName val="L C"/>
      <sheetName val="RekapDetail"/>
      <sheetName val="EFCTBS"/>
      <sheetName val="efcPP"/>
      <sheetName val="EFC"/>
      <sheetName val="RM Kebun"/>
      <sheetName val="RM Pabrik"/>
      <sheetName val="mop"/>
      <sheetName val="Site Proyek"/>
      <sheetName val="DISTRIBUSI GJ"/>
      <sheetName val="KBT-KHT (2)"/>
      <sheetName val="Absen KBT-KHT"/>
      <sheetName val="Master Natura"/>
      <sheetName val="Payment Slip"/>
      <sheetName val="RWTTM_DIST"/>
      <sheetName val="RKT_RWT"/>
      <sheetName val="RKT_PNN"/>
      <sheetName val="RKT_CPN"/>
      <sheetName val="RKT_TPN"/>
      <sheetName val="RKT_BUM"/>
      <sheetName val="RKT_PKU"/>
      <sheetName val="RKT_CSR"/>
      <sheetName val="RKT_SHE"/>
      <sheetName val="RKT_MPP"/>
      <sheetName val="RKT_REPAIR"/>
      <sheetName val="RKT_RAC"/>
      <sheetName val="YPH_PROFILE"/>
      <sheetName val="RKT_NONTAN Revisi"/>
      <sheetName val="RKT_NONTAN"/>
      <sheetName val="CAP_NONTAN Revisi"/>
      <sheetName val="RKT_TBM"/>
      <sheetName val="RKT_INFRA"/>
      <sheetName val="IJIN"/>
      <sheetName val="RKT_BLOK"/>
      <sheetName val="RKT_IMAS"/>
      <sheetName val="RKT_LC"/>
      <sheetName val="RKT_TERAS"/>
      <sheetName val="RKT_TNM"/>
      <sheetName val="RKT_KCG"/>
      <sheetName val="RKT_JLN"/>
      <sheetName val="RKT_PRT"/>
      <sheetName val="RKT_JBT"/>
      <sheetName val="RKT_BBT"/>
      <sheetName val="NORMA"/>
      <sheetName val="NORMA-ALAT"/>
      <sheetName val="PD2"/>
      <sheetName val="REK-RWT"/>
      <sheetName val="REK-PNN"/>
      <sheetName val="MPP1"/>
      <sheetName val="RWT-HK"/>
      <sheetName val="RWT-CHM"/>
      <sheetName val="RWT-PPK"/>
      <sheetName val="ALT-KBN"/>
      <sheetName val="PNN-HK"/>
      <sheetName val="PNN-TPN"/>
      <sheetName val="PNN-UND"/>
      <sheetName val="RUN-BBM"/>
      <sheetName val="RUN-SPT"/>
      <sheetName val="PK-UMM"/>
      <sheetName val="SUM-COST"/>
      <sheetName val="RWT-UND"/>
      <sheetName val="BBT"/>
      <sheetName val="KACANGAN"/>
      <sheetName val="INV-TEKNIK"/>
      <sheetName val="SUMMARY SPS2"/>
      <sheetName val="INF"/>
      <sheetName val="RWT TBM"/>
      <sheetName val="REKAP_CAPEX"/>
      <sheetName val="TNM LCC"/>
      <sheetName val="TNM SSP SAWIT"/>
      <sheetName val="RWT TBM-0"/>
      <sheetName val="RWT TBM-1"/>
      <sheetName val="RWT TBM-2"/>
      <sheetName val="RWT TBM-3"/>
      <sheetName val="RWT TM"/>
      <sheetName val="CHECKROLL"/>
      <sheetName val="TERAS MANUAL"/>
      <sheetName val="BUAT PARIT MNL (HRN)"/>
      <sheetName val="PARIT MANUAL BRG"/>
      <sheetName val="NORMA LC + TBM 0"/>
      <sheetName val="NORMA TBM 1"/>
      <sheetName val="PEMUPUKAN (BLN TNM)"/>
      <sheetName val="plan vs real mupuk kg&amp;ha"/>
      <sheetName val="HECTARE STATEMENT LCC"/>
      <sheetName val="HA STATEMENT SD DES 08"/>
      <sheetName val="DATA TANAM KARET"/>
      <sheetName val="PANCANG"/>
      <sheetName val="IMAS TUMBANG"/>
      <sheetName val="IMAS TUMBANG (FISIK)"/>
      <sheetName val="HA STATEMENT SD DES 08 TBM"/>
      <sheetName val="IMAS TUMBANG 2007"/>
      <sheetName val="Setting"/>
      <sheetName val="NILZI J KKPA"/>
      <sheetName val="FISIK_RAB_2000"/>
      <sheetName val="ocean_voyage"/>
      <sheetName val="NILZI_J_KKPA"/>
      <sheetName val="List_PT"/>
      <sheetName val="MASTER BLOK UPDATE"/>
      <sheetName val="SETTING DATA"/>
      <sheetName val="Rend~CPO"/>
      <sheetName val="FFA"/>
      <sheetName val="Rend~Kernel"/>
      <sheetName val="Breakdown"/>
      <sheetName val="PO  Olah"/>
      <sheetName val="PK  RM"/>
      <sheetName val="PO  RM"/>
      <sheetName val="% Lbr vs GP"/>
      <sheetName val="Land Aplikasi"/>
      <sheetName val="Smatr"/>
      <sheetName val="PL Des"/>
      <sheetName val="PL Nov"/>
      <sheetName val="PL Okt"/>
      <sheetName val="GRAF TBS VS COST"/>
      <sheetName val="graflbr-gp"/>
      <sheetName val="AN PK"/>
      <sheetName val="OLAH VS OT"/>
      <sheetName val="LD Okt"/>
      <sheetName val="LD Nov"/>
      <sheetName val="LD Des"/>
      <sheetName val="GRAF SM"/>
      <sheetName val="Through"/>
      <sheetName val="Qlt CPO"/>
      <sheetName val="Qlt KRN"/>
      <sheetName val="Br Dn"/>
      <sheetName val="ER Vs FFA"/>
      <sheetName val="Qlt Vs ER"/>
      <sheetName val="Proses Ctr"/>
      <sheetName val="CPO Loss"/>
      <sheetName val="Krn Loss"/>
      <sheetName val="REKAP ST M"/>
      <sheetName val="janue"/>
      <sheetName val="OLAH VS OT (2)"/>
      <sheetName val="K.Mesin"/>
      <sheetName val="CH Vs Er"/>
      <sheetName val="SRL1"/>
      <sheetName val="SRL2"/>
      <sheetName val="Pab SRL 1"/>
      <sheetName val="Master Date"/>
      <sheetName val="GjBn2001"/>
      <sheetName val="Data Pendukung"/>
      <sheetName val="CPO Feb-Mar"/>
      <sheetName val="CPO-Mei"/>
      <sheetName val="CPO Juni"/>
      <sheetName val="Per Transportir"/>
      <sheetName val="CPO Juli-TID"/>
      <sheetName val="CPO Juli-Orgnl"/>
      <sheetName val="BAST CPO-7"/>
      <sheetName val="CPO Agst-Orgnl"/>
      <sheetName val="CPO Agsts TID"/>
      <sheetName val="BAST CPO-8"/>
      <sheetName val="CPO 26-8-Orgnl"/>
      <sheetName val="CPO 26-8-TID"/>
      <sheetName val="BAST CPO-26-8"/>
      <sheetName val="Pemakaian Solar 26-8"/>
      <sheetName val="CPO 5-9-Orgnl "/>
      <sheetName val="CPO 5-9-TID"/>
      <sheetName val="BAST CPO-5-9 "/>
      <sheetName val="Pemakaian Solar 5-9 "/>
      <sheetName val="CPO 16-9-TID Orl"/>
      <sheetName val="CPO 16-9-TID "/>
      <sheetName val="BAST CPO-16-9 HP"/>
      <sheetName val="BAST CPO-16-9 SM"/>
      <sheetName val="Pemakaian Solar 16-9 "/>
      <sheetName val="CPO 6-10-TID Orl"/>
      <sheetName val="CPO 6-10-TID"/>
      <sheetName val="BAST CPO-6-10 HP"/>
      <sheetName val="BAST CPO-6-10 SM"/>
      <sheetName val="Pemakaian Solar 6-10"/>
      <sheetName val="CPO 27-10-Orgnl"/>
      <sheetName val="BAST CPO-27-10 SM"/>
      <sheetName val="BAST CPO-27-10 HP"/>
      <sheetName val="kmb"/>
      <sheetName val="Pemakaian Solar 27-10"/>
      <sheetName val="CPO 9-11-Orgnl "/>
      <sheetName val="BAST CPO-9-11 SM"/>
      <sheetName val="BAST CPO-9-11 HP"/>
      <sheetName val="kmb 9-11-04"/>
      <sheetName val="Pemakaian Solar 9-11"/>
      <sheetName val="CPO 7-12-Orgnl"/>
      <sheetName val="BAST CPO-7-12 SM"/>
      <sheetName val="BAST CPO-7-12 HP"/>
      <sheetName val="KMB 7-12-04"/>
      <sheetName val="Pemakaian Solar 7-12"/>
      <sheetName val="glacc1"/>
      <sheetName val="Coklat"/>
      <sheetName val="Estate Map"/>
      <sheetName val="SM-Yanaprima"/>
      <sheetName val="Rsm 1-Bank (5)"/>
      <sheetName val="Rsm 1-Bank (4)"/>
      <sheetName val="Rsm 1-Bank (3)"/>
      <sheetName val="Rsm 1-Bank (2)"/>
      <sheetName val="Rsm 1-Bank"/>
      <sheetName val="Spl PT. IJS"/>
      <sheetName val="Bgnan PT. IJS"/>
      <sheetName val="PT. IJS Cost 1"/>
      <sheetName val="PT. IJS Cost 2"/>
      <sheetName val="Bgn-BCT"/>
      <sheetName val="Bct-2007"/>
      <sheetName val="Draft-PT. IJS"/>
      <sheetName val="Tnh-PT. IJS"/>
      <sheetName val="Tnh Ksg-PT. IJS"/>
      <sheetName val="SM-PT. IJS"/>
      <sheetName val="Gudang I"/>
      <sheetName val="Gudang II"/>
      <sheetName val="Tempat Parkir I"/>
      <sheetName val="Tempat Parkir II"/>
      <sheetName val="Gardu"/>
      <sheetName val="Gudang dan bengkel"/>
      <sheetName val="Narasi-Mesin 2009"/>
      <sheetName val="anal Mesin PT Indomulti Jay (2)"/>
      <sheetName val="Stock Barang"/>
      <sheetName val="TANAH   (review)"/>
      <sheetName val="BANG   (Review)"/>
      <sheetName val="RAB (Review)"/>
      <sheetName val="L.BANG"/>
      <sheetName val="TANAH  "/>
      <sheetName val="BANG  "/>
      <sheetName val="HIT BANG"/>
      <sheetName val="WORKING PAPER"/>
      <sheetName val="Narasi Tanah"/>
      <sheetName val="Narasi Bgn"/>
      <sheetName val="Narasi - SPL"/>
      <sheetName val="1.Form X bgn 1"/>
      <sheetName val="KUNJUGAN SURVEY"/>
      <sheetName val="_43_9_"/>
      <sheetName val="CF Budget vs CF Plan"/>
      <sheetName val="CFR 0310 vs CFP 0410 "/>
      <sheetName val="CF Konsol "/>
      <sheetName val="Kebun "/>
      <sheetName val="C&amp;T "/>
      <sheetName val="Pabrik "/>
      <sheetName val="Kantor Perwakilan "/>
      <sheetName val="KK CFP JAKARTA"/>
      <sheetName val="KK CFP JAMBI-Site"/>
      <sheetName val="HK-KHL Bukit Hijau Apr'10"/>
      <sheetName val="HK-KHL Bukit Hijau Mei'10 "/>
      <sheetName val="HK-KHL Bukit Hijau Juni'10"/>
      <sheetName val="HK-KHL Taman Raja Apr'10"/>
      <sheetName val="HK-KHL Taman Raja Mei'10 "/>
      <sheetName val="HK-KHL Taman Raja Juni'10"/>
      <sheetName val="Kas Bank Site"/>
      <sheetName val="Real 01-15 (SIte)"/>
      <sheetName val="Est 16-31 (Site)"/>
      <sheetName val="Funding"/>
      <sheetName val="Pby TBS Exsternal"/>
      <sheetName val="Gaji &amp; Upah Kebun (2)"/>
      <sheetName val="Biaya Overhead Ktr Pwk &amp; Kebun"/>
      <sheetName val="Cash Flow Budget"/>
      <sheetName val="GAJI PHL "/>
      <sheetName val="REAL  MARET "/>
      <sheetName val="Sheet2 (2)"/>
      <sheetName val="AFD.7 OK  "/>
      <sheetName val="PSJ"/>
      <sheetName val="DPCache_REKAP (2)"/>
      <sheetName val="(      )9.5"/>
      <sheetName val="(     )9.4"/>
      <sheetName val="PBG_2"/>
      <sheetName val="PBG1"/>
      <sheetName val="PBG_3"/>
      <sheetName val="PBG_5MAS"/>
      <sheetName val="PBG_6"/>
      <sheetName val="PBG_8"/>
      <sheetName val="APPI"/>
      <sheetName val="BanjarBaru"/>
      <sheetName val="KKP"/>
      <sheetName val="Logging"/>
      <sheetName val="RBH"/>
      <sheetName val="TotalMakin"/>
      <sheetName val="PBG_1 test1"/>
      <sheetName val="PBG_1 test2"/>
      <sheetName val="JobCode"/>
      <sheetName val="STD_Jab_HO"/>
      <sheetName val="notulen 7 mar"/>
      <sheetName val="Ulasan"/>
      <sheetName val="Tng Krj"/>
      <sheetName val="crh hjn PUD"/>
      <sheetName val="crh hjn KUM"/>
      <sheetName val="PETA PUD"/>
      <sheetName val="PETA thn tnm KUMP"/>
      <sheetName val="prod 2"/>
      <sheetName val="prod3"/>
      <sheetName val="bypnn"/>
      <sheetName val="bytm"/>
      <sheetName val="bytbm"/>
      <sheetName val="bytlctb"/>
      <sheetName val="byprod"/>
      <sheetName val="pupuk_anOrg"/>
      <sheetName val="as _08"/>
      <sheetName val="Areal Statemen_MUTASI"/>
      <sheetName val="Areal Statemen_BULANAN"/>
      <sheetName val="rekap AS"/>
      <sheetName val="I kum"/>
      <sheetName val="II kum"/>
      <sheetName val="III kum"/>
      <sheetName val="IV kum"/>
      <sheetName val="POSISI TENAGA KERJA"/>
      <sheetName val="DETAIL TNG KRJ"/>
      <sheetName val="PRODUKSI_TBS _2_"/>
      <sheetName val="PRODUKSI_TBS"/>
      <sheetName val="ACTION PLANT _2_"/>
      <sheetName val="PETA POTENSI PRODUKSI"/>
      <sheetName val="KEBUTUHAN PERUMAHAN"/>
      <sheetName val="CAPEX_DETAIL"/>
      <sheetName val="TRANSIT_DETAIL"/>
      <sheetName val="crew"/>
      <sheetName val="bgn-2"/>
      <sheetName val="bgn-1"/>
      <sheetName val="Ptanah"/>
      <sheetName val="data tanah"/>
      <sheetName val="tanah (2)"/>
      <sheetName val="1-COVER"/>
      <sheetName val="2-Daftar Isi"/>
      <sheetName val="3-Pendahuluan"/>
      <sheetName val="4-Cover DLM"/>
      <sheetName val="5-LAP T&amp;B"/>
      <sheetName val="6.MESIN  (3)"/>
      <sheetName val="6.MESIN  (2)"/>
      <sheetName val="6.MESIN "/>
      <sheetName val="7.KENDARAAN"/>
      <sheetName val="Foto Kendaraan SBE"/>
      <sheetName val="8-LAP Tan"/>
      <sheetName val="7-LAP PBRK"/>
      <sheetName val="Laporan Inventaris"/>
      <sheetName val="Laporan Kendaraan"/>
      <sheetName val="Data 1"/>
      <sheetName val="Data 3"/>
      <sheetName val="AST"/>
      <sheetName val="Lembar Sirkulasi"/>
      <sheetName val="Cover PBRK"/>
      <sheetName val="Data 4"/>
      <sheetName val="Text NP Tanah (2)"/>
      <sheetName val="Text NP Tanah"/>
      <sheetName val="Text Likuidasi Tanah"/>
      <sheetName val="Text Total NP"/>
      <sheetName val="Text Total"/>
      <sheetName val="COPYWRITE"/>
      <sheetName val="Tanah "/>
      <sheetName val="Comparable"/>
      <sheetName val="FORM-X-1"/>
      <sheetName val="FORM-X-2"/>
      <sheetName val="FORM-X-3"/>
      <sheetName val="Cap Exp"/>
      <sheetName val="Other Costs"/>
      <sheetName val="Mining Costs"/>
      <sheetName val="Organization"/>
      <sheetName val="Loader.exc"/>
      <sheetName val="Coal"/>
      <sheetName val="Geo ROM"/>
      <sheetName val="Equip Costs"/>
      <sheetName val="Own&amp;Op Cost"/>
      <sheetName val="Mat'l Costs"/>
      <sheetName val="MAINT"/>
      <sheetName val="Lab.Cost Plant"/>
      <sheetName val="Lab.Cost Mining"/>
      <sheetName val="Pow.Req"/>
      <sheetName val="Activity Plan"/>
      <sheetName val="Cal'cs"/>
      <sheetName val="QUAL."/>
      <sheetName val="Eq.hire"/>
      <sheetName val="Sulphur Graph"/>
      <sheetName val="Sum  Sensitivities"/>
      <sheetName val="NPV Summary"/>
      <sheetName val="Input Sheet"/>
      <sheetName val="Unit Cost detail"/>
      <sheetName val="Unit Costs Graph"/>
      <sheetName val="Graphs"/>
      <sheetName val="42-staff cost"/>
      <sheetName val="43-RPT"/>
      <sheetName val="45-capital commit"/>
      <sheetName val="46-Lease in comm"/>
      <sheetName val="47A"/>
      <sheetName val="biz segment"/>
      <sheetName val="geographical segment"/>
      <sheetName val="WP-Bank"/>
      <sheetName val="other cred"/>
      <sheetName val="payable"/>
      <sheetName val="19a"/>
      <sheetName val="31a"/>
      <sheetName val="XXX0"/>
      <sheetName val="XXX1"/>
      <sheetName val="XXX2"/>
      <sheetName val="Cover _2_"/>
      <sheetName val="Bas01"/>
      <sheetName val="Est_FFB02"/>
      <sheetName val="Da_Kar"/>
      <sheetName val="SmryExpd03_06"/>
      <sheetName val="LbrScdl08_09"/>
      <sheetName val="Structure10"/>
      <sheetName val="oki"/>
      <sheetName val="p nsihombing"/>
      <sheetName val="i ginting"/>
      <sheetName val="Var_Cst31"/>
      <sheetName val="all bagian"/>
      <sheetName val="account code new"/>
      <sheetName val="antisipasi"/>
      <sheetName val="HS INTI"/>
      <sheetName val="Master Tgl"/>
      <sheetName val="REPORT VRA"/>
      <sheetName val="310r"/>
      <sheetName val="600"/>
      <sheetName val="600B"/>
      <sheetName val="600 C"/>
      <sheetName val="640"/>
      <sheetName val="640B"/>
      <sheetName val="640 A"/>
      <sheetName val="640 C"/>
      <sheetName val="640 F"/>
      <sheetName val="660"/>
      <sheetName val="660B"/>
      <sheetName val="660 C"/>
      <sheetName val="800"/>
      <sheetName val="800B"/>
      <sheetName val="Mutasi LR"/>
      <sheetName val="DRAFT"/>
      <sheetName val="Bank Umum Konvensional"/>
      <sheetName val="Bank Umum Syariah"/>
      <sheetName val="BPR Konvensional"/>
      <sheetName val="BPR Syariah"/>
      <sheetName val="PPAP FISKAL"/>
      <sheetName val="COA-Audit"/>
      <sheetName val="JK "/>
      <sheetName val="LDR-Lamp1"/>
      <sheetName val="KPMM-Lamp2"/>
      <sheetName val="KAP-PPAP-Lamp3"/>
      <sheetName val="Rentabilitas-Lamp4"/>
      <sheetName val="Lamp-5 LH"/>
      <sheetName val="Lamp-5 Review LH"/>
      <sheetName val="rinc BUA"/>
      <sheetName val="DRAFT_IND"/>
      <sheetName val="aruskas07"/>
      <sheetName val="JKaruskas07"/>
      <sheetName val="ledger konsol"/>
      <sheetName val="TREND_ASET"/>
      <sheetName val="TREND_LDR"/>
      <sheetName val="TREND_PYD"/>
      <sheetName val="TREND_CR"/>
      <sheetName val="TREND_CAR"/>
      <sheetName val="TREND_NPL"/>
      <sheetName val="COF"/>
      <sheetName val="LIKUIDITAS"/>
      <sheetName val="Data Analisa"/>
      <sheetName val="excel"/>
      <sheetName val="jurnal_harian"/>
      <sheetName val="PERMODALAN"/>
      <sheetName val="segmen_drop_market"/>
      <sheetName val="Analisa Marketing"/>
      <sheetName val="LIST DROPING"/>
      <sheetName val="LIST ANGSURAN"/>
      <sheetName val="DEBT AKTIF"/>
      <sheetName val="DEBTALL"/>
      <sheetName val="91101"/>
      <sheetName val="91101.I"/>
      <sheetName val="droping_marketing"/>
      <sheetName val="debituri"/>
      <sheetName val="LrM"/>
      <sheetName val="LrMon"/>
      <sheetName val="HrgDana"/>
      <sheetName val="Kompar"/>
      <sheetName val="tks2"/>
      <sheetName val="tks"/>
      <sheetName val="JK YE"/>
      <sheetName val="Temuan-Lamp5"/>
      <sheetName val="Temuan Interim 2009 (YE)"/>
      <sheetName val="Temuan Interim 2009"/>
      <sheetName val="DEBTAKTIF"/>
      <sheetName val="LRMONTH"/>
      <sheetName val="KOMPAR."/>
      <sheetName val="ROA"/>
      <sheetName val="GRAFIK AD"/>
      <sheetName val="TARGET &amp; REAL. NERACA"/>
      <sheetName val="TARGET &amp; REAL. L R"/>
      <sheetName val="Ledger Konsol 07"/>
      <sheetName val="100D"/>
      <sheetName val="100A1"/>
      <sheetName val="100A2"/>
      <sheetName val="110D"/>
      <sheetName val="110F"/>
      <sheetName val="120"/>
      <sheetName val="130"/>
      <sheetName val="130D1"/>
      <sheetName val="130D2"/>
      <sheetName val="140"/>
      <sheetName val="140D1"/>
      <sheetName val="140D2"/>
      <sheetName val="170"/>
      <sheetName val="170F1"/>
      <sheetName val="195"/>
      <sheetName val="200"/>
      <sheetName val="200 C1"/>
      <sheetName val="200D"/>
      <sheetName val="200E"/>
      <sheetName val="210"/>
      <sheetName val="210 D1"/>
      <sheetName val="210D2"/>
      <sheetName val="220"/>
      <sheetName val="APT"/>
      <sheetName val="230"/>
      <sheetName val="230F1"/>
      <sheetName val="230F2.1"/>
      <sheetName val="230F3"/>
      <sheetName val="230F4"/>
      <sheetName val="230F5"/>
      <sheetName val="230D1"/>
      <sheetName val="230D2"/>
      <sheetName val="230D3"/>
      <sheetName val="230D4"/>
      <sheetName val="230D5"/>
      <sheetName val="230D6"/>
      <sheetName val="300"/>
      <sheetName val="300F1"/>
      <sheetName val="300F2"/>
      <sheetName val="300F3"/>
      <sheetName val="300F4"/>
      <sheetName val="300F5"/>
      <sheetName val="300F6"/>
      <sheetName val="300F7"/>
      <sheetName val="300F8"/>
      <sheetName val="300F9"/>
      <sheetName val="300F10"/>
      <sheetName val="300F11"/>
      <sheetName val="300F12"/>
      <sheetName val="300F13"/>
      <sheetName val="300F14"/>
      <sheetName val="300F15"/>
      <sheetName val="300F16"/>
      <sheetName val="310"/>
      <sheetName val="310F"/>
      <sheetName val="320"/>
      <sheetName val="380"/>
      <sheetName val="390"/>
      <sheetName val="390F1"/>
      <sheetName val="390F2"/>
      <sheetName val="390D1"/>
      <sheetName val="390D2"/>
      <sheetName val="390D3"/>
      <sheetName val="390D4"/>
      <sheetName val="390D5"/>
      <sheetName val="450"/>
      <sheetName val="180"/>
      <sheetName val="225"/>
      <sheetName val="310J1"/>
      <sheetName val="310J2"/>
      <sheetName val="310J3"/>
      <sheetName val="320 F1"/>
      <sheetName val="350"/>
      <sheetName val="Est komit kontin"/>
      <sheetName val="200C1"/>
      <sheetName val="200G"/>
      <sheetName val="200F1.1"/>
      <sheetName val="200F1.2"/>
      <sheetName val="200F2.1"/>
      <sheetName val="200F2.2"/>
      <sheetName val="200F3"/>
      <sheetName val="210C1"/>
      <sheetName val="210G1"/>
      <sheetName val="230C1"/>
      <sheetName val="230F2"/>
      <sheetName val="300F1.1"/>
      <sheetName val="300F1.2"/>
      <sheetName val="300F1.3"/>
      <sheetName val="300F1.4"/>
      <sheetName val="300F1.5"/>
      <sheetName val="300F1.6"/>
      <sheetName val="300F2.1"/>
      <sheetName val="300F2.2"/>
      <sheetName val="300F2.3"/>
      <sheetName val="300F2.4"/>
      <sheetName val="300F2.5"/>
      <sheetName val="300F2.6"/>
      <sheetName val="300F2.7"/>
      <sheetName val="300F3.1"/>
      <sheetName val="300F3.2"/>
      <sheetName val="300F3.3"/>
      <sheetName val="300F3.4"/>
      <sheetName val="300F3.5"/>
      <sheetName val="300F3.6"/>
      <sheetName val="300F3.7"/>
      <sheetName val="300F3.8"/>
      <sheetName val="310F1"/>
      <sheetName val="Susunan Pengurus"/>
      <sheetName val="tangguhan"/>
      <sheetName val="JKaruskas06"/>
      <sheetName val="aruskas06"/>
      <sheetName val="JKaruskas05"/>
      <sheetName val="aruskas05"/>
      <sheetName val="Ledger Konsol 06"/>
      <sheetName val="thll"/>
      <sheetName val="900F "/>
      <sheetName val="Fiskal PPAP"/>
      <sheetName val="Fiskal Des'07"/>
      <sheetName val="BY. KORFIS"/>
      <sheetName val="32092"/>
      <sheetName val="32073"/>
      <sheetName val="32111"/>
      <sheetName val="32049"/>
      <sheetName val="10929"/>
      <sheetName val="20911"/>
      <sheetName val="42319"/>
      <sheetName val="42311"/>
      <sheetName val="10311"/>
      <sheetName val="10315"/>
      <sheetName val="41111"/>
      <sheetName val="10839"/>
      <sheetName val="32124"/>
      <sheetName val="41122"/>
      <sheetName val="600D10"/>
      <sheetName val="200C1 (2)"/>
      <sheetName val="Konf Giro"/>
      <sheetName val="Konf Tab"/>
      <sheetName val="Konf Dep"/>
      <sheetName val="DES_07"/>
      <sheetName val="NOV_07"/>
      <sheetName val="OKT_07"/>
      <sheetName val="BP01"/>
      <sheetName val="BP02"/>
      <sheetName val="BP03"/>
      <sheetName val="BP04"/>
      <sheetName val="Be'ol"/>
      <sheetName val="BP05"/>
      <sheetName val="BP06"/>
      <sheetName val="new BeNdoL"/>
      <sheetName val="Pinjaman (tgl)"/>
      <sheetName val="KOL_EXCL x_PRGRM"/>
      <sheetName val="48 (2)"/>
      <sheetName val="Down Grade"/>
      <sheetName val="adm&amp;provisi"/>
      <sheetName val="195F2"/>
      <sheetName val="200 D1"/>
      <sheetName val="650F"/>
      <sheetName val="Jurnal Disetujui"/>
      <sheetName val="JK Audit"/>
      <sheetName val="AT FIS 08"/>
      <sheetName val="Koreksi Fiskal TRI"/>
      <sheetName val="Perhit Japrod"/>
      <sheetName val="RES_TRUK"/>
      <sheetName val="020a"/>
      <sheetName val="020b"/>
      <sheetName val="020c"/>
      <sheetName val="Drop-down List of Answers"/>
      <sheetName val="020d"/>
      <sheetName val="020e"/>
      <sheetName val="150"/>
      <sheetName val="175"/>
      <sheetName val="190"/>
      <sheetName val="205"/>
      <sheetName val="330"/>
      <sheetName val="360"/>
      <sheetName val="370"/>
      <sheetName val="395"/>
      <sheetName val="430"/>
      <sheetName val="455"/>
      <sheetName val="500"/>
      <sheetName val="590"/>
      <sheetName val="620"/>
      <sheetName val="700"/>
      <sheetName val="750"/>
      <sheetName val="840.01"/>
      <sheetName val="840.02"/>
      <sheetName val="1500"/>
      <sheetName val="2500"/>
      <sheetName val="230B"/>
      <sheetName val="230 D1 New"/>
      <sheetName val="230 F1"/>
      <sheetName val="230 D11"/>
      <sheetName val="230 D3"/>
      <sheetName val="230 D4"/>
      <sheetName val="230 D5"/>
      <sheetName val="230 D6"/>
      <sheetName val="230 D7"/>
      <sheetName val="230 D8"/>
      <sheetName val="230 D9"/>
      <sheetName val="230 D10"/>
      <sheetName val="230D3( Interim)"/>
      <sheetName val="230D4( Interim)"/>
      <sheetName val="AYDA"/>
      <sheetName val="XXXXX1"/>
      <sheetName val="Ner-Mut"/>
      <sheetName val="PIUT DIR"/>
      <sheetName val="BPP EX"/>
      <sheetName val="NRC(F) "/>
      <sheetName val="ARUS KAS "/>
      <sheetName val="BPrd  "/>
      <sheetName val="BUA "/>
      <sheetName val="BO "/>
      <sheetName val="Piut.x-port"/>
      <sheetName val="Piut.Lokal"/>
      <sheetName val="GLR"/>
      <sheetName val="kar"/>
      <sheetName val="um "/>
      <sheetName val="x√"/>
      <sheetName val="inp"/>
      <sheetName val="lph"/>
      <sheetName val="graf"/>
      <sheetName val="ph-3"/>
      <sheetName val="KRATIO"/>
      <sheetName val="K-LR"/>
      <sheetName val="K-NRC"/>
      <sheetName val="DAFTAR KK"/>
      <sheetName val="AT-LAMP"/>
      <sheetName val="lamp-I"/>
      <sheetName val="lamp-II"/>
      <sheetName val="KAS(100)"/>
      <sheetName val="PU(130)"/>
      <sheetName val="PA(135)"/>
      <sheetName val="PL(140)"/>
      <sheetName val="PERS(150)"/>
      <sheetName val="PJKDD(170)"/>
      <sheetName val="AKUM"/>
      <sheetName val="200-F"/>
      <sheetName val="HU(310)"/>
      <sheetName val="HL(330)"/>
      <sheetName val="HA(320)"/>
      <sheetName val="UMP(340)"/>
      <sheetName val="HPJK(350)"/>
      <sheetName val="BYMH(360)"/>
      <sheetName val="MDL(400)"/>
      <sheetName val="PEND(500)"/>
      <sheetName val="HPP(550)"/>
      <sheetName val="BOPS(600)"/>
      <sheetName val="BUA(700)"/>
      <sheetName val="PK(800)"/>
      <sheetName val="catt"/>
      <sheetName val="GPenj"/>
      <sheetName val="GBu"/>
      <sheetName val="PJLS"/>
      <sheetName val="NERMUT"/>
      <sheetName val="brg jadi"/>
      <sheetName val="LR OLD"/>
      <sheetName val="Reg Pemb"/>
      <sheetName val="Reg Penj"/>
      <sheetName val="DPK Sep"/>
      <sheetName val="DPH Sep"/>
      <sheetName val="DPP Sep"/>
      <sheetName val="BB SEPT"/>
      <sheetName val="Bi 600"/>
      <sheetName val="BI 700"/>
      <sheetName val="LMK Sept"/>
      <sheetName val="grafik By"/>
      <sheetName val="Grafik  RL"/>
      <sheetName val="Graf pENJ"/>
      <sheetName val="Graf LR"/>
      <sheetName val="Graf Bi"/>
      <sheetName val="IR"/>
      <sheetName val="Prosedur BUA&amp;Pej"/>
      <sheetName val="Lead sheet(TS)"/>
      <sheetName val="Rincian beban operasi"/>
      <sheetName val="BPPperbln-dirlab"/>
      <sheetName val="BPPperbln-sol,lis,pack"/>
      <sheetName val="BPPperbln-pemel"/>
      <sheetName val="BPPperbln-lain"/>
      <sheetName val="Biayaperbln"/>
      <sheetName val="FA2006"/>
      <sheetName val="RKB"/>
      <sheetName val="Rekap Cost"/>
      <sheetName val="Form TM"/>
      <sheetName val="Rekap Cost TM"/>
      <sheetName val="Afdeling C"/>
      <sheetName val="Afdeling D"/>
      <sheetName val="Afdeling E"/>
      <sheetName val="Afdeling F"/>
      <sheetName val="Afdeling G"/>
      <sheetName val="Afdeling H"/>
      <sheetName val="Form TBM"/>
      <sheetName val="Rekap Cost TBM"/>
      <sheetName val="Afdeling_A"/>
      <sheetName val="Afdeling_B"/>
      <sheetName val="Afdeling_C"/>
      <sheetName val="Afdeling_D"/>
      <sheetName val="Afdeling_E"/>
      <sheetName val="Afdeling_F"/>
      <sheetName val="Afdeling_H"/>
      <sheetName val="Afdeling_I"/>
      <sheetName val="Afdeling_J"/>
      <sheetName val="List Norma"/>
      <sheetName val="Afd A Detail"/>
      <sheetName val="HS TBM"/>
      <sheetName val="HS STATEMENT"/>
      <sheetName val="Run_Alat"/>
      <sheetName val="STD VRA"/>
      <sheetName val="_ Lbr vs GP"/>
      <sheetName val="PO__Olah"/>
      <sheetName val="PK__RM"/>
      <sheetName val="PO__RM"/>
      <sheetName val="%_Lbr_vs_GP"/>
      <sheetName val="Land_Aplikasi"/>
      <sheetName val="__Lbr_vs_GP"/>
      <sheetName val="InputSheet"/>
      <sheetName val="1.GasAcct"/>
      <sheetName val="PGN TOP"/>
      <sheetName val="3.Gas(MMSCF)"/>
      <sheetName val="2.Gas(MMBTU)"/>
      <sheetName val="4.Gas(USD) "/>
      <sheetName val="5.Cond"/>
      <sheetName val="LoadingDoc.Letter"/>
      <sheetName val="Letter for Inv"/>
      <sheetName val="GSAInvoice"/>
      <sheetName val="sig-bonus"/>
      <sheetName val="3.CMR-GAS&gt;ACQ(MSCF) "/>
      <sheetName val="7.CMR-GAS&gt;ACQ(MMBTU)"/>
      <sheetName val="10. ($) Gas &gt; acq "/>
      <sheetName val="C&amp;D (Year end)"/>
      <sheetName val="14.MT-1(qrt)"/>
      <sheetName val="GSAInvoice.2"/>
      <sheetName val="KuitansiPJB"/>
      <sheetName val="KuitansiPJB.2"/>
      <sheetName val="Aprroval Letter"/>
      <sheetName val="Rev.Approv.Letter"/>
      <sheetName val="Approval"/>
      <sheetName val="DI-PartA"/>
      <sheetName val="DI-Part-B"/>
      <sheetName val="Rev.DI-PartA"/>
      <sheetName val="Rev.DI-PartB"/>
      <sheetName val="CoverC&amp;D-HO"/>
      <sheetName val="10.C&amp;DReq"/>
      <sheetName val="CoverC&amp;DRep"/>
      <sheetName val="11.C&amp;DTaxK60"/>
      <sheetName val="12.PSC7.1-K60"/>
      <sheetName val="13.PSC7.2-K60"/>
      <sheetName val="14.C&amp;DTaxK40"/>
      <sheetName val="15. PSC7.1-K40"/>
      <sheetName val="16.PSC7.2-K40"/>
      <sheetName val="Letter for Inv_CorrPLN"/>
      <sheetName val="22.C&amp;D(R)"/>
      <sheetName val="DMO-LTR"/>
      <sheetName val="18.DMO"/>
      <sheetName val="Supp'l"/>
      <sheetName val="RRS"/>
      <sheetName val="MA-5"/>
      <sheetName val="MA-6"/>
      <sheetName val="Reinstate PGN-96"/>
      <sheetName val="lettter PGN-96"/>
      <sheetName val="UKGAAP-adj"/>
      <sheetName val="DataEntry"/>
      <sheetName val="Data Graph"/>
      <sheetName val="preBud"/>
      <sheetName val="HFM"/>
      <sheetName val="ST144"/>
      <sheetName val="Journal consolidated"/>
      <sheetName val="Journal adjustment unit"/>
      <sheetName val="landright"/>
      <sheetName val="BS &amp; IS"/>
      <sheetName val="CF-CONSO&amp;UNITS"/>
      <sheetName val="Journal Adjusment Unit"/>
      <sheetName val=" ENGLISH"/>
      <sheetName val="DIT-P"/>
      <sheetName val="man pow"/>
      <sheetName val="FSC-BS"/>
      <sheetName val="FSC-PL"/>
      <sheetName val="COGM APR 12"/>
      <sheetName val="FSC-NT"/>
      <sheetName val="Diferred"/>
      <sheetName val="DAIP-BS"/>
      <sheetName val="DAIP-PL"/>
      <sheetName val="DAIP-NT"/>
      <sheetName val="DAIP-CIP"/>
      <sheetName val="DAIP-FA"/>
      <sheetName val="ICBSP"/>
      <sheetName val="Escroow january"/>
      <sheetName val="Escroow February"/>
      <sheetName val="Escroow Maret"/>
      <sheetName val="Escroow"/>
      <sheetName val="Diferred tax"/>
      <sheetName val="DSIP-BS"/>
      <sheetName val="DSIP-PL"/>
      <sheetName val="DSIP-NT"/>
      <sheetName val="DSIP-CIP"/>
      <sheetName val="DSIP-FA"/>
      <sheetName val="Mei 2011"/>
      <sheetName val="Jun 2011"/>
      <sheetName val="Jul 2011"/>
      <sheetName val="Ags 2011"/>
      <sheetName val="Sep 2011"/>
      <sheetName val="Okt 11"/>
      <sheetName val="Nop 11"/>
      <sheetName val="Des 11"/>
      <sheetName val="Schedul Escroow"/>
      <sheetName val="Deffered"/>
      <sheetName val="SIP-BS"/>
      <sheetName val="SIP-PL"/>
      <sheetName val="SIP-NT"/>
      <sheetName val="SIP-FA"/>
      <sheetName val="TB    "/>
      <sheetName val="GL    "/>
      <sheetName val="TB      "/>
      <sheetName val="GL      "/>
      <sheetName val="rek-hpp"/>
      <sheetName val="R Cash"/>
      <sheetName val="Estate-cost"/>
      <sheetName val="factory-cost"/>
      <sheetName val="produk jadi"/>
      <sheetName val="Propit&amp;loss"/>
      <sheetName val="rinci-Cash"/>
      <sheetName val="rinci-AR"/>
      <sheetName val="rinci-inventory"/>
      <sheetName val="rinci-AP"/>
      <sheetName val="G&amp;A-Expenses"/>
      <sheetName val="G &amp; A Expenses"/>
      <sheetName val="rinci-Affiliasi "/>
      <sheetName val="rinci-taxe"/>
      <sheetName val="rinci-All others"/>
      <sheetName val="D. P Asst "/>
      <sheetName val="Intercompany "/>
      <sheetName val="Rekonse BNI "/>
      <sheetName val="Pert asset 2009 "/>
      <sheetName val="SUPPORTING "/>
      <sheetName val="ARJUNA"/>
      <sheetName val="ARIMBI"/>
      <sheetName val="CINTA"/>
      <sheetName val="PGN"/>
      <sheetName val="RESIDUE"/>
      <sheetName val="PLNGAS"/>
      <sheetName val="ENT-PER"/>
      <sheetName val="MA5JA"/>
      <sheetName val="MA6JA"/>
      <sheetName val="MA5&amp;6 recon"/>
      <sheetName val="BCAJA"/>
      <sheetName val="BCA UK GAAP"/>
      <sheetName val="LIFTR"/>
      <sheetName val="C&amp;DTAX"/>
      <sheetName val="MV"/>
      <sheetName val="Comp equip"/>
      <sheetName val="Mach &amp; equip"/>
      <sheetName val="Freezers"/>
      <sheetName val="Operating Exp. ID2"/>
      <sheetName val="Maping ACC Sep05"/>
      <sheetName val="TB-Dec05 ID2"/>
      <sheetName val="fieldcost"/>
      <sheetName val="kerja-est"/>
      <sheetName val="kerja-budget"/>
      <sheetName val="point"/>
      <sheetName val="Persediaan CPO&amp;PK"/>
      <sheetName val="By Produksi"/>
      <sheetName val="Rincian Neraca"/>
      <sheetName val="neraca CF"/>
      <sheetName val="Debt"/>
      <sheetName val="admin-bunga"/>
      <sheetName val="Detail Aktiva"/>
      <sheetName val="Plantations"/>
      <sheetName val="Strategic"/>
      <sheetName val="Asumption"/>
      <sheetName val="TOP IS"/>
      <sheetName val="TOP Others"/>
      <sheetName val="Beniform"/>
      <sheetName val="Cr.Suis"/>
      <sheetName val="WP-CF"/>
      <sheetName val="FS ver 1"/>
      <sheetName val="Fact.C"/>
      <sheetName val="Matur.C"/>
      <sheetName val="Distr.Cost"/>
      <sheetName val="Mater.P"/>
      <sheetName val="PKS&amp;SG"/>
      <sheetName val="AGW"/>
      <sheetName val="WP Cons"/>
      <sheetName val="BUDGET AND STRATEGIC PLAN"/>
      <sheetName val="BUDGET AMM"/>
      <sheetName val="AMM"/>
      <sheetName val="WCF"/>
      <sheetName val="Exc.Summary"/>
      <sheetName val="Detail Neraca"/>
      <sheetName val="Detail BS-Exc.Summ"/>
      <sheetName val="BS-Exc.Summary"/>
      <sheetName val="IS2.Exc.Summ"/>
      <sheetName val="IS.Exc.Summ"/>
      <sheetName val="Graphik Produksi"/>
      <sheetName val="CF-Exc.Summ"/>
      <sheetName val="sales 1"/>
      <sheetName val="sales 2"/>
      <sheetName val="Exc.sales customer"/>
      <sheetName val="Budget Travel"/>
      <sheetName val="Budget Lainnya"/>
      <sheetName val="SK Perjln Dinas"/>
      <sheetName val="Daftar Harga"/>
      <sheetName val="Asumsi Makro"/>
      <sheetName val="PT. AGW"/>
      <sheetName val="UNIT KONSOL"/>
      <sheetName val="PT. AMM"/>
      <sheetName val="PT.SNP"/>
      <sheetName val="DETAIL PL_UNIT KONSOL"/>
      <sheetName val="DETAIL PL_PT.SNP"/>
      <sheetName val="DETAIL PL_PT. AGW"/>
      <sheetName val="Inventory SNP"/>
      <sheetName val="DETAIL PL_PT. AMM"/>
      <sheetName val="Export Tax"/>
      <sheetName val="Dftr"/>
      <sheetName val="Rkp-LR-Budget"/>
      <sheetName val="Key Indicators"/>
      <sheetName val="penj.i"/>
      <sheetName val="r-tmi"/>
      <sheetName val="tmi-s"/>
      <sheetName val="rtbmi"/>
      <sheetName val="tbmi'04"/>
      <sheetName val="tbmi'05"/>
      <sheetName val="rbbt"/>
      <sheetName val="btl-k-d"/>
      <sheetName val="btl-ho-ro"/>
      <sheetName val="ALK-BTL-RO"/>
      <sheetName val="ALK-BTL-DO II"/>
      <sheetName val="ALK-BTL-HO"/>
      <sheetName val="ALK-BUNGA-HO"/>
      <sheetName val="ALK-PENY-HO"/>
      <sheetName val="penj.p"/>
      <sheetName val="rbtmp"/>
      <sheetName val="tmp-s"/>
      <sheetName val="rtbmp"/>
      <sheetName val="tbmp'04"/>
      <sheetName val="tbmp'05"/>
      <sheetName val="Piutang Staff"/>
      <sheetName val="Piutang Lain Lain"/>
      <sheetName val="Piutang Affiliasi"/>
      <sheetName val="Piut AFF RO-HO terbaru"/>
      <sheetName val="Segmen-05"/>
      <sheetName val="GLP 2013 "/>
      <sheetName val="Rincian 2013 PGE"/>
      <sheetName val="Rincian 2013 LME"/>
      <sheetName val="2014-2018 PGE"/>
      <sheetName val="2014-2018 LME"/>
      <sheetName val="2014-2018 GLP"/>
      <sheetName val="FFB Prod."/>
      <sheetName val="15.outpu pt bh"/>
      <sheetName val="Original Peb'13"/>
      <sheetName val="Asli Peb'13"/>
      <sheetName val="Full"/>
      <sheetName val="Trade"/>
      <sheetName val="Kontraktor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LK-BPh"/>
      <sheetName val="NO-LK"/>
      <sheetName val="Slab"/>
      <sheetName val="Ramps"/>
      <sheetName val="Stairs"/>
      <sheetName val="HS (2)"/>
      <sheetName val="Slab (2)"/>
      <sheetName val="Lap Bul"/>
      <sheetName val="CAT-HRG"/>
      <sheetName val="CAT-HRG "/>
      <sheetName val="DAF- 4"/>
      <sheetName val="DAFT-12"/>
      <sheetName val="SC-FIN"/>
      <sheetName val="Spek Kusen"/>
      <sheetName val="AN-M&amp;E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7"/>
      <sheetName val="P.Petir"/>
      <sheetName val="Std-Analisa"/>
      <sheetName val="HRG (2)"/>
      <sheetName val="A4 (2)"/>
      <sheetName val="A4add"/>
      <sheetName val="COVTM3"/>
      <sheetName val="baop"/>
      <sheetName val="lap (2)"/>
      <sheetName val="HRG"/>
      <sheetName val="lap 10"/>
      <sheetName val="lap 11"/>
      <sheetName val="lap 12"/>
      <sheetName val="lap 13"/>
      <sheetName val="lap 14"/>
      <sheetName val="lap 15"/>
      <sheetName val="Gal-ABC"/>
      <sheetName val="vol"/>
      <sheetName val="BEKP"/>
      <sheetName val="2 (2)"/>
      <sheetName val="3 (2)"/>
      <sheetName val="Win Loss Analysis"/>
      <sheetName val="RESUME OK CADANGAN"/>
      <sheetName val="OK CADANGAN"/>
      <sheetName val="Alat Prod"/>
      <sheetName val="RABT"/>
      <sheetName val="pek tambah (selisih vol)"/>
      <sheetName val="BQ STRK"/>
      <sheetName val="BQ-ELEK"/>
      <sheetName val="BQ-MEK"/>
      <sheetName val="HSB"/>
      <sheetName val="tgp-02"/>
      <sheetName val="tgp_02"/>
      <sheetName val="TOTAL HC 1"/>
      <sheetName val="TOTAL HC"/>
      <sheetName val="Tunjab"/>
      <sheetName val="TOTAL all"/>
      <sheetName val="DATA U LK"/>
      <sheetName val="NT "/>
      <sheetName val="LR DEP "/>
      <sheetName val="PENJ-INTERN"/>
      <sheetName val="PENJ-LOAN"/>
      <sheetName val="PIUT BAPEPAM-JUN"/>
      <sheetName val="RET-BAPEPAM-JUN"/>
      <sheetName val="MUTASI AKT"/>
      <sheetName val="TAGBRUT BAPEPAM"/>
      <sheetName val="IKHT-PYD&amp;PDP"/>
      <sheetName val="IKHT PYD"/>
      <sheetName val="IKHT PDDK"/>
      <sheetName val="IHTISAR KSO"/>
      <sheetName val="IKHT UTG PER NSBH "/>
      <sheetName val="SEGMEN GEOGRAFIS"/>
      <sheetName val="VALAS"/>
      <sheetName val="LK-KONSOLIDASI "/>
      <sheetName val="CF KONSOL"/>
      <sheetName val="NOTES PUBLIS"/>
      <sheetName val="Judul 07"/>
      <sheetName val="Rekap Aktiva Tetap+ Penys"/>
      <sheetName val="Konfirmasi Bank"/>
      <sheetName val="PPN Masukan"/>
      <sheetName val="PPh 25 (2)"/>
      <sheetName val="Bayar 21"/>
      <sheetName val="BRI Jakarta"/>
      <sheetName val="BRI Suraby"/>
      <sheetName val="Bukopin JKT"/>
      <sheetName val="Bukopin SBY"/>
      <sheetName val="Mandiri JKT"/>
      <sheetName val="Mandiri SBY"/>
      <sheetName val="Imbln. Kerja"/>
      <sheetName val="Praoprasi"/>
      <sheetName val="AJ 07"/>
      <sheetName val="WBS 07"/>
      <sheetName val="Khosim"/>
      <sheetName val="BNI JKT"/>
      <sheetName val="BNI SBY"/>
      <sheetName val="PPh 21 "/>
      <sheetName val="Hutang PPh 23"/>
      <sheetName val="Rekap PPh 23 Agung"/>
      <sheetName val="Peralatan kantor"/>
      <sheetName val="Kendaraan"/>
      <sheetName val="PROJECT-BLN"/>
      <sheetName val="Penjualan 2010"/>
      <sheetName val="Biaya 2010"/>
      <sheetName val="LEDGER SEPT"/>
      <sheetName val="NERACA&quot;T&quot;"/>
      <sheetName val="RL 08-10"/>
      <sheetName val="simhu"/>
      <sheetName val="piutang usaha "/>
      <sheetName val="piutang lain"/>
      <sheetName val="Impairment"/>
      <sheetName val="piutang retensi"/>
      <sheetName val="piutang kary"/>
      <sheetName val="pajak DD"/>
      <sheetName val="PDD"/>
      <sheetName val="ap wika "/>
      <sheetName val="hutang lain"/>
      <sheetName val="beban lain "/>
      <sheetName val="beban pajak"/>
      <sheetName val="LEDGER DES"/>
      <sheetName val="TIMOR LESTE (USD)"/>
      <sheetName val="KETAPANG"/>
      <sheetName val="KUPANG (USD)"/>
      <sheetName val="KCM"/>
      <sheetName val="SEMEN PDG"/>
      <sheetName val="MEDCO"/>
      <sheetName val="ASAM2"/>
      <sheetName val="AMURANG"/>
      <sheetName val="INDOCEMENT"/>
      <sheetName val="KUALANAMU"/>
      <sheetName val="OPTIMA"/>
      <sheetName val="FAJAR"/>
      <sheetName val="SANKYU"/>
      <sheetName val="SANKYU - UBC"/>
      <sheetName val="SANKYU - EFM"/>
      <sheetName val="SANKYU - IKK"/>
      <sheetName val="DAFTAR ISI (3)"/>
      <sheetName val="DAFTAR ISI (2)"/>
      <sheetName val="I (2)"/>
      <sheetName val="AK-TL"/>
      <sheetName val="New CF"/>
      <sheetName val="14a"/>
      <sheetName val="20a"/>
      <sheetName val="FORMAT"/>
      <sheetName val="NT-IFRS"/>
      <sheetName val="LRDEPT IFRS"/>
      <sheetName val="PIUT BAPEPAM-DES"/>
      <sheetName val="RET-BAPEPAM-DES"/>
      <sheetName val="PYD"/>
      <sheetName val="UM DITERIMA"/>
      <sheetName val="IKHT PDPK"/>
      <sheetName val="IKHT UTG PER NSBH"/>
      <sheetName val="FORMAT JO"/>
      <sheetName val=" HUTANG TOTAL"/>
      <sheetName val="HUTANG PEMASOK (HANIK)"/>
      <sheetName val="HUTANG SUBKON"/>
      <sheetName val="lk konsolidasi des"/>
      <sheetName val="LR_SPK 2012 "/>
      <sheetName val="CABANGPPN"/>
      <sheetName val="CABANG21"/>
      <sheetName val="CABANG4(2)"/>
      <sheetName val="hargapokok"/>
      <sheetName val="pend_lain2"/>
      <sheetName val="bi_lain2"/>
      <sheetName val="CADANGAN"/>
      <sheetName val="indukPPH"/>
      <sheetName val="IndukPPN"/>
      <sheetName val="induk42"/>
      <sheetName val="induk21"/>
      <sheetName val="induk22-23-26-pbb"/>
      <sheetName val="rekap23"/>
      <sheetName val="EQUALISASI"/>
      <sheetName val="KEND_FIS"/>
      <sheetName val="kend_WP"/>
      <sheetName val="note_4_wiston"/>
      <sheetName val="LPP (2)"/>
      <sheetName val="LPP (3)"/>
      <sheetName val="LPP (4)"/>
      <sheetName val="MASa2326"/>
      <sheetName val="PBB"/>
      <sheetName val="masalah"/>
      <sheetName val="KKP SL-baru"/>
      <sheetName val="htung lama"/>
      <sheetName val="finalhpp"/>
      <sheetName val="Des '07"/>
      <sheetName val="CO '08"/>
      <sheetName val="DSU-2"/>
      <sheetName val="LPP Des 07"/>
      <sheetName val="rkap'08"/>
      <sheetName val="DSU-2 (OP)"/>
      <sheetName val="DSU-2 (LK)"/>
      <sheetName val="OP-bln"/>
      <sheetName val="LK-bln"/>
      <sheetName val="OK-bln"/>
      <sheetName val="DSU-2 (2)"/>
      <sheetName val="SWOT"/>
      <sheetName val="TKSEHAT"/>
      <sheetName val="KEYPEFOR"/>
      <sheetName val="ANSWOT"/>
      <sheetName val="PROGKER"/>
      <sheetName val="rinc-bius"/>
      <sheetName val="rl-lain"/>
      <sheetName val="PENGELUAR"/>
      <sheetName val="PENERIMAAN"/>
      <sheetName val="proyinv"/>
      <sheetName val="Tanggapan"/>
      <sheetName val="ELKP"/>
      <sheetName val="NAV0"/>
      <sheetName val="Perubahan Modal"/>
      <sheetName val="Rasio 2"/>
      <sheetName val="Schedule A"/>
      <sheetName val="Schedule B"/>
      <sheetName val="Schedule C"/>
      <sheetName val="Schedule D"/>
      <sheetName val="Rasio Diklat "/>
      <sheetName val="Analisis"/>
      <sheetName val="Sub A"/>
      <sheetName val="Sub B (1)"/>
      <sheetName val="Sub B (2)"/>
      <sheetName val="Sub C"/>
      <sheetName val="Sub D"/>
      <sheetName val="Rincian A-1"/>
      <sheetName val="Rincian B-1"/>
      <sheetName val="Rincian C-1"/>
      <sheetName val="Rincian D-1"/>
      <sheetName val="Rincian F-1"/>
      <sheetName val="Rincian E-1"/>
      <sheetName val="Rincian G-1"/>
      <sheetName val="Rincian H-1"/>
      <sheetName val="Rincian L-1"/>
      <sheetName val="Rincian M-1"/>
      <sheetName val="Rincian N-1"/>
      <sheetName val="Rincian O-1"/>
      <sheetName val="Rincian P-1"/>
      <sheetName val="Rincian Q-1"/>
      <sheetName val="Rincian R-1"/>
      <sheetName val="Rincian S-1"/>
      <sheetName val="Rincian T-1"/>
      <sheetName val="Rincian U-1"/>
      <sheetName val="Rincian V-1"/>
      <sheetName val="Rincian W-1"/>
      <sheetName val="Rincian X-1"/>
      <sheetName val="Rincian Y-1"/>
      <sheetName val="BUAT LAMPIRAN NERACA 09"/>
      <sheetName val="NERACA 2009 NERACA"/>
      <sheetName val="NERACA 2009 ASLI"/>
      <sheetName val="02_2009"/>
      <sheetName val="01_2009"/>
      <sheetName val="12_2008  (epc)"/>
      <sheetName val="12_2008  (NRC) (2)"/>
      <sheetName val="12_2008  (NRC)"/>
      <sheetName val="12_2008 "/>
      <sheetName val="Konfirmasi Hutang"/>
      <sheetName val="WS AKE"/>
      <sheetName val="MJE"/>
      <sheetName val="tax(client)"/>
      <sheetName val="WBS Induk"/>
      <sheetName val="Correction List"/>
      <sheetName val="Catatan Neraca"/>
      <sheetName val="Catatan Laba Rugi"/>
      <sheetName val="hut. Bank"/>
      <sheetName val="hut. lain-lain"/>
      <sheetName val="hut. Pajak"/>
      <sheetName val="hut. usaha"/>
      <sheetName val="B Memo"/>
      <sheetName val="B Lead"/>
      <sheetName val="B1.Aging Summary"/>
      <sheetName val="B1.1 Subsequent Aging IDR"/>
      <sheetName val="B1.2 Subsequent Aging USD"/>
      <sheetName val="B.2 Confirm"/>
      <sheetName val="IDR until 31_12_5 original"/>
      <sheetName val="USD until 31_12_5_original"/>
      <sheetName val="Concept"/>
      <sheetName val="2. Mill Input"/>
      <sheetName val="4. Mill Cost"/>
      <sheetName val="5. MPP"/>
      <sheetName val="6. OPEX"/>
      <sheetName val="7. Other Inc Exp"/>
      <sheetName val="8. CAPEX"/>
      <sheetName val="1A. RD Estate"/>
      <sheetName val="1B. RD Mill"/>
      <sheetName val="2A. CD Field Cost by Month"/>
      <sheetName val="2B. CD Premi Panen"/>
      <sheetName val="2C. CD Mill Cost"/>
      <sheetName val="2. CD Field Cost by PY"/>
      <sheetName val="3. CD OPEX"/>
      <sheetName val="4. CD Other Inc Exp"/>
      <sheetName val="5. CAPEX"/>
      <sheetName val="1. PL PT"/>
      <sheetName val="Estate Charges"/>
      <sheetName val="RKP.CAPEX &amp; STRATEX"/>
      <sheetName val="L2 (2)"/>
      <sheetName val="G.O.T"/>
      <sheetName val="1170 "/>
      <sheetName val="TRANSFER PART"/>
      <sheetName val="12-06-ins"/>
      <sheetName val="F8.TOC"/>
      <sheetName val="G2.1"/>
      <sheetName val="G2.2"/>
      <sheetName val="K2.1"/>
      <sheetName val="L1.PDE"/>
      <sheetName val="L1.9 TOC"/>
      <sheetName val="L1.10"/>
      <sheetName val="P2.1-BNP"/>
      <sheetName val="P2.2-SCB"/>
      <sheetName val="P2.3-TSS"/>
      <sheetName val="U3.2.1"/>
      <sheetName val="rumah"/>
      <sheetName val="Jembatan-Gorong2"/>
      <sheetName val="grafik R1"/>
      <sheetName val="GBSM"/>
      <sheetName val="FLTI"/>
      <sheetName val="SKM"/>
      <sheetName val="HPM-R1"/>
      <sheetName val="SAWA-R1 (2)"/>
      <sheetName val="SAWA-R1"/>
      <sheetName val="DLJ 1"/>
      <sheetName val="DLJ 2"/>
      <sheetName val="EBL"/>
      <sheetName val="NPN"/>
      <sheetName val="SAWA"/>
      <sheetName val="PTA"/>
      <sheetName val="MSL"/>
      <sheetName val="KSD"/>
      <sheetName val="KSA1"/>
      <sheetName val="BHA1"/>
      <sheetName val="DAP1"/>
      <sheetName val="KSA2 utara"/>
      <sheetName val="KSA2 selatan"/>
      <sheetName val="KSA3"/>
      <sheetName val="KSA5"/>
      <sheetName val="PWA"/>
      <sheetName val="BP00"/>
      <sheetName val="BP02A"/>
      <sheetName val="BP03A"/>
      <sheetName val="BP11"/>
      <sheetName val="BP12"/>
      <sheetName val="BP13"/>
      <sheetName val="BP14"/>
      <sheetName val="BP15"/>
      <sheetName val="BP16"/>
      <sheetName val="BP17"/>
      <sheetName val="BP21"/>
      <sheetName val="BP21A"/>
      <sheetName val="BP22"/>
      <sheetName val="BP22LDC"/>
      <sheetName val="BP22LOC"/>
      <sheetName val="BP24"/>
      <sheetName val="BP25"/>
      <sheetName val="BP27"/>
      <sheetName val="BP41"/>
      <sheetName val="BP42"/>
      <sheetName val="BP42A"/>
      <sheetName val="BP43A"/>
      <sheetName val="BP43"/>
      <sheetName val="BP44"/>
      <sheetName val="BP44A"/>
      <sheetName val="BP45"/>
      <sheetName val="BP46"/>
      <sheetName val="BP51"/>
      <sheetName val="BP52"/>
      <sheetName val="BP53"/>
      <sheetName val="BP57"/>
      <sheetName val="BP61"/>
      <sheetName val="BP65"/>
      <sheetName val="BP66"/>
      <sheetName val="BP91"/>
      <sheetName val="BP93"/>
      <sheetName val="BP93A"/>
      <sheetName val="BP_BAL"/>
      <sheetName val="BP_BALMAN"/>
      <sheetName val="REFERENCE"/>
      <sheetName val="SUPPORTING"/>
      <sheetName val="CAVER"/>
      <sheetName val="i.Daft.isi"/>
      <sheetName val="ii.Ulasan "/>
      <sheetName val="2.AS.Afd "/>
      <sheetName val="land clearing"/>
      <sheetName val="6.SELEKSI"/>
      <sheetName val="7.KIRIM BBT "/>
      <sheetName val="9.ch"/>
      <sheetName val="10.STO"/>
      <sheetName val="11.Nama staf"/>
      <sheetName val="12. tk  "/>
      <sheetName val="13.MUTASI "/>
      <sheetName val="14.MHKK "/>
      <sheetName val="15.HKE JAN 02 "/>
      <sheetName val="16.akad "/>
      <sheetName val="Inventaris"/>
      <sheetName val="19.kendaraan"/>
      <sheetName val="20.Prod"/>
      <sheetName val="Output "/>
      <sheetName val="BY UMUM 1"/>
      <sheetName val="22,REKAP panen"/>
      <sheetName val="24,by panen98"/>
      <sheetName val="26,rekap tm"/>
      <sheetName val="27,rawat tm98"/>
      <sheetName val="32. rekap tbm"/>
      <sheetName val="34,rawat tbm05"/>
      <sheetName val="36.PUPUK"/>
      <sheetName val="38.LPD"/>
      <sheetName val="TRANSIT KEND (2)"/>
      <sheetName val="TRAN AB (2)"/>
      <sheetName val="TRN MSN (2)"/>
      <sheetName val="KET "/>
      <sheetName val="Fax"/>
      <sheetName val="Price_List"/>
      <sheetName val="STATION"/>
      <sheetName val="ST GROUP"/>
      <sheetName val="VHINFO"/>
      <sheetName val="Ach Prog "/>
      <sheetName val="Staff"/>
      <sheetName val="Sum-Ha"/>
      <sheetName val="Ha Mov"/>
      <sheetName val="Crop OP,RB"/>
      <sheetName val="Crop CA,CN"/>
      <sheetName val=" Crop Sta.OP"/>
      <sheetName val="Crop Sta.RB"/>
      <sheetName val="Crop Sta.CA"/>
      <sheetName val="Crop Sta.CN"/>
      <sheetName val="Crop New Opening"/>
      <sheetName val="Stimul"/>
      <sheetName val="Upk-M RB"/>
      <sheetName val="Upk-M OP"/>
      <sheetName val="Upk-M CA"/>
      <sheetName val="Upk-IM Y1"/>
      <sheetName val="Upk-IM Y2"/>
      <sheetName val="Upk-IM Y3"/>
      <sheetName val="Perf Imm RB"/>
      <sheetName val="Perf Imm OP"/>
      <sheetName val="Perf Imm CA,CN"/>
      <sheetName val="Develop Y0"/>
      <sheetName val="Contract"/>
      <sheetName val="Manure-Mat"/>
      <sheetName val="Manure-Imm"/>
      <sheetName val="Nurs.OP"/>
      <sheetName val="Nurs. R"/>
      <sheetName val="Nurs. CA"/>
      <sheetName val="R.fall"/>
      <sheetName val="Lab.Force"/>
      <sheetName val="Lab.alloc"/>
      <sheetName val="Health"/>
      <sheetName val="Staff-Bungalow"/>
      <sheetName val="Housing- others"/>
      <sheetName val="Heavy Vehicles "/>
      <sheetName val="Capex Npl"/>
      <sheetName val="Stores Movement"/>
      <sheetName val="Ha Mov Est"/>
      <sheetName val="Prod Feb"/>
      <sheetName val="Pengiriman TBS"/>
      <sheetName val="Check Afd"/>
      <sheetName val="Oilpalm Profile"/>
      <sheetName val="Mei "/>
      <sheetName val="Juli-Agst"/>
      <sheetName val="Agst-Sept"/>
      <sheetName val="Sept-Oktb"/>
      <sheetName val="Oktb-Nov"/>
      <sheetName val="Nov-Des"/>
      <sheetName val="Monthly BS"/>
      <sheetName val="Monthly P&amp;L"/>
      <sheetName val="Monthly PJ P&amp;L"/>
      <sheetName val="Interco Balances"/>
      <sheetName val="Interco Transaction"/>
      <sheetName val="Related Party "/>
      <sheetName val="Off Equipment"/>
      <sheetName val="Computer Hardware"/>
      <sheetName val="Furniture &amp; Fixtures"/>
      <sheetName val="Transport Eq."/>
      <sheetName val="Computer Software "/>
      <sheetName val="SUMMARY -per book"/>
      <sheetName val="Office Equipment"/>
      <sheetName val="Comp Hardw"/>
      <sheetName val="Furn&amp;Fixt"/>
      <sheetName val="Transportation Equipment"/>
      <sheetName val="Comp Software"/>
      <sheetName val="K Report"/>
      <sheetName val="K Flow"/>
      <sheetName val="K1 Building"/>
      <sheetName val="K1.1 Details"/>
      <sheetName val="K2 Off Equipment"/>
      <sheetName val="K2.1 Details"/>
      <sheetName val="K3 Comp Hardware"/>
      <sheetName val="K3.1 Details"/>
      <sheetName val="K4 Furniture&amp;Fixture"/>
      <sheetName val="K4.1 Details"/>
      <sheetName val="K5 Transp Equip"/>
      <sheetName val="K5.1 Details"/>
      <sheetName val="Addition FA in 2007"/>
      <sheetName val="J1 Comp Software"/>
      <sheetName val="N-1 (AP Trade)"/>
      <sheetName val="N-2 (AP Others)"/>
      <sheetName val="N-3 (AP O Affiliates)"/>
      <sheetName val="Audit Program"/>
      <sheetName val="Total - tb Dec08"/>
      <sheetName val="CIT UPA Dec 08"/>
      <sheetName val="A3 - BS (Dec 08)"/>
      <sheetName val="NAV001"/>
      <sheetName val="NAV002"/>
      <sheetName val="NAV003"/>
      <sheetName val="NAV004"/>
      <sheetName val="NAV005"/>
      <sheetName val="PM (GMP)"/>
      <sheetName val="WBS1 Combined"/>
      <sheetName val="WBS2 Combined"/>
      <sheetName val="WPL Combined"/>
      <sheetName val="Mov Cash Flow"/>
      <sheetName val="Cash Flow(not yet)"/>
      <sheetName val="WBS1(Site)"/>
      <sheetName val="WBS2(Site)"/>
      <sheetName val="WPL(Site)"/>
      <sheetName val="PAJE(Site)"/>
      <sheetName val="PRJE(Site) "/>
      <sheetName val="CAJE(Site)"/>
      <sheetName val="WBS1(JKO)"/>
      <sheetName val="WBS2(JKO)"/>
      <sheetName val="WPL(JKO)"/>
      <sheetName val="PAJE(JKO)"/>
      <sheetName val="PRJE(JKO)"/>
      <sheetName val="CAJE(JKO)"/>
      <sheetName val="PAJE(Site) (2)"/>
      <sheetName val="Inventory-Lead"/>
      <sheetName val="NRV"/>
      <sheetName val="Analytical Inventory"/>
      <sheetName val="allvatin (2)"/>
      <sheetName val="vat2"/>
      <sheetName val="MFG"/>
      <sheetName val="sepdec"/>
      <sheetName val="1. Act (4years) without DC"/>
      <sheetName val="2. Act (4years) with DC"/>
      <sheetName val="3. Act (3years) without DC"/>
      <sheetName val="4. Act (3years) with DC"/>
      <sheetName val="5. Adjustment"/>
      <sheetName val="6. depr FC 2008  bagi 4x "/>
      <sheetName val="7. Future crop 2008 ASLI"/>
      <sheetName val="8. WP  FC 2008 REVISI 4X "/>
      <sheetName val="9.WP FC 2009  revisi 4"/>
      <sheetName val="10. WP  FC 2008 asli"/>
      <sheetName val="O Combined"/>
      <sheetName val="O.1 Inc. Tax Pay. art 21 &amp; 26"/>
      <sheetName val="O.1.2 Inc. tax art 21 (Jan-Dec)"/>
      <sheetName val="O.2 Inc Tax Payable art 23"/>
      <sheetName val="O.3 Prepaid Tax art 25"/>
      <sheetName val="O.3.1 STP"/>
      <sheetName val="O.3.2 Fiscal Tax"/>
      <sheetName val="O.4 Inc. Tax Payable art 26"/>
      <sheetName val="O.5.2"/>
      <sheetName val="O.5.3"/>
      <sheetName val="Sales Sugar"/>
      <sheetName val="GL VAT IN"/>
      <sheetName val="VAT in Site"/>
      <sheetName val="K.2 Plantation"/>
      <sheetName val="K.3 Factory"/>
      <sheetName val="K.3.1"/>
      <sheetName val="K.3.2"/>
      <sheetName val="K.4 R&amp;D"/>
      <sheetName val="K.4.1"/>
      <sheetName val="K.4.2"/>
      <sheetName val="K.5 General"/>
      <sheetName val="K.5.1"/>
      <sheetName val="K.5.2"/>
      <sheetName val="K.6 Leasing"/>
      <sheetName val="K.6.1"/>
      <sheetName val="K.6.2"/>
      <sheetName val="KK SPT Y"/>
      <sheetName val="Detail Koreksi Fiskal"/>
      <sheetName val="D.6 "/>
      <sheetName val="D.7"/>
      <sheetName val="PM&amp;TE - SITE"/>
      <sheetName val="TB_WBS - Site"/>
      <sheetName val="TB_WPL - Site"/>
      <sheetName val="Adj Effect"/>
      <sheetName val="PRJE(Site)"/>
      <sheetName val="PRJE for Reporting (Site)"/>
      <sheetName val="CAJE RJE(Site)"/>
      <sheetName val="PM&amp;TE - JKO"/>
      <sheetName val="TB_WBS - JKO"/>
      <sheetName val="TB_WPL - JKO"/>
      <sheetName val="PM&amp;TE - Combined"/>
      <sheetName val="Current Tax 2010"/>
      <sheetName val="Deferred Tax 2010"/>
      <sheetName val="Statutory Tax 2010"/>
      <sheetName val="Accrued Expenses"/>
      <sheetName val="U-1 Lead+adjustment"/>
      <sheetName val="U-1.1 Sales Sugar"/>
      <sheetName val="U-1.2 Subsidi Sales"/>
      <sheetName val="U-1.3 Comparison per month"/>
      <sheetName val="U-1.3.1 Comparison+Gross Margin"/>
      <sheetName val="U-1.3.1 Summary per month"/>
      <sheetName val="U-1.4 Compare per Customer"/>
      <sheetName val="U-1.4.1 PER - PENYALUR"/>
      <sheetName val="U-1.5 ARPs"/>
      <sheetName val="U-1.6 Other Sales"/>
      <sheetName val="U-1.7 Vouching Sales and Other "/>
      <sheetName val="U-1.8 Sales Cut Off"/>
      <sheetName val="U-1.9"/>
      <sheetName val="Opinion LAI"/>
      <sheetName val="Opini Direksi"/>
      <sheetName val="W.S consolidasi"/>
      <sheetName val="CLK-Dwi"/>
      <sheetName val="PENJELASAN-PDMM05002"/>
      <sheetName val="PENJELASAN-PDMM05001"/>
      <sheetName val="Divisi"/>
      <sheetName val="IO"/>
      <sheetName val="Prior"/>
      <sheetName val="Sources"/>
      <sheetName val="PROG UTM FUNC PLAN"/>
      <sheetName val="TBL_COSTCENTER_BARU"/>
      <sheetName val="TBL_PP"/>
      <sheetName val="TBL_FOCus_Segmen"/>
      <sheetName val="TBL_PROBISNIS"/>
      <sheetName val="TBL_BARANGNEW"/>
      <sheetName val="TBL_LOKASI"/>
      <sheetName val="TBL_STATUSPROGRAM"/>
      <sheetName val="Dimensi Ifra"/>
      <sheetName val="TBL_AKUNBARU"/>
      <sheetName val="TBL_COSTCENTER"/>
      <sheetName val="TBL_INVPROGRAM"/>
      <sheetName val="TBL_KEGIATAN"/>
      <sheetName val="TBL_KELOMPOK_INVESTASI"/>
      <sheetName val="TBL_KONTRAKTOR"/>
      <sheetName val="TBL_MTU"/>
      <sheetName val="TBL_MATAUANG"/>
      <sheetName val="TBL_PAKET"/>
      <sheetName val="TBL_POLA_PENDANAAN"/>
      <sheetName val="TBL_PRODUCT"/>
      <sheetName val="TBL_StatusCarryOver"/>
      <sheetName val="._ls_._ls_._ls_AJE"/>
      <sheetName val="WS Unfull"/>
      <sheetName val="EquSta"/>
      <sheetName val="NotesKONSOL"/>
      <sheetName val="BSKONSOL"/>
      <sheetName val="IS (KONSOL)"/>
      <sheetName val="EquSta (KONSOL)"/>
      <sheetName val="CF (KONSOL)"/>
      <sheetName val="coverK0NSOL"/>
      <sheetName val="Daf IsiKONSOL"/>
      <sheetName val="OpinionKONSOL"/>
      <sheetName val="Pernyataan Direksi"/>
      <sheetName val="Penjelas"/>
      <sheetName val="Ls_XlbFormatTables"/>
      <sheetName val="Vouching Aset"/>
      <sheetName val="1221-0002 BANGUNAN"/>
      <sheetName val="1221-0003 INFRASTRUKTUR"/>
      <sheetName val="1221-0004 INSTALASI"/>
      <sheetName val="1221-0005 MESIN"/>
      <sheetName val="1221-0006 PERAL. PABRIK"/>
      <sheetName val="1221-0007 KENDARAAN"/>
      <sheetName val="1221-0008 PERAL. KANTIN"/>
      <sheetName val="1221-0009 PERAL. KANTOR"/>
      <sheetName val="Des'12"/>
      <sheetName val="KKP Jk Pnjg&lt;1thn"/>
      <sheetName val="KKP Pinjmn Jk Pnjg"/>
      <sheetName val="Kend. Leasing (31-12-2012)"/>
      <sheetName val="BS (KONSOL)"/>
      <sheetName val="KKP Perubahan Kebijakan Akntsi"/>
      <sheetName val="KKP Penyesuaian Angka Pajak"/>
      <sheetName val="BIAYA03"/>
      <sheetName val="ANALISABIAYA"/>
      <sheetName val="BIAYA20"/>
      <sheetName val="REKBIAYA"/>
      <sheetName val="BIAYA21"/>
      <sheetName val="ANAL22"/>
      <sheetName val="BIAYA22"/>
      <sheetName val="BIAYA23"/>
      <sheetName val="DataBase(Per;300905)"/>
      <sheetName val="sta-peg"/>
      <sheetName val="Rincian Gaji"/>
      <sheetName val="NAIK-1099(setelah tambahan)"/>
      <sheetName val="DATA(PER;30999)"/>
      <sheetName val="DATA(PER;30998)"/>
      <sheetName val="EKRP(3);FQ"/>
      <sheetName val="NAIK-1099(sebelum tambahan)"/>
      <sheetName val="NAIK-1099(GM;MNG;AM)"/>
      <sheetName val="NAIK-1099(KACAB)"/>
      <sheetName val="NAIK-1099(SALES)"/>
      <sheetName val="SALES(&lt;250;250-350;&gt;350)"/>
      <sheetName val="KENAIKAN TAMBAHAN (CBG)"/>
      <sheetName val="KENAIKAN TAMBAHAN(GAJI)"/>
      <sheetName val="ADJUST-(1)(&lt;300)"/>
      <sheetName val="ADJUST-(2)"/>
      <sheetName val="ADJUST-(3)"/>
      <sheetName val="ADJUST-(4)"/>
      <sheetName val="ADJUST-(5)"/>
      <sheetName val="BLP"/>
      <sheetName val="BDA"/>
      <sheetName val="BDL"/>
      <sheetName val="BDG (2)"/>
      <sheetName val="BJM"/>
      <sheetName val="DPS"/>
      <sheetName val="PKB"/>
      <sheetName val="PKB (2)"/>
      <sheetName val="SMG"/>
      <sheetName val="UPG"/>
      <sheetName val="YGY"/>
      <sheetName val="NAIK1099(KACAB)"/>
      <sheetName val="NAIK1099(KACAB) (2)"/>
      <sheetName val="NAIK1099(KP)"/>
      <sheetName val="KP(LEMBUR)"/>
      <sheetName val="PCN(Usulan)"/>
      <sheetName val="GJ(BARU)MNG&amp;ASST."/>
      <sheetName val="MNG&amp;ASST(KP)percobaan"/>
      <sheetName val="SPV&amp;STAF(KP)percobaan"/>
      <sheetName val="GM&amp;MNG(KP)"/>
      <sheetName val="MNG&amp;ASMG(301199)"/>
      <sheetName val="KP-Supervisor"/>
      <sheetName val="KP-Staf(non lembur)"/>
      <sheetName val="KP-Staf(lembur)"/>
      <sheetName val="GATS(31-10-99)"/>
      <sheetName val="KP-Sekretaris"/>
      <sheetName val="TOS(311099)"/>
      <sheetName val="AA(311199)"/>
      <sheetName val="MAGANG(30-11-99)"/>
      <sheetName val="FS;SS;STS(SIP-99)"/>
      <sheetName val="Chief&amp;Coll(31-10-99)"/>
      <sheetName val="DATA(KP-301199)"/>
      <sheetName val="AMD(301199)"/>
      <sheetName val="A&amp;T(301199)"/>
      <sheetName val="BD(301199)"/>
      <sheetName val="DIR(301199)"/>
      <sheetName val="GATS(301199)"/>
      <sheetName val="HRD(301199)"/>
      <sheetName val="IA(301199)"/>
      <sheetName val="KOM(301199)"/>
      <sheetName val="KSO(301199)"/>
      <sheetName val="LOG(301199)"/>
      <sheetName val="FMIS(301199)"/>
      <sheetName val="MU(301199)"/>
      <sheetName val="OP(301199)"/>
      <sheetName val="TambahKary(1-11-99)"/>
      <sheetName val="GAJI-(4)"/>
      <sheetName val="K.4CASHINBANK"/>
      <sheetName val="K.5CASHONHAND"/>
      <sheetName val="K.6DEPOSIT"/>
      <sheetName val="Gab-edit new"/>
      <sheetName val="Gabungan-edit"/>
      <sheetName val="Bank (3)"/>
      <sheetName val="REK.BANK (2)"/>
      <sheetName val="per unit bank"/>
      <sheetName val="b&amp;p"/>
      <sheetName val="odb"/>
      <sheetName val="per unit kas"/>
      <sheetName val="A-HC"/>
      <sheetName val="A-OC"/>
      <sheetName val="Bahan-OC (2)"/>
      <sheetName val="Bahan-OC"/>
      <sheetName val="Bahan-HC (2)"/>
      <sheetName val="Bahan-HC"/>
      <sheetName val="penyisihan pius"/>
      <sheetName val="Bahan Baku"/>
      <sheetName val="BP-(Inter,Access,Packing)"/>
      <sheetName val="Finish good"/>
      <sheetName val="K100"/>
      <sheetName val="CO.KC-R"/>
      <sheetName val="CO.KC-R1"/>
      <sheetName val="K110"/>
      <sheetName val="CO.KC-T"/>
      <sheetName val="K200"/>
      <sheetName val="K210"/>
      <sheetName val="K220"/>
      <sheetName val="Detail Bank"/>
      <sheetName val="HJULS"/>
      <sheetName val="Anls04"/>
      <sheetName val="Anls05"/>
      <sheetName val="PJ"/>
      <sheetName val="PW"/>
      <sheetName val="HPP++"/>
      <sheetName val="TB-SD-Madura-2008"/>
      <sheetName val="BS&amp;PL"/>
      <sheetName val="40.1"/>
      <sheetName val="40.2"/>
      <sheetName val="40.3"/>
      <sheetName val="40.4"/>
      <sheetName val="40.5"/>
      <sheetName val="40.6"/>
      <sheetName val="50.1"/>
      <sheetName val="50.2"/>
      <sheetName val="L-R (Sari Valas)-2012"/>
      <sheetName val="NERACA (Sari Valas)-2012"/>
      <sheetName val="WBS-Thamrin"/>
      <sheetName val="WBS-Pejaten"/>
      <sheetName val="WBS-Yogyakarta"/>
      <sheetName val="WBS-Banyumanik"/>
      <sheetName val="WBS-Basrah"/>
      <sheetName val="WBS S. Valas"/>
      <sheetName val="CUT-1"/>
      <sheetName val="WBS BATAM"/>
      <sheetName val="CUT-2"/>
      <sheetName val="Jurnal Eliminasi"/>
      <sheetName val="NerAkt2011"/>
      <sheetName val="NerPas 2011"/>
      <sheetName val="RL 2010 psat &amp; Outlet"/>
      <sheetName val="WBS-Kanpus"/>
      <sheetName val="ekuitas (2)"/>
      <sheetName val="NERACA KON"/>
      <sheetName val="LR PERBANDINGAN RKAP"/>
      <sheetName val="LR KONSOL"/>
      <sheetName val="NERACA INDUK"/>
      <sheetName val="NERACA (Sari Valas)"/>
      <sheetName val="L-R (Sari Valas)"/>
      <sheetName val="CUT"/>
      <sheetName val="L-R KONSOL"/>
      <sheetName val="CUT "/>
      <sheetName val="PERUBAHAN MODAL 2011"/>
      <sheetName val="Gabungan Outlet"/>
      <sheetName val="NERACA PERBANDINGAN (2011-2010)"/>
      <sheetName val="PRBHN MODAL"/>
      <sheetName val="ratio keu"/>
      <sheetName val="ARUS KAS 2011"/>
      <sheetName val="CUT 4"/>
      <sheetName val="laba-rugi kons"/>
      <sheetName val="L-R KONSOL(Dalam Jutaan)"/>
      <sheetName val="Perbandingan Investasi"/>
      <sheetName val="Perhitungan Pjk Tangguhan"/>
      <sheetName val="koreksi temuan KAP"/>
      <sheetName val="koreksi Audit 2009"/>
      <sheetName val="JK WBS Gab."/>
      <sheetName val="WBS Gabungan"/>
      <sheetName val="WBS Audited"/>
      <sheetName val="AJE FINAL"/>
      <sheetName val="jk kp"/>
      <sheetName val="WBS Kanpus"/>
      <sheetName val="JK Jatim"/>
      <sheetName val="JK Jateng"/>
      <sheetName val="WBS Jatim"/>
      <sheetName val="WBSJateng"/>
      <sheetName val="JK PEJATEN"/>
      <sheetName val="WBS PEJATEN"/>
      <sheetName val="LRkons"/>
      <sheetName val="JK Sarivalas"/>
      <sheetName val="SARI VALAS"/>
      <sheetName val="JK DKI"/>
      <sheetName val="WBSDKI"/>
      <sheetName val="Opini 2"/>
      <sheetName val="Uraian"/>
      <sheetName val="ctt lap"/>
      <sheetName val="EQ (2)"/>
      <sheetName val="Note's (3)"/>
      <sheetName val="PL-08"/>
      <sheetName val="CF-08"/>
      <sheetName val="Jrnl_Rstd"/>
      <sheetName val="TB-All Unit (3)"/>
      <sheetName val="NS (2)"/>
      <sheetName val="Rgks Operasi"/>
      <sheetName val="Note's (2)"/>
      <sheetName val="PAJE2009"/>
      <sheetName val="CAJE2008"/>
      <sheetName val="TB-KANDIR"/>
      <sheetName val="TB-PKS_LUWU1"/>
      <sheetName val="TB-BETELEME"/>
      <sheetName val="TB-CAMMING02"/>
      <sheetName val="TB-TAKALAR"/>
      <sheetName val="TB-MALILI"/>
      <sheetName val="TB-KEERA"/>
      <sheetName val="TB-ASERA(I)"/>
      <sheetName val="TB-BPPGnew"/>
      <sheetName val="TB.BONE"/>
      <sheetName val="TB-TOMATA(I)"/>
      <sheetName val="PTPN.X"/>
      <sheetName val="TB-KABARU"/>
      <sheetName val="TB-AWAYA"/>
      <sheetName val="TB-MAROANGIN"/>
      <sheetName val="KorTomata"/>
      <sheetName val="TB-JPONTO"/>
      <sheetName val="TB-ASERA(P)"/>
      <sheetName val="TB-TOMATA(P)"/>
      <sheetName val="TB-KOLAKA"/>
      <sheetName val="TB-MIRA"/>
      <sheetName val="TM-Tomata"/>
      <sheetName val="TesPB"/>
      <sheetName val="TesB-1"/>
      <sheetName val="TB-BPPG02"/>
      <sheetName val="Index KKP Manual"/>
      <sheetName val="pERK-N XIV"/>
      <sheetName val="AC033212"/>
      <sheetName val="RE.In Vs SC"/>
      <sheetName val="ANPmaro"/>
      <sheetName val="ANPkola"/>
      <sheetName val="KorLuwu"/>
      <sheetName val="KorMira"/>
      <sheetName val="Note's"/>
      <sheetName val="TB-All Unit"/>
      <sheetName val="Int.03"/>
      <sheetName val="YearEnd02"/>
      <sheetName val="FA Fcl 2006"/>
      <sheetName val="2005 - rev"/>
      <sheetName val="RPT"/>
      <sheetName val="FACT  LOAN"/>
      <sheetName val="USD-BAL"/>
      <sheetName val="RP-BAL"/>
      <sheetName val="A R"/>
      <sheetName val="PAID"/>
      <sheetName val="FE-1770-IV"/>
      <sheetName val="FI-1770-IV"/>
      <sheetName val="TT Detail"/>
      <sheetName val="EstateAddTax'04"/>
      <sheetName val="OMAddnTax'04"/>
      <sheetName val="OMDisp2004 (2)"/>
      <sheetName val="EstateDisp2004"/>
      <sheetName val="OMDisp2004"/>
      <sheetName val="Trial"/>
      <sheetName val="KI"/>
      <sheetName val="B.1.1"/>
      <sheetName val="B.1.2"/>
      <sheetName val="B.1.3"/>
      <sheetName val="B.3.1"/>
      <sheetName val="VS"/>
      <sheetName val="NVS"/>
      <sheetName val="incentive"/>
      <sheetName val="B.4.1"/>
      <sheetName val="baikan"/>
      <sheetName val="B5"/>
      <sheetName val="21wp"/>
      <sheetName val="E1 (21)A"/>
      <sheetName val="E1 (21)B"/>
      <sheetName val="E2 (22)"/>
      <sheetName val="E3 (23)"/>
      <sheetName val="E4 (4(2))"/>
      <sheetName val="E5 (26)"/>
      <sheetName val="E6 (PPN&amp;BM)"/>
      <sheetName val="(STP PPN)"/>
      <sheetName val="E7 (PBB)"/>
      <sheetName val="Exx (BPHTB)"/>
      <sheetName val="E9 (Komp)"/>
      <sheetName val="硸硸en"/>
      <sheetName val="pilbtm"/>
      <sheetName val="Kodering"/>
      <sheetName val="jurnalbtm"/>
      <sheetName val="kori"/>
      <sheetName val="WS Jakarta"/>
      <sheetName val="kORBTM"/>
      <sheetName val="WS Btm"/>
      <sheetName val="WSGab"/>
      <sheetName val="pil"/>
      <sheetName val="shu"/>
      <sheetName val="akas"/>
      <sheetName val="Daf-Rek"/>
      <sheetName val="Worksheet99"/>
      <sheetName val="Jurnal,Mutasi&amp;Saldo"/>
      <sheetName val="No.Rekening"/>
      <sheetName val="Installment"/>
      <sheetName val="Bubes"/>
      <sheetName val="CGM"/>
      <sheetName val="STATE"/>
      <sheetName val="BALSHEET"/>
      <sheetName val="Tab perkiraan"/>
      <sheetName val="NRC Saldo"/>
      <sheetName val="BB.AKT.LANCAR "/>
      <sheetName val="BB.KW.LANCAR"/>
      <sheetName val="BB.AKT.TETAP"/>
      <sheetName val="KW.JK.PJG"/>
      <sheetName val="BB.BIAYA"/>
      <sheetName val="BB.PENDAPATAN"/>
      <sheetName val="tabel perkiraan"/>
      <sheetName val="BB.AKTIVA LANCAR "/>
      <sheetName val="BB.KEWAJIBAN LANCAR"/>
      <sheetName val="BB.AKTIVA TETAP"/>
      <sheetName val="KEWAJIBAN JANGKA PANJANG"/>
      <sheetName val="Daftar Aktiva Tetap"/>
      <sheetName val="Laporan Laba Rugi"/>
      <sheetName val="KEWAJIBAN J.PANJANG"/>
      <sheetName val="Tab.Perkiraan"/>
      <sheetName val="KW.JK.PANJANG"/>
      <sheetName val="@INA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Attachments-2"/>
      <sheetName val="Lampiran-2"/>
      <sheetName val="Fiscal Depreciation"/>
      <sheetName val="Prepaid tax Art 23 (E)"/>
      <sheetName val="Prepaid tax Art 23"/>
      <sheetName val="entertainment (E)"/>
      <sheetName val="1771-y (eng)"/>
      <sheetName val="Financial Statement"/>
      <sheetName val="Attachment "/>
      <sheetName val="Attachment  (2)"/>
      <sheetName val="FA Reconcil"/>
      <sheetName val="PENYUSUT"/>
      <sheetName val="Art.23 recon"/>
      <sheetName val="P_001 "/>
      <sheetName val="P_100 "/>
      <sheetName val="P_200"/>
      <sheetName val="P_300"/>
      <sheetName val="P_400"/>
      <sheetName val="P_500 LO Other accrued"/>
      <sheetName val="P_600 Accr. EIP-SIP"/>
      <sheetName val="N - Lead"/>
      <sheetName val="SURL"/>
      <sheetName val="test of Average Interest"/>
      <sheetName val="fm14(Tabungan)"/>
      <sheetName val="Test of Witholding Tax"/>
      <sheetName val="Sum (2)"/>
      <sheetName val="Consol Trial"/>
      <sheetName val="REport Format"/>
      <sheetName val="Jurnal Reklas"/>
      <sheetName val="Consol eliminasi"/>
      <sheetName val="CF Parent FR"/>
      <sheetName val="CF Parent 2006 "/>
      <sheetName val="BS accounts"/>
      <sheetName val="PL accounts"/>
      <sheetName val="MarketPrice"/>
      <sheetName val=" Disk"/>
      <sheetName val="SUN"/>
      <sheetName val="SSB-Rp"/>
      <sheetName val="SSB-Vls"/>
      <sheetName val="SubDebt"/>
      <sheetName val="LRK"/>
      <sheetName val="PEND+BIAYA"/>
      <sheetName val="NONCAB"/>
      <sheetName val="lr treas"/>
      <sheetName val="Sandi laba rugi"/>
      <sheetName val="trf tht"/>
      <sheetName val="trf 7 jht"/>
      <sheetName val="rkpttl"/>
      <sheetName val="rekap-pasif"/>
      <sheetName val="DAFT-PS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  <sheetName val="DATAPASIF"/>
      <sheetName val="hit-311202"/>
      <sheetName val="tr-28202"/>
      <sheetName val="TRP"/>
      <sheetName val="giro_bbl (2)"/>
      <sheetName val="dep_bbl"/>
      <sheetName val="dep_bbl (2)"/>
      <sheetName val="EXRA"/>
      <sheetName val="trf d-i"/>
      <sheetName val="p***"/>
      <sheetName val="**_x0000__x0000_"/>
      <sheetName val="Scen Formula"/>
      <sheetName val="ASBS"/>
      <sheetName val="ASIS"/>
      <sheetName val="ASOFF"/>
      <sheetName val="Scen Print"/>
      <sheetName val="HL"/>
      <sheetName val="BI_Ratios"/>
      <sheetName val="Soundness"/>
      <sheetName val="Gen Asum"/>
      <sheetName val="OFF $"/>
      <sheetName val="GOI Bonds"/>
      <sheetName val="Securities"/>
      <sheetName val="Int Exp"/>
      <sheetName val="OHC"/>
      <sheetName val="NPL"/>
      <sheetName val="Ec_Sec"/>
      <sheetName val="KUK"/>
      <sheetName val="Modal Saham4"/>
      <sheetName val="Modal Saham5"/>
      <sheetName val="Laba Saham"/>
      <sheetName val="RF ESOP"/>
      <sheetName val="T MEMO"/>
      <sheetName val="T LEAD 06"/>
      <sheetName val="D.2.1.1 (2)"/>
      <sheetName val="H.1.1 Penyertaan Dec'06"/>
      <sheetName val="T.3 EPS"/>
      <sheetName val="T.3.1EPS (PBC)."/>
      <sheetName val="T.3.2 EPS Dillution"/>
      <sheetName val="T.3.2.1BNII (PBC)"/>
      <sheetName val="T.3.2"/>
      <sheetName val="T.4.Modal Dasar"/>
      <sheetName val="T.5.AGIO SAHAM"/>
      <sheetName val="T.6.ESOP"/>
      <sheetName val="T.6.1.Rekap"/>
      <sheetName val="T.6.2"/>
      <sheetName val="T.6.3"/>
      <sheetName val="T.6.3.1"/>
      <sheetName val="T.6.3.2"/>
      <sheetName val="T.6.3.3"/>
      <sheetName val="T.6.3.4 AJE"/>
      <sheetName val="EY-BlackScholes"/>
      <sheetName val="U.4.4.BTK."/>
      <sheetName val="T.T.Conf Control"/>
      <sheetName val="Tax Memo"/>
      <sheetName val="O.2 Report Format"/>
      <sheetName val="O.2 CITC"/>
      <sheetName val="O.2.1 CITC Detail"/>
      <sheetName val="Deferred Tax 31 Dec 2006"/>
      <sheetName val="O.3 - Tax art 21-HO"/>
      <sheetName val="O.4 - Tax art 23,26"/>
      <sheetName val="O.5 - Tax art 25"/>
      <sheetName val="Tax Assesment"/>
      <sheetName val="Tax Status"/>
      <sheetName val="Tax Assesment (2)"/>
      <sheetName val="Icome"/>
      <sheetName val="Aset"/>
      <sheetName val="RL Fiskal"/>
      <sheetName val="Note-fiscal"/>
      <sheetName val="Receiv"/>
      <sheetName val="AB"/>
      <sheetName val="Neraca_Eng"/>
      <sheetName val="Ekuitas_Eng"/>
      <sheetName val="CF_Eng"/>
      <sheetName val="LR_Eng"/>
      <sheetName val="NERACA_cashflow"/>
      <sheetName val="tb round (2)"/>
      <sheetName val="WBS-PL SI 2011-update"/>
      <sheetName val="AJE-RJE Gabung"/>
      <sheetName val="LHEK"/>
      <sheetName val="PAJAK_KINI"/>
      <sheetName val="Catlap-new"/>
      <sheetName val="Mutasi AT"/>
      <sheetName val="Piutang-CKPN"/>
      <sheetName val="Homestatement 2011"/>
      <sheetName val="contoh Tbk"/>
      <sheetName val="LS-B"/>
      <sheetName val="B-1(rev)"/>
      <sheetName val="B-2.1"/>
      <sheetName val="B-2.2"/>
      <sheetName val="B-2.3"/>
      <sheetName val="B-5 (2)"/>
      <sheetName val="B-6 (Avloop) (2)"/>
      <sheetName val="pending konfirmasi"/>
      <sheetName val="JDP I"/>
      <sheetName val="jdp1"/>
      <sheetName val="IE"/>
      <sheetName val="PPIDN"/>
      <sheetName val="NRC "/>
      <sheetName val="LAK"/>
      <sheetName val="Kas Harian"/>
      <sheetName val="Kas Kecil"/>
      <sheetName val="Bank Bel"/>
      <sheetName val="Bank Rp"/>
      <sheetName val="Bank US"/>
      <sheetName val="Bank Eu"/>
      <sheetName val="Ak Tetap"/>
      <sheetName val="Expenses Surveyor"/>
      <sheetName val="Masda"/>
      <sheetName val="Retur_Pemb"/>
      <sheetName val="FP_KLR"/>
      <sheetName val="FP_MSK"/>
      <sheetName val="1195"/>
      <sheetName val="1195-1"/>
      <sheetName val="1195-2"/>
      <sheetName val="1195A2"/>
      <sheetName val="119A11"/>
      <sheetName val="1195A1"/>
      <sheetName val="1195A3"/>
      <sheetName val="1195B1"/>
      <sheetName val="1195B2"/>
      <sheetName val="1195B3"/>
      <sheetName val="1195B31"/>
      <sheetName val="1195B4"/>
      <sheetName val="1195BM"/>
      <sheetName val="1995BM1"/>
      <sheetName val="SearchLiabilities"/>
      <sheetName val="Cut Off Sales Lokal"/>
      <sheetName val="Cut Off Sales Export"/>
      <sheetName val="Cut Off Purchase"/>
      <sheetName val="CashReceipt"/>
      <sheetName val="CashDisbursement"/>
      <sheetName val="EC_2001"/>
      <sheetName val="DT2001"/>
      <sheetName val="DN_2001"/>
      <sheetName val="TaxExp"/>
      <sheetName val="Datas"/>
      <sheetName val="Double Paid"/>
      <sheetName val="Master List"/>
      <sheetName val="Trial Balance - Local Currency"/>
      <sheetName val="Trial Balance - Group Currency"/>
      <sheetName val="Trial Balance - summary"/>
      <sheetName val="ERD Accounts"/>
      <sheetName val="ERD Quality Checklist"/>
      <sheetName val="110000"/>
      <sheetName val="110000 Quality Checklist"/>
      <sheetName val="Inter Co Quality Checklist"/>
      <sheetName val="202000"/>
      <sheetName val="202000 Quality Checklist"/>
      <sheetName val="210100"/>
      <sheetName val="210100 Quality Checklist"/>
      <sheetName val="210500"/>
      <sheetName val="210500 Quality Checklist"/>
      <sheetName val="210600"/>
      <sheetName val="210600 Quality Checklist "/>
      <sheetName val="211100"/>
      <sheetName val="211100 Quality Checklist"/>
      <sheetName val="214000"/>
      <sheetName val="214100"/>
      <sheetName val="215050"/>
      <sheetName val="215100"/>
      <sheetName val="215150"/>
      <sheetName val="215500"/>
      <sheetName val="216200"/>
      <sheetName val="119995 &amp; 209995"/>
      <sheetName val="119990"/>
      <sheetName val="119991"/>
      <sheetName val="209990"/>
      <sheetName val="FA Quality Checklist"/>
      <sheetName val="215000 Quality Checklist"/>
      <sheetName val="210600 Quality Checklist"/>
      <sheetName val="214000 Quality Checklist"/>
      <sheetName val="214100 Quality Checklist"/>
      <sheetName val="215050 Quality Checklist"/>
      <sheetName val="215100 Quality Checklist "/>
      <sheetName val="215150 Quality Checklist  "/>
      <sheetName val="215500 Quality Checklist  "/>
      <sheetName val="216200 Quality Checklist   "/>
      <sheetName val="Current Data"/>
      <sheetName val="Tracking Chart"/>
      <sheetName val="Account Information"/>
      <sheetName val="PivotData"/>
      <sheetName val="Summary PPh 21 Cfm Masa"/>
      <sheetName val="Kalk Dec 2009"/>
      <sheetName val="Augst"/>
      <sheetName val="ST"/>
      <sheetName val="Data-ST-Ori"/>
      <sheetName val="Data-AS-Ori"/>
      <sheetName val="1721-A1_ST"/>
      <sheetName val="1721-A1_AS"/>
      <sheetName val="OP TRANPORTATION (2)"/>
      <sheetName val="OP TRANPORTATION"/>
      <sheetName val="OP OTHERS (2)"/>
      <sheetName val="**01"/>
      <sheetName val="vlookup"/>
      <sheetName val="160100"/>
      <sheetName val="220100"/>
      <sheetName val="030200"/>
      <sheetName val="100200"/>
      <sheetName val="250200"/>
      <sheetName val="160200"/>
      <sheetName val="030300"/>
      <sheetName val="100300"/>
      <sheetName val="150300"/>
      <sheetName val="050400"/>
      <sheetName val="140400"/>
      <sheetName val="280400"/>
      <sheetName val="040500"/>
      <sheetName val="120500"/>
      <sheetName val="290500"/>
      <sheetName val="310500"/>
      <sheetName val="070600"/>
      <sheetName val="190600"/>
      <sheetName val="Neraca dan RL"/>
      <sheetName val="wbs Timika"/>
      <sheetName val="VESLIS97"/>
      <sheetName val="VESLIS97 (2)"/>
      <sheetName val="pertanyaan to Sumanto"/>
      <sheetName val="Anrev 06"/>
      <sheetName val="Anrev BS"/>
      <sheetName val="A-100 Cash &amp; Bank"/>
      <sheetName val="piutang whole"/>
      <sheetName val="B-100 Piutang"/>
      <sheetName val="Selisih Piutang"/>
      <sheetName val="B-200 Piutang MF Bisanta ok "/>
      <sheetName val=" B-300 Piut MF Permata ok "/>
      <sheetName val="B-400 piutang MF Anggrek"/>
      <sheetName val="B-500 Piut MF MPI"/>
      <sheetName val="B-600 Piutang MKSP Anggrek"/>
      <sheetName val="B-700 Piut bagi hasil Permata"/>
      <sheetName val="B-800 Piut bagi hasil anggrek"/>
      <sheetName val="B-900 Piut lainnya"/>
      <sheetName val="B-1000 Piut Hub Istimewa"/>
      <sheetName val="L-100 Prpaymet &amp; Other Assets"/>
      <sheetName val="L-200 Uang Muka Asuransi "/>
      <sheetName val="L-300 Pjk Dibayar Dimuka"/>
      <sheetName val="L-400"/>
      <sheetName val="U-100 FA"/>
      <sheetName val="DD-100 Current Liabilities"/>
      <sheetName val="DD-200 Hutang PPn"/>
      <sheetName val="DD-300 Hutang PPh21"/>
      <sheetName val="DD-400 Hutang Lainya"/>
      <sheetName val="FF-Income Taxes"/>
      <sheetName val="FF-200 Hutang PPh 29"/>
      <sheetName val="PP-100 HUtang Hub Istimewa"/>
      <sheetName val="SS-100 Ekuitas"/>
      <sheetName val="tahun 04 sehrsnya"/>
      <sheetName val="   "/>
      <sheetName val="Manf kary - used"/>
      <sheetName val="Manfaat karyawan"/>
      <sheetName val="Sheet 1"/>
      <sheetName val="MF"/>
      <sheetName val="Anrev"/>
      <sheetName val="Master_Produk"/>
      <sheetName val="Summary List"/>
      <sheetName val="PSI"/>
      <sheetName val="PST FG Valuation"/>
      <sheetName val="P&amp;L Dest&amp;Shipping Point -Sep"/>
      <sheetName val="Sales Analysis - Location"/>
      <sheetName val="PL PSI F"/>
      <sheetName val="Pemalang"/>
      <sheetName val="Pasuruan"/>
      <sheetName val="Pasuruan Crab"/>
      <sheetName val="Pasuruan Fish"/>
      <sheetName val="PSIC"/>
      <sheetName val="Per Pound Data Fish"/>
      <sheetName val="Sulawesi Crab"/>
      <sheetName val="Sulawesi Fish"/>
      <sheetName val="PL Consolidate"/>
      <sheetName val="Per Pound Data Crab "/>
      <sheetName val="PL Consolidate Crab"/>
      <sheetName val="PL Consolidate Fish"/>
      <sheetName val="Lampung Crab"/>
      <sheetName val="PL Consolidate Value Added"/>
      <sheetName val="Per Pound Value Added"/>
      <sheetName val="Lampung Value Added"/>
      <sheetName val="PSiF"/>
      <sheetName val="PSP Val"/>
      <sheetName val="PSI V"/>
      <sheetName val="Per Pound Data Value Added"/>
      <sheetName val="PL Consolidate Val"/>
      <sheetName val="PSN fish"/>
      <sheetName val="PSIPLV"/>
      <sheetName val="All Product Sold VA"/>
      <sheetName val="All Product Sold Fish"/>
      <sheetName val="PSI Crab PL"/>
      <sheetName val="All Product Sold"/>
      <sheetName val="Per Pound Data Fish."/>
      <sheetName val="Per Pound Data Value Added."/>
      <sheetName val="Sales Analy - Product Line"/>
      <sheetName val="GSS"/>
      <sheetName val="SPAB"/>
      <sheetName val="C-Lead"/>
      <sheetName val="E.1.2"/>
      <sheetName val="AR-BARU"/>
      <sheetName val="Other AR"/>
      <sheetName val="G1-lead"/>
      <sheetName val="Ad. Suppliier"/>
      <sheetName val="K-5.1"/>
      <sheetName val="k.6"/>
      <sheetName val="1771 "/>
      <sheetName val="CF-Combined"/>
      <sheetName val="COGS-CONSOL"/>
      <sheetName val="BS-CONSOL"/>
      <sheetName val="PL-CONSOL"/>
      <sheetName val="TJ2003"/>
      <sheetName val="AJE&amp;RJE-KRG"/>
      <sheetName val="COGS-KRG"/>
      <sheetName val="PL-KRG"/>
      <sheetName val="BS-KRG"/>
      <sheetName val="BS-SMG"/>
      <sheetName val="PL-SMG"/>
      <sheetName val="COGS-SMG"/>
      <sheetName val="AJE&amp;RJE-SMG"/>
      <sheetName val="TBPEP2"/>
      <sheetName val="TBALL"/>
      <sheetName val="J1.A"/>
      <sheetName val="J1.B"/>
      <sheetName val="E1.A"/>
      <sheetName val="E1.B"/>
      <sheetName val="dpt In-House feb'02"/>
      <sheetName val="dpt In-House feb'03"/>
      <sheetName val="dpt In-House Feb '03"/>
      <sheetName val="In-direct"/>
      <sheetName val="Art 23"/>
      <sheetName val=" "/>
      <sheetName val="ROOM_04"/>
      <sheetName val="FBD_05"/>
      <sheetName val="TLP_06"/>
      <sheetName val="LAUNDRY_07"/>
      <sheetName val="PARKING_10"/>
      <sheetName val="KIOSK_11"/>
      <sheetName val="BSCENTER_08"/>
      <sheetName val="OTH INCOME_09"/>
      <sheetName val="ADMGEN_12"/>
      <sheetName val="H.RESOURCES_15"/>
      <sheetName val="MARKETING_13"/>
      <sheetName val="POMEC_14"/>
      <sheetName val="OWNERS"/>
      <sheetName val="COMP INC_01"/>
      <sheetName val="PER1000"/>
      <sheetName val="STATOF INC1_02"/>
      <sheetName val="STATOF INC 2_03"/>
      <sheetName val="HOUSE LNDRY"/>
      <sheetName val="FBANALIS"/>
      <sheetName val="ROOM STSC"/>
      <sheetName val="OPS. RATIO"/>
      <sheetName val="PROFITLOSS"/>
      <sheetName val="RESERVE"/>
      <sheetName val="DEFFERED CHG"/>
      <sheetName val="BLC SHEET"/>
      <sheetName val="BAL BECKUP"/>
      <sheetName val="SERVICE TAX"/>
      <sheetName val="CURR ASSET"/>
      <sheetName val="GUEST CREDIT"/>
      <sheetName val="BANKREV"/>
      <sheetName val="BANK EXPENSE"/>
      <sheetName val="BANK EMERGENCY"/>
      <sheetName val="AP PROFORMA"/>
      <sheetName val="MAINT REPORT"/>
      <sheetName val="AR OTHER"/>
      <sheetName val="STRUCTURAL"/>
      <sheetName val="SYNTHESIS01"/>
      <sheetName val="STATE01-02"/>
      <sheetName val="WCF Direct"/>
      <sheetName val="Non Financial"/>
      <sheetName val="WBS-Beg"/>
      <sheetName val="Fiscal0901"/>
      <sheetName val="KSO NDE0901"/>
      <sheetName val="Fiscal0900"/>
      <sheetName val="KSO NDE0900"/>
      <sheetName val="Debitur &amp; Creditur"/>
      <sheetName val="DEFER-TAX"/>
      <sheetName val="B-BS-IC-CF-HL-RAT"/>
      <sheetName val="C-NOTES"/>
      <sheetName val="D-COST&amp;EXP"/>
      <sheetName val="E-REV-CS-INV"/>
      <sheetName val="A-GL-SUMMARY"/>
      <sheetName val="ACS"/>
      <sheetName val="DET_ADJ"/>
      <sheetName val="P-A"/>
      <sheetName val="SUMM-P-A"/>
      <sheetName val="DT "/>
      <sheetName val="COST-SHIP"/>
      <sheetName val="B-BS-IC-CF-HL-RAT (PA)"/>
      <sheetName val="RAW DATA AX"/>
      <sheetName val="TB0609"/>
      <sheetName val="TB0509"/>
      <sheetName val="TB0409"/>
      <sheetName val="TB0309"/>
      <sheetName val="TB 0209"/>
      <sheetName val="TB 0109"/>
      <sheetName val="TB 1208 AUDIT"/>
      <sheetName val="BS-FISC"/>
      <sheetName val="ADJ-FISC"/>
      <sheetName val="GOV-REP"/>
      <sheetName val="汽配车间扩建"/>
      <sheetName val="锅炉"/>
      <sheetName val="喷漆房"/>
      <sheetName val="C-6-ss"/>
      <sheetName val="C_6_ss"/>
      <sheetName val="P for DD- interim"/>
      <sheetName val="Interco - interim"/>
      <sheetName val="Finals"/>
      <sheetName val="P for DD (2)"/>
      <sheetName val="P for DD_ interim"/>
      <sheetName val="F-4(04-entry)"/>
      <sheetName val="审定表"/>
      <sheetName val="其它应收款调整事项"/>
      <sheetName val="12月单位往来"/>
      <sheetName val="个人往来12月帐龄"/>
      <sheetName val="其他应收帐款底稿"/>
      <sheetName val="6月帐龄"/>
      <sheetName val="12月函证"/>
      <sheetName val="6月单位往来_"/>
      <sheetName val="应收帐款调整事项"/>
      <sheetName val="调整后帐龄及明细表"/>
      <sheetName val="坏帐准备"/>
      <sheetName val="帐龄分析调整"/>
      <sheetName val="串户调整分录"/>
      <sheetName val="预收帐款调整事项"/>
      <sheetName val="99年补做收入明细"/>
      <sheetName val="应收帐款贷方"/>
      <sheetName val="预收帐款"/>
      <sheetName val="帐龄及明细表"/>
      <sheetName val="3年以上帐龄明细表"/>
      <sheetName val="应收帐款贷方明细"/>
      <sheetName val="2000年补做收入"/>
      <sheetName val="银行存款余额验证表"/>
      <sheetName val="FF_1"/>
      <sheetName val="RM02-1~7"/>
      <sheetName val="RM02-1"/>
      <sheetName val="RM02-2"/>
      <sheetName val="RM02-3"/>
      <sheetName val="RM02-4"/>
      <sheetName val="RM02-5"/>
      <sheetName val="RM02-6"/>
      <sheetName val="RM02-7"/>
      <sheetName val="02-1~7材料库"/>
      <sheetName val="02-1~7铸件库"/>
      <sheetName val="02-1~7割草机材料"/>
      <sheetName val="02-1~7自制半成品割草机"/>
      <sheetName val="02-1~7自制半成品富豪"/>
      <sheetName val="RM02-8~12"/>
      <sheetName val="RM02-8"/>
      <sheetName val="RM02-9"/>
      <sheetName val="RM02-10"/>
      <sheetName val="RM02-11"/>
      <sheetName val="RM02-12"/>
      <sheetName val="02-8~12铸造主材明细"/>
      <sheetName val="02-8~12加工主材明细"/>
      <sheetName val="02-8~12铸造辅材"/>
      <sheetName val="02-8~12加工辅材"/>
      <sheetName val="02-8~12铸造修理材料"/>
      <sheetName val="02-8~12加工修理材料"/>
      <sheetName val="02-8~12包装材料"/>
      <sheetName val="02-8~12割草机材料"/>
      <sheetName val="02-8~12包装物"/>
      <sheetName val="02-8~12铸造低值易耗品"/>
      <sheetName val="02-8~12加工低值易耗品"/>
      <sheetName val="02-8~12自制半成品割草"/>
      <sheetName val="房屋"/>
      <sheetName val="C-7(RM)"/>
      <sheetName val="C-8(FG)"/>
      <sheetName val="Interco _ interim"/>
      <sheetName val="现金盘点"/>
      <sheetName val="现金清点表"/>
      <sheetName val="科目余额表"/>
      <sheetName val="应收帐款"/>
      <sheetName val="其他应收帐款"/>
      <sheetName val="预付帐款"/>
      <sheetName val="索引表"/>
      <sheetName val="报表附注"/>
      <sheetName val="收入验证"/>
      <sheetName val="函证清单"/>
      <sheetName val="银行存款余额明细表"/>
      <sheetName val="银行未达帐验证表"/>
      <sheetName val="存货明细"/>
      <sheetName val="存货盘点表"/>
      <sheetName val="固定资产盘点表"/>
      <sheetName val="存货计价抽查表"/>
      <sheetName val="固定资产及累计折旧"/>
      <sheetName val="固定资产变动情况明细表"/>
      <sheetName val="固定资产变动损益明细"/>
      <sheetName val="短期借款明细表"/>
      <sheetName val="长期借款明细表"/>
      <sheetName val="工资明细表"/>
      <sheetName val="工资附加计算明细表"/>
      <sheetName val="增值税销项税金及附加计算表"/>
      <sheetName val="销值收入成本明细汇总"/>
      <sheetName val="销售收入明细及分析"/>
      <sheetName val="生产成本明细核对表"/>
      <sheetName val="生产成本及销售成本倒轧表"/>
      <sheetName val="制造费用明细汇总表"/>
      <sheetName val="制造费用变动分析表"/>
      <sheetName val="管理费用明细汇总表"/>
      <sheetName val="管理费用变动分析表"/>
      <sheetName val="营业费用明细汇总表"/>
      <sheetName val="营业费用变动分析表"/>
      <sheetName val="财务费用明细汇总表"/>
      <sheetName val="财务费用变动分析表"/>
      <sheetName val="应交税金"/>
      <sheetName val="CA95 "/>
      <sheetName val="DFA95"/>
      <sheetName val="FORMC"/>
      <sheetName val="108"/>
      <sheetName val="RA COST"/>
      <sheetName val="EXCHANGE "/>
      <sheetName val="com00"/>
      <sheetName val="Ramblings"/>
      <sheetName val="Amemo"/>
      <sheetName val="LS "/>
      <sheetName val="A22G"/>
      <sheetName val="A23"/>
      <sheetName val="A23-client"/>
      <sheetName val="A30"/>
      <sheetName val="A52-client"/>
      <sheetName val="A53-Client"/>
      <sheetName val="A59"/>
      <sheetName val="A81G"/>
      <sheetName val="Cmemo"/>
      <sheetName val="Fmemo"/>
      <sheetName val="F8"/>
      <sheetName val="F9"/>
      <sheetName val="F10"/>
      <sheetName val="F11"/>
      <sheetName val="FF1.1"/>
      <sheetName val="FF1.2"/>
      <sheetName val="FF1.3"/>
      <sheetName val="FF1.4"/>
      <sheetName val="FF1.5"/>
      <sheetName val="I3.1"/>
      <sheetName val="I3.2"/>
      <sheetName val="K102"/>
      <sheetName val="Kmemo"/>
      <sheetName val="N4"/>
      <sheetName val="N5"/>
      <sheetName val="N6"/>
      <sheetName val="O5"/>
      <sheetName val="Smemo"/>
      <sheetName val="U2memo1"/>
      <sheetName val="U2memo2"/>
      <sheetName val="U5.1"/>
      <sheetName val="U7,1"/>
      <sheetName val="U7.2"/>
      <sheetName val="U7.3"/>
      <sheetName val="U8"/>
      <sheetName val="U11"/>
      <sheetName val="E3x"/>
      <sheetName val="E4x"/>
      <sheetName val="E5x"/>
      <sheetName val="F4x"/>
      <sheetName val="G2x"/>
      <sheetName val="G3x"/>
      <sheetName val="N3x"/>
      <sheetName val="N4x"/>
      <sheetName val="U2x"/>
      <sheetName val="U3.2x"/>
      <sheetName val="U5.1x"/>
      <sheetName val="U6x"/>
      <sheetName val="Kxx"/>
      <sheetName val="余额表"/>
      <sheetName val="制造费用"/>
      <sheetName val="生产成本"/>
      <sheetName val="应收票据"/>
      <sheetName val="产成品"/>
      <sheetName val="Kx"/>
      <sheetName val="存货"/>
      <sheetName val="Nx"/>
      <sheetName val="Nxx"/>
      <sheetName val="集团医院资产表"/>
      <sheetName val="集团医院利润表"/>
      <sheetName val="集团医院分录"/>
      <sheetName val="筹建处资产表"/>
      <sheetName val="筹建处利润表"/>
      <sheetName val="筹建处分录"/>
      <sheetName val="大香港资产表"/>
      <sheetName val="大香港利润表"/>
      <sheetName val="大香港分录"/>
      <sheetName val="老孙家食品资产表"/>
      <sheetName val="老孙家食品利润表"/>
      <sheetName val="老孙家食品分录"/>
      <sheetName val="Lap Piutang"/>
      <sheetName val="SoAwal"/>
      <sheetName val="Jsp"/>
      <sheetName val="Listbyr"/>
      <sheetName val="SoAkhir"/>
      <sheetName val="So Akhir New"/>
      <sheetName val="Jan_Apr 09"/>
      <sheetName val="bca"/>
      <sheetName val="US_"/>
      <sheetName val="lippo"/>
      <sheetName val="So Akhir New _2_"/>
      <sheetName val="Fp"/>
      <sheetName val="412src2"/>
      <sheetName val="SELISIHKURSSOURCE"/>
      <sheetName val="T- 1"/>
      <sheetName val="T-1.1"/>
      <sheetName val="T-1.4"/>
      <sheetName val="Operating Income"/>
      <sheetName val="ARK-WBS"/>
      <sheetName val="ARK-WPL"/>
      <sheetName val="wbskons1"/>
      <sheetName val="wbskons2"/>
      <sheetName val="wplkons"/>
      <sheetName val="ADJST"/>
      <sheetName val="investment  &amp; income from sub"/>
      <sheetName val="related  party"/>
      <sheetName val="TB Summary"/>
      <sheetName val="TB UEPN"/>
      <sheetName val="BS AKR-UEPN"/>
      <sheetName val="IS AKR-UEPN"/>
      <sheetName val="JTT WBS"/>
      <sheetName val="JTT WPL"/>
      <sheetName val="AR-AP RELATED  PARTY"/>
      <sheetName val="CEK PROFIT SUB"/>
      <sheetName val="TB ANDAHANESA"/>
      <sheetName val="current month"/>
      <sheetName val="SIC-WP"/>
      <sheetName val="PL-S"/>
      <sheetName val="PL-Oct-Nov-Dec"/>
      <sheetName val="wplkons-comp"/>
      <sheetName val="wplkons-Oct"/>
      <sheetName val="wplkons-Oct-YEF"/>
      <sheetName val="wplkons-sept"/>
      <sheetName val="KLZ Section I"/>
      <sheetName val="BGT SIC IS"/>
      <sheetName val="ISSIC11"/>
      <sheetName val="FS SIC"/>
      <sheetName val="Interco (2)"/>
      <sheetName val="wbs1-khalista"/>
      <sheetName val="wbs2-khalista"/>
      <sheetName val="wpl-khalista"/>
      <sheetName val="E- Memo"/>
      <sheetName val="Subsequent"/>
      <sheetName val="E.a"/>
      <sheetName val="E- Aging"/>
      <sheetName val="Aging Analysis"/>
      <sheetName val="BD-Procedures"/>
      <sheetName val="Reduction of BD"/>
      <sheetName val="AR-Overdue (Top10)"/>
      <sheetName val="Comparison Aging"/>
      <sheetName val="E-4 (sum)"/>
      <sheetName val="E-6.1"/>
      <sheetName val="E-6.2"/>
      <sheetName val="E-6.3"/>
      <sheetName val="E-6.4 edited"/>
      <sheetName val="E-6.5"/>
      <sheetName val="Payment against contract"/>
      <sheetName val="C Lead 04"/>
      <sheetName val="Q- Lead"/>
      <sheetName val="Q2 Leasing"/>
      <sheetName val="Q4 Repayment Schedule"/>
      <sheetName val="Q5 Covenants"/>
      <sheetName val="U-4.2.1"/>
      <sheetName val="U-4.2.2"/>
      <sheetName val="U-4.2.3"/>
      <sheetName val="U-4.2.4"/>
      <sheetName val="U-4.2.5"/>
      <sheetName val="Rekap Sales"/>
      <sheetName val="U1-4"/>
      <sheetName val="U1-5"/>
      <sheetName val="P-6"/>
      <sheetName val="P-6.1"/>
      <sheetName val="P-6.1.1"/>
      <sheetName val="P-6.1.2"/>
      <sheetName val="P-6.1.3"/>
      <sheetName val="P-6.1.4"/>
      <sheetName val="P-6.1.5"/>
      <sheetName val="P-6.1.6"/>
      <sheetName val="P-6.1.7"/>
      <sheetName val="P-6.1.8"/>
      <sheetName val="P-6.1.9"/>
      <sheetName val="P-6.1.10"/>
      <sheetName val="P-6.2"/>
      <sheetName val="P-6.3"/>
      <sheetName val="P-6.4"/>
      <sheetName val="P-6.5"/>
      <sheetName val="P-6.5.1"/>
      <sheetName val="P-6.6"/>
      <sheetName val="P-6.7"/>
      <sheetName val="P-6.8"/>
      <sheetName val="P-6.9"/>
      <sheetName val="P-6.10"/>
      <sheetName val="P-6.11"/>
      <sheetName val="P-6.12"/>
      <sheetName val="Entries"/>
      <sheetName val="A1- Asset"/>
      <sheetName val="A1- Liabilities &amp; SHE"/>
      <sheetName val="O - Lead"/>
      <sheetName val="T- Lead"/>
      <sheetName val="KUMULATIF"/>
      <sheetName val="WRITE-OFF(INT)"/>
      <sheetName val="WRITE-OFF(FBC)"/>
      <sheetName val="Leasehold"/>
      <sheetName val="Off.equip"/>
      <sheetName val="Lab equip"/>
      <sheetName val="Mechanical equip"/>
      <sheetName val="genremark"/>
      <sheetName val="intrec"/>
      <sheetName val="ins"/>
      <sheetName val="supplies"/>
      <sheetName val="preother"/>
      <sheetName val="sfa"/>
      <sheetName val="Guarantee"/>
      <sheetName val="taxpay"/>
      <sheetName val="23tenant"/>
      <sheetName val="received"/>
      <sheetName val="accrexp"/>
      <sheetName val="shortloan"/>
      <sheetName val="longloan"/>
      <sheetName val="receipt"/>
      <sheetName val="32118p"/>
      <sheetName val="91213"/>
      <sheetName val="3619PLM"/>
      <sheetName val="3619P"/>
      <sheetName val="3613"/>
      <sheetName val="3613lm"/>
      <sheetName val="3614"/>
      <sheetName val="9121"/>
      <sheetName val="25151"/>
      <sheetName val="OL-AMOUNT"/>
      <sheetName val="OL-QTY"/>
      <sheetName val="intlm"/>
      <sheetName val="intcm"/>
      <sheetName val="32118"/>
      <sheetName val="SO REKON"/>
      <sheetName val="ENDING"/>
      <sheetName val="moveP"/>
      <sheetName val="REC"/>
      <sheetName val="COGS INTRANSIT"/>
      <sheetName val="JURNAL IB"/>
      <sheetName val="dt_link"/>
      <sheetName val="trkIDR4"/>
      <sheetName val="trkUSD4"/>
      <sheetName val="cogs_sb"/>
      <sheetName val="cogs_dm"/>
      <sheetName val="cogs_ms"/>
      <sheetName val="cogs_md"/>
      <sheetName val="ms"/>
      <sheetName val="asc Jan  (2)"/>
      <sheetName val="PoRct Sby"/>
      <sheetName val="PoRct31"/>
      <sheetName val="PoGL31"/>
      <sheetName val="Move "/>
      <sheetName val="Rec Jan"/>
      <sheetName val="asc Jan "/>
      <sheetName val="117511207"/>
      <sheetName val="IB"/>
      <sheetName val="KOSONG"/>
      <sheetName val="G-1.7a"/>
      <sheetName val="G-1.7b"/>
      <sheetName val="G-1.10"/>
      <sheetName val="G-1.12"/>
      <sheetName val="G-1.14"/>
      <sheetName val="G-1.15"/>
      <sheetName val="G-1.16"/>
      <sheetName val="11370des"/>
      <sheetName val="nol"/>
      <sheetName val="NMBRG"/>
      <sheetName val="BARANG"/>
      <sheetName val="PKTBI"/>
      <sheetName val="T-4"/>
      <sheetName val="T-4.1"/>
      <sheetName val="perbulan"/>
      <sheetName val="PER BULAN"/>
      <sheetName val="PERUB KARY"/>
      <sheetName val="perub cc"/>
      <sheetName val="tabel_inc"/>
      <sheetName val="A1- Asset (Update)"/>
      <sheetName val="A1- Liabilities &amp; SHE (Update)"/>
      <sheetName val="A2 (Update)"/>
      <sheetName val="107199 SEP"/>
      <sheetName val="Move SBY"/>
      <sheetName val="Report AP"/>
      <sheetName val="FOREX MTM"/>
      <sheetName val="Monaset"/>
      <sheetName val="Interest(Jasa Giro)"/>
      <sheetName val="Time Deposit OK"/>
      <sheetName val="Amt Bunas H0 ok"/>
      <sheetName val="Bank Facy Fee H OK"/>
      <sheetName val="Rev LT Loan ok"/>
      <sheetName val="Syndication Loan Due"/>
      <sheetName val="Rev ST Loan ok"/>
      <sheetName val="Cust Deposit"/>
      <sheetName val="Interest TD"/>
      <sheetName val="TOE-Exps"/>
      <sheetName val="JUNE"/>
      <sheetName val="JAN-DEC"/>
      <sheetName val="Acquisition"/>
      <sheetName val="JAN-JAN"/>
      <sheetName val="JAN-MRT"/>
      <sheetName val="JAN-APR"/>
      <sheetName val="JAN-MAY"/>
      <sheetName val="JAN-JUNE"/>
      <sheetName val="JAN-JULY"/>
      <sheetName val="JAN-AUG"/>
      <sheetName val="JAN-SEPT"/>
      <sheetName val="JAN-OCT"/>
      <sheetName val="JAN-NOV"/>
      <sheetName val="packcont PRO"/>
      <sheetName val="SI"/>
      <sheetName val="PL pro"/>
      <sheetName val="INVpro"/>
      <sheetName val="PACK LST"/>
      <sheetName val="INVOUT"/>
      <sheetName val="shipadv"/>
      <sheetName val="PACDE"/>
      <sheetName val="MSM03"/>
      <sheetName val="NewP3S"/>
      <sheetName val="Rubah"/>
      <sheetName val="pacdec"/>
      <sheetName val="Building improvement-GHB"/>
      <sheetName val="Artwork"/>
      <sheetName val="Artwork-GHB "/>
      <sheetName val="FF&amp;E"/>
      <sheetName val="FF&amp;E-GHB "/>
      <sheetName val="K&amp;L"/>
      <sheetName val="K&amp;L-GHB "/>
      <sheetName val="Machinery-GHB "/>
      <sheetName val="SPHTL"/>
      <sheetName val="SPHTL-GHB"/>
      <sheetName val="Vehicle-GHB "/>
      <sheetName val="Oprt.Equipt"/>
      <sheetName val="Summ."/>
      <sheetName val="Sales Register Dec 04"/>
      <sheetName val="Per Customer"/>
      <sheetName val="CMA"/>
      <sheetName val="TOT"/>
      <sheetName val="Office Equipment1"/>
      <sheetName val="Office Equipment2"/>
      <sheetName val="Gain or loss on sale of FA"/>
      <sheetName val="List PBC Yunita"/>
      <sheetName val="Deduction (final)"/>
      <sheetName val="Analisa Cost vs Accm"/>
      <sheetName val="ADJ 2007"/>
      <sheetName val="ADJ2006"/>
      <sheetName val="ADJ2008"/>
      <sheetName val="classification"/>
      <sheetName val="pvadata adj"/>
      <sheetName val="PV CONSOL 2008"/>
      <sheetName val="PV CONSOL 2007"/>
      <sheetName val="2007-2008 STARCOM"/>
      <sheetName val="SC CAT"/>
      <sheetName val="CATEGORY"/>
      <sheetName val="145.60.003"/>
      <sheetName val="235.10.002"/>
      <sheetName val="235.10.003"/>
      <sheetName val="235.10.004"/>
      <sheetName val="235.10.005"/>
      <sheetName val="O2-Inc23"/>
      <sheetName val="O3-Inc25&amp;29"/>
      <sheetName val="O4-WHT21"/>
      <sheetName val="O5-WHT23,26,4(2)"/>
      <sheetName val="O5.1"/>
      <sheetName val="O7 TaxExpsr"/>
      <sheetName val="O6-STP"/>
      <sheetName val="coa-amps"/>
      <sheetName val="coahyp-pl"/>
      <sheetName val="coa sub"/>
      <sheetName val="coahyp-all"/>
      <sheetName val="OP111"/>
      <sheetName val="%psi"/>
      <sheetName val="PL-R"/>
      <sheetName val="hyp PL"/>
      <sheetName val="ID REPORT"/>
      <sheetName val="Detail Calc 05"/>
      <sheetName val="F.Adj"/>
      <sheetName val="Art.17"/>
      <sheetName val="F.Adj Allocation"/>
      <sheetName val="BIK update"/>
      <sheetName val="Fiscal Assets Summary"/>
      <sheetName val="2001s Calculation"/>
      <sheetName val="Disposal@fiscal"/>
      <sheetName val="add-2002"/>
      <sheetName val="HF"/>
      <sheetName val="Prod Orig."/>
      <sheetName val="HF Orig."/>
      <sheetName val="Location_Details"/>
      <sheetName val="Account_Sets"/>
      <sheetName val="Accounts"/>
      <sheetName val="B9 Margin"/>
      <sheetName val="COGS1"/>
      <sheetName val="COGS2"/>
      <sheetName val="COGS3"/>
      <sheetName val="A3 LB Details 08"/>
      <sheetName val="AJE-SRI 08"/>
      <sheetName val="PV Data"/>
      <sheetName val="BS-SC "/>
      <sheetName val="PL-SC"/>
      <sheetName val="AJE-SC"/>
      <sheetName val="Journal (2)"/>
      <sheetName val="AR-AP"/>
      <sheetName val="Posting"/>
      <sheetName val="COB"/>
      <sheetName val="Interco AR ID9080"/>
      <sheetName val="Interco AP ID9080"/>
      <sheetName val="Interco AR SG8152"/>
      <sheetName val="Interco AP SG8152"/>
      <sheetName val="IC AP"/>
      <sheetName val="Interco List"/>
      <sheetName val="Art. 23 recons"/>
      <sheetName val="ppH25 &amp; PROVISION"/>
      <sheetName val="BIK-NDE"/>
      <sheetName val="F1771-II."/>
      <sheetName val="F1771-V."/>
      <sheetName val="4th of 2001 (2)"/>
      <sheetName val="sum-korfisk"/>
      <sheetName val="list-1"/>
      <sheetName val="list-1 (2)"/>
      <sheetName val="withholding tax"/>
      <sheetName val="depr 2002"/>
      <sheetName val="additional (2)"/>
      <sheetName val="additional (3)"/>
      <sheetName val="additional (4)"/>
      <sheetName val="m-galant"/>
      <sheetName val="Recon 2007"/>
      <sheetName val="E.1 Aging Receivable"/>
      <sheetName val="E.1a Recon AR 08"/>
      <sheetName val="E.1.14Detail AR Others"/>
      <sheetName val="E.1.1 Detail SMART telecom"/>
      <sheetName val="E.1.2 Detail TVS"/>
      <sheetName val="E.1.3 Detail P&amp;G"/>
      <sheetName val="E.1.4 Detail STB"/>
      <sheetName val="E.1.5 Detail Samsung"/>
      <sheetName val="E.1.6 Detail Bayer"/>
      <sheetName val="E.1.7 Detail PT Mead Johnson"/>
      <sheetName val="E.1.8 Detail Emirates"/>
      <sheetName val="E.1.9 Detail Richemont Lux"/>
      <sheetName val="E.1.10 Detail Western Union"/>
      <sheetName val="E.1.11 Detail Perfetti "/>
      <sheetName val="E.1.12 Detail UOB"/>
      <sheetName val="E.1.13 Detail Iniatiative,etc"/>
      <sheetName val="E.2 AR Billable"/>
      <sheetName val="wipdetail"/>
      <sheetName val="E.2.1 P&amp;G"/>
      <sheetName val="E.2.2 Smart Telecom"/>
      <sheetName val="E.2.3 Samsung"/>
      <sheetName val="E.2.4 Perfetti"/>
      <sheetName val="E.2.5 STB"/>
      <sheetName val="E.2.6 Mead Johnson"/>
      <sheetName val="E.2.7 Emirates"/>
      <sheetName val="E.2.8 PT Bayer"/>
      <sheetName val="E.2.9 TVS Motor"/>
      <sheetName val="E.2.10 SC Malaysia"/>
      <sheetName val="E.2.11 Richemont"/>
      <sheetName val="E.3 Client Prepayment"/>
      <sheetName val="E.4 WIP"/>
      <sheetName val="E.5 Cut off"/>
      <sheetName val="EE.Confirmation Control"/>
      <sheetName val="EE.2.1 Recon VanMelle"/>
      <sheetName val="EE.3.1 Recon PT Bayer"/>
      <sheetName val="E.3 - Client Prepayment"/>
      <sheetName val="WP E"/>
      <sheetName val="BS_PL Komersil and Fiskal"/>
      <sheetName val="STATE01 (2)-03"/>
      <sheetName val="ROOM04"/>
      <sheetName val="ROOMSTATISTIC4a"/>
      <sheetName val="F&amp;B5"/>
      <sheetName val="FBANALYSIS"/>
      <sheetName val="COVER5a"/>
      <sheetName val="SPORT"/>
      <sheetName val="GUESTLAUNDRY6"/>
      <sheetName val="HOUSELAUNDRY"/>
      <sheetName val="TELEPHONE7"/>
      <sheetName val="SHOP&amp;OTHER INCOME8"/>
      <sheetName val="BUSINESSCENTER9"/>
      <sheetName val="SALES &amp;MARKETING11"/>
      <sheetName val="POMEC12"/>
      <sheetName val="ADM&amp;GENERAL10"/>
      <sheetName val="HUMANRESOURCES13"/>
      <sheetName val="MAINT REPORT12a"/>
      <sheetName val="OP.RATIO"/>
      <sheetName val="CURR.ASSET"/>
      <sheetName val="GCC"/>
      <sheetName val="RECONBANK(SIN$)"/>
      <sheetName val="RECONBANK (US$)"/>
      <sheetName val="RECONBANK (OPERATING)"/>
      <sheetName val="RECONBANK(GENERAL)"/>
      <sheetName val="OPSTATE"/>
      <sheetName val="OVEROOM"/>
      <sheetName val="OVERF&amp;B"/>
      <sheetName val="D.STORE"/>
      <sheetName val="OVERAG"/>
      <sheetName val="OVERSLS"/>
      <sheetName val="OverPomec"/>
      <sheetName val="OVERHRD"/>
      <sheetName val="MKredit"/>
      <sheetName val="sampling kredit"/>
      <sheetName val="An.Rev"/>
      <sheetName val="PPH BADAN SCK"/>
      <sheetName val="Summary BV_SCK"/>
      <sheetName val="Summary BV_KSO"/>
      <sheetName val="Movement RE"/>
      <sheetName val="Movement Investasi"/>
      <sheetName val="MI movement"/>
      <sheetName val="Pengakuan rugi JBA"/>
      <sheetName val="Pengakuan laba PT BV"/>
      <sheetName val="Pengakuan Rugi LMD"/>
      <sheetName val="CAJE (AJE) KSO SS"/>
      <sheetName val="CAJE(AJE) SCK"/>
      <sheetName val="CAJE(AJE)JBA"/>
      <sheetName val="CAJE(AJE) BKV"/>
      <sheetName val="PPH badan JBA"/>
      <sheetName val="PPH BADAN BKV"/>
      <sheetName val="Neraca SCK konsol"/>
      <sheetName val="PNL SCK Konsol"/>
      <sheetName val="CF_SCK konsol"/>
      <sheetName val="Movement RE &amp; Dividen_Konsol"/>
      <sheetName val="KSO SS_NERACA"/>
      <sheetName val="PL KSO"/>
      <sheetName val="CF KSO SS"/>
      <sheetName val="Neraca SCK induk"/>
      <sheetName val="PL SCK INDUK"/>
      <sheetName val="CF SCK induk"/>
      <sheetName val="KIND NO"/>
      <sheetName val="CAPEX 06-08"/>
      <sheetName val="CAPEX 05-07"/>
      <sheetName val="LIST CC"/>
      <sheetName val="YTD (2)"/>
      <sheetName val="REVIEW for REPORT"/>
      <sheetName val="Sup-CF 08"/>
      <sheetName val="Sup.CF 07"/>
      <sheetName val="Elim Consol"/>
      <sheetName val="Elim Combined"/>
      <sheetName val="Real Estate"/>
      <sheetName val="PAJE RE"/>
      <sheetName val="CORPORATE"/>
      <sheetName val="Plaza SA"/>
      <sheetName val="Summarecon Bekasi"/>
      <sheetName val="WBS I Mall"/>
      <sheetName val="WBS II Mall"/>
      <sheetName val="WPL Mall"/>
      <sheetName val="Gading Food City"/>
      <sheetName val="La Piazza"/>
      <sheetName val="MALL"/>
      <sheetName val="KKG"/>
      <sheetName val="Summerville"/>
      <sheetName val="Gading Batavia"/>
      <sheetName val="Summit Opr"/>
      <sheetName val="WBS I R.E"/>
      <sheetName val="WBS II R.E"/>
      <sheetName val="WPL R.E"/>
      <sheetName val="The Kernel"/>
      <sheetName val="Kas dan setara kas"/>
      <sheetName val="Biaya dibayar dimuka"/>
      <sheetName val="Uang Muka Penjualan (Deposit)"/>
      <sheetName val="Uang Jaminan"/>
      <sheetName val="Biaya Masih Hrs Dibayar"/>
      <sheetName val="Net Revenue"/>
      <sheetName val="COGS &amp; Direct Cost"/>
      <sheetName val="Aktiva &amp; Liabilities Valas"/>
      <sheetName val="Other Income (Charge)"/>
      <sheetName val="Combined"/>
      <sheetName val="Pajak (2008)"/>
      <sheetName val="Pajak Anak (2008)"/>
      <sheetName val="Perhitungan Pajak (2008)"/>
      <sheetName val="Pajak Parkir (2008)"/>
      <sheetName val="LMD Jual Beli"/>
      <sheetName val="NERACA SALDO CO per 31 12 2009"/>
      <sheetName val="NERACA_SALDO_SUMMARECON_BEKASI_"/>
      <sheetName val="Top-TOC"/>
      <sheetName val="Sample List"/>
      <sheetName val="Execution-B1.1"/>
      <sheetName val="GBKI-B1.2"/>
      <sheetName val="Documentation-B1.3"/>
      <sheetName val="Gain (Loss)-B1.4"/>
      <sheetName val="Reasonableness-B1.5"/>
      <sheetName val="Recording Method-B1.6"/>
      <sheetName val="Quantitative1-B1.7"/>
      <sheetName val="Quantitative2-B1.8"/>
      <sheetName val="Quantitative3-B1.9"/>
      <sheetName val="Quantitative4-B1.10"/>
      <sheetName val="Approval-B1.11"/>
      <sheetName val="Recording-B1.12"/>
      <sheetName val="Top-Analytical"/>
      <sheetName val="Year End"/>
      <sheetName val="Retquest-Dayat"/>
      <sheetName val="Request-Wolter"/>
      <sheetName val="REKAP-PORTO"/>
      <sheetName val="BANK INV"/>
      <sheetName val="RKP-DEPOS"/>
      <sheetName val="SAHAM"/>
      <sheetName val="REKSA"/>
      <sheetName val="OBL-TRAFS"/>
      <sheetName val="OBLI"/>
      <sheetName val="MTN"/>
      <sheetName val="Direct Investment"/>
      <sheetName val="Promissory NOte"/>
      <sheetName val="Land &amp; Building"/>
      <sheetName val="Property"/>
      <sheetName val="oblig Trad&amp;AFS"/>
      <sheetName val="ANTM"/>
      <sheetName val="N-INDF"/>
      <sheetName val="N-HMSP"/>
      <sheetName val="N-GGRM"/>
      <sheetName val="N-ASII"/>
      <sheetName val="N-AALI"/>
      <sheetName val="N-UNTR"/>
      <sheetName val="TRIM"/>
      <sheetName val="N-SMGR"/>
      <sheetName val="MPPA"/>
      <sheetName val="DSUC"/>
      <sheetName val="SONA"/>
      <sheetName val="Entry  HTM"/>
      <sheetName val="Cost 1 Jan"/>
      <sheetName val="N-INKP"/>
      <sheetName val="IDSR"/>
      <sheetName val="INTP"/>
      <sheetName val="N-CTRS"/>
      <sheetName val="N-BBNI"/>
      <sheetName val="N-LTLS"/>
      <sheetName val="N-LPLI"/>
      <sheetName val="N-KLBF"/>
      <sheetName val="J-JIHD"/>
      <sheetName val="N-JIHD"/>
      <sheetName val="SMAR"/>
      <sheetName val="N-UNVR"/>
      <sheetName val="RMBA"/>
      <sheetName val="N-TSPC"/>
      <sheetName val="N-TKIM"/>
      <sheetName val="PTBA"/>
      <sheetName val="SMCB"/>
      <sheetName val="N-RALS"/>
      <sheetName val="N-PNBN"/>
      <sheetName val="BELI-NJHT-AFS"/>
      <sheetName val="JUAL-NJHT-FS"/>
      <sheetName val="JUAL-NJHT-FT"/>
      <sheetName val="Penurunan Efek"/>
      <sheetName val="ANTM-N"/>
      <sheetName val="INAF-N"/>
      <sheetName val="INDF"/>
      <sheetName val="J-ASII "/>
      <sheetName val="AALI-J"/>
      <sheetName val="Hut-Pit"/>
      <sheetName val="HERO-N"/>
      <sheetName val="HERO"/>
      <sheetName val="BHIT"/>
      <sheetName val="Art. 25"/>
      <sheetName val="Regroup FA"/>
      <sheetName val="Penyusutan AT"/>
      <sheetName val="PPh 23 "/>
      <sheetName val="Tax Art 23"/>
      <sheetName val="Tax Art 25(E &amp; I)"/>
      <sheetName val="Exit-Tax(E &amp; I)"/>
      <sheetName val="Entertainment (E &amp; I)"/>
      <sheetName val="Entertainment (E &amp; I) (A)"/>
      <sheetName val="COGS98"/>
      <sheetName val="RL98"/>
      <sheetName val="Neraca98"/>
      <sheetName val="DEPR98"/>
      <sheetName val="assets98"/>
      <sheetName val="Art2598"/>
      <sheetName val="COM-TAX(DISAL)"/>
      <sheetName val="depr-tax"/>
      <sheetName val="SORT-ADD"/>
      <sheetName val="add2001"/>
      <sheetName val="disp2001"/>
      <sheetName val="SEP05"/>
      <sheetName val="OKT05"/>
      <sheetName val="NOV05"/>
      <sheetName val="DES05"/>
      <sheetName val="JAN'07"/>
      <sheetName val="Daftar Lamp."/>
      <sheetName val="Sample Base"/>
      <sheetName val="GRESIK"/>
      <sheetName val="JUN03-13299"/>
      <sheetName val="JUN03-13819"/>
      <sheetName val="JULY03-13299"/>
      <sheetName val="JULY03-13819"/>
      <sheetName val="AUG03-13299"/>
      <sheetName val="AUG03-13819"/>
      <sheetName val="SEP03-13299"/>
      <sheetName val="SEP03-13819"/>
      <sheetName val="OCT03-13299"/>
      <sheetName val="OCT03-13819"/>
      <sheetName val="NOV03-13299"/>
      <sheetName val="NOV03-13819"/>
      <sheetName val="DEC03-13299"/>
      <sheetName val="DEC03-13819"/>
      <sheetName val="JAN04-13299"/>
      <sheetName val="JAN04-13819"/>
      <sheetName val="FEB04-13299"/>
      <sheetName val="FEB04-13819"/>
      <sheetName val="MAR04-13299"/>
      <sheetName val="MAR04-13819"/>
      <sheetName val="APR04-13299"/>
      <sheetName val="APR04-13819"/>
      <sheetName val="MAY04-13299"/>
      <sheetName val="MAY04-13819"/>
      <sheetName val="AMFG"/>
      <sheetName val="MEDC"/>
      <sheetName val="MEGA"/>
      <sheetName val="CPIN"/>
      <sheetName val="BNGAN"/>
      <sheetName val="BNGA"/>
      <sheetName val="BMTR-N"/>
      <sheetName val="BMTR"/>
      <sheetName val="BDMN"/>
      <sheetName val="N-INTP"/>
      <sheetName val="N-INCO"/>
      <sheetName val="N-BLTA"/>
      <sheetName val="Syntegra"/>
      <sheetName val="SSI"/>
      <sheetName val="PDCC"/>
      <sheetName val="UK"/>
      <sheetName val="SPI GMBH"/>
      <sheetName val="CF_2002"/>
      <sheetName val="Oct_TB"/>
      <sheetName val="paje (adjusted)"/>
      <sheetName val="I - 10"/>
      <sheetName val="2002_CF_reclass"/>
      <sheetName val="U-80"/>
      <sheetName val="K-roll"/>
      <sheetName val="k-10"/>
      <sheetName val="Answer"/>
      <sheetName val="Entry Broker"/>
      <sheetName val="Op AP"/>
      <sheetName val="A. PM, TE &amp; SAD-June"/>
      <sheetName val="B. TE Allocation-June"/>
      <sheetName val="A. PM, TE &amp; SAD"/>
      <sheetName val="Fis-ANK"/>
      <sheetName val="Def. tax ANK"/>
      <sheetName val="O-6"/>
      <sheetName val="M-Flow"/>
      <sheetName val="Q-Flow"/>
      <sheetName val="K-Mov"/>
      <sheetName val="Neraca lajur rumus baru"/>
      <sheetName val="WS ANK"/>
      <sheetName val="C.000"/>
      <sheetName val="E.000"/>
      <sheetName val="F.000"/>
      <sheetName val="G.000"/>
      <sheetName val="I.000"/>
      <sheetName val="O.000"/>
      <sheetName val="K.000"/>
      <sheetName val="J.000"/>
      <sheetName val="Q.000"/>
      <sheetName val="N.000"/>
      <sheetName val="P.000"/>
      <sheetName val="T.000"/>
      <sheetName val="UA.000"/>
      <sheetName val="VA.000"/>
      <sheetName val="VB.000"/>
      <sheetName val="VC.000"/>
      <sheetName val="VD.000"/>
      <sheetName val="VE.000"/>
      <sheetName val="UB.000"/>
      <sheetName val="UC.000"/>
      <sheetName val="WS ACM"/>
      <sheetName val="H.000"/>
      <sheetName val="Rekon Fskl"/>
      <sheetName val="Preliminary"/>
      <sheetName val="Y-Z"/>
      <sheetName val="M. Asing"/>
      <sheetName val="DFR WBS"/>
      <sheetName val="DFR WPL"/>
      <sheetName val="DFR CF"/>
      <sheetName val="DFR RE Statmnt"/>
      <sheetName val="A4-Consol"/>
      <sheetName val="DFR Cash"/>
      <sheetName val="DFR AR"/>
      <sheetName val="I-100 "/>
      <sheetName val="DFR Invt."/>
      <sheetName val="DFR FA"/>
      <sheetName val="K-Sum"/>
      <sheetName val="DFR Other Asset"/>
      <sheetName val="DFR Tax"/>
      <sheetName val="DFR Emp Ben"/>
      <sheetName val="Data "/>
      <sheetName val="R (2)"/>
      <sheetName val="DFR AP"/>
      <sheetName val="I-000"/>
      <sheetName val="DFR Accrue"/>
      <sheetName val="DFR Revenue"/>
      <sheetName val="DFR COS"/>
      <sheetName val="DFR OPEX"/>
      <sheetName val="DFR Other Inc(Exp)"/>
      <sheetName val="BLI_OutstandingCashAdvance"/>
      <sheetName val="BLI_CostCenter"/>
      <sheetName val="BLI_Facility"/>
      <sheetName val="BLI_Currency"/>
      <sheetName val="BLI_PaymentType"/>
      <sheetName val="BLI_ListEmployee"/>
      <sheetName val="Plafond Hutang"/>
      <sheetName val="Flow hutang"/>
      <sheetName val="ELIM-BULAN"/>
      <sheetName val="ELIM-KUM"/>
      <sheetName val="Detail ACM"/>
      <sheetName val="Detail ANK"/>
      <sheetName val="Detail SKDA"/>
      <sheetName val="Detail PGK"/>
      <sheetName val="Rekap Adj"/>
      <sheetName val="Ak&amp;ke dlm mata uang asing"/>
      <sheetName val="Cash&amp;AP in Foreign Curr."/>
      <sheetName val="BS Cons"/>
      <sheetName val="Rincian BS Cons"/>
      <sheetName val="IS Cons"/>
      <sheetName val="Fis-Con"/>
      <sheetName val="Fis-ACM"/>
      <sheetName val="Fis-PGK"/>
      <sheetName val="Recon Fis-SKDA"/>
      <sheetName val="DTA SKDA"/>
      <sheetName val="ELIM-KUM 2008"/>
      <sheetName val="ELIM-BULAN 2008"/>
      <sheetName val="Def. tax konsol"/>
      <sheetName val="Sales PGK"/>
      <sheetName val="Forex Materiality"/>
      <sheetName val="Rekap Insurance"/>
      <sheetName val="Insurance ACM"/>
      <sheetName val="Insurance ANK"/>
      <sheetName val="Insurance PGK"/>
      <sheetName val="Insurance SKDA"/>
      <sheetName val="jaminan htg bank"/>
      <sheetName val="Rincian htg Bank ACM"/>
      <sheetName val="Rincian htg Bank ANK"/>
      <sheetName val="Rincian htg Bank SKDA"/>
      <sheetName val="Rincian htg bank PGK"/>
      <sheetName val="Depresiasi&amp;Amortisasi"/>
      <sheetName val="Inv ANK"/>
      <sheetName val="Inv SKDA"/>
      <sheetName val="Inv PGK"/>
      <sheetName val="Suku Bunga"/>
      <sheetName val="Jmlh s.d 07"/>
      <sheetName val="Jmlh 07"/>
      <sheetName val="Jmlh 08"/>
      <sheetName val="Jmlh s.d 08"/>
      <sheetName val="Jmlh 09"/>
      <sheetName val="Jmlh s.d 09"/>
      <sheetName val="Jmlh 10"/>
      <sheetName val="Jmlh s.d 10"/>
      <sheetName val="VW"/>
      <sheetName val="Altis"/>
      <sheetName val="Vios"/>
      <sheetName val="Loader"/>
      <sheetName val="Forklift"/>
      <sheetName val="Caterpillar"/>
      <sheetName val="O.100"/>
      <sheetName val="O.200"/>
      <sheetName val="O.300"/>
      <sheetName val="O.400"/>
      <sheetName val="O.500"/>
      <sheetName val="O.600"/>
      <sheetName val="O.700"/>
      <sheetName val="O.710"/>
      <sheetName val="O.800"/>
      <sheetName val="O.900"/>
      <sheetName val="0.910"/>
      <sheetName val="0.911 Diposed FA Fis 2009"/>
      <sheetName val="O.912 Proyeksi 2010 Com"/>
      <sheetName val="O.913 Proyeksi 2010 Fis"/>
      <sheetName val="O.920 Empl. Benefit"/>
      <sheetName val="Laba"/>
      <sheetName val="Asu"/>
      <sheetName val="Perjamuan"/>
      <sheetName val="Akt Fisc'09"/>
      <sheetName val="S19A(1)(HP)"/>
      <sheetName val="SCH (2)"/>
      <sheetName val="Int working"/>
      <sheetName val="(1)B2"/>
      <sheetName val="(1)B2-1"/>
      <sheetName val="(1)B5.1"/>
      <sheetName val="(2)C1"/>
      <sheetName val="(2)C1-1"/>
      <sheetName val="(2)C3"/>
      <sheetName val="(2)C5"/>
      <sheetName val="(2)D1"/>
      <sheetName val="(2)D2"/>
      <sheetName val="(2)DA1"/>
      <sheetName val="(2)DA3"/>
      <sheetName val="(2)E1"/>
      <sheetName val="(2)E3"/>
      <sheetName val="(2)E3-1"/>
      <sheetName val="(2)EA3"/>
      <sheetName val="(2)EA4"/>
      <sheetName val="(2)EA4-1"/>
      <sheetName val="(2)EA4-2"/>
      <sheetName val="(2)F1"/>
      <sheetName val="(2)F3"/>
      <sheetName val="(2)F3-1"/>
      <sheetName val="(2)F3-2"/>
      <sheetName val="(2)F5"/>
      <sheetName val="(2)F6"/>
      <sheetName val="(2)G1"/>
      <sheetName val="(2)H1"/>
      <sheetName val="(2)H4"/>
      <sheetName val="(2)H5"/>
      <sheetName val="(2)I2"/>
      <sheetName val="(2)J1"/>
      <sheetName val="(2)J3"/>
      <sheetName val="(2)J3-1"/>
      <sheetName val="(2)J3-2"/>
      <sheetName val="(2)J6"/>
      <sheetName val="(2)J6-2"/>
      <sheetName val="(2)J8"/>
      <sheetName val="(2)J9"/>
      <sheetName val="(2)K1"/>
      <sheetName val="(2)K2"/>
      <sheetName val="(2)K101"/>
      <sheetName val="(2)L1"/>
      <sheetName val="(2)M1"/>
      <sheetName val="(2)M2"/>
      <sheetName val="(2)N1"/>
      <sheetName val="(2)N2"/>
      <sheetName val="(2)N3"/>
      <sheetName val="(2)N4"/>
      <sheetName val="(2)P1"/>
      <sheetName val="(2)P2"/>
      <sheetName val="(2)P3"/>
      <sheetName val="(2)P3-1"/>
      <sheetName val="(2)P3-2"/>
      <sheetName val="(2)P4"/>
      <sheetName val="(2)P4-1"/>
      <sheetName val="(2)P4-2"/>
      <sheetName val="(2)R1"/>
      <sheetName val="(2)R1-1"/>
      <sheetName val="(2)R2"/>
      <sheetName val="(2)R2-1"/>
      <sheetName val="(2)R3"/>
      <sheetName val="(2)R3-1"/>
      <sheetName val="(2)R3-2"/>
      <sheetName val="(2)R4"/>
      <sheetName val="(2)R4-1"/>
      <sheetName val="(2)R4-2"/>
      <sheetName val="(2)R5"/>
      <sheetName val="(2)R5-1"/>
      <sheetName val="(2)R5-2"/>
      <sheetName val="(2)R6"/>
      <sheetName val="(2)R6-1"/>
      <sheetName val="(2)R7"/>
      <sheetName val="(2)R8"/>
      <sheetName val="(2)R9"/>
      <sheetName val="(2)R10"/>
      <sheetName val="(2)R11"/>
      <sheetName val="(2)R12"/>
      <sheetName val="(2)R13"/>
      <sheetName val="(2)R14"/>
      <sheetName val="(2)R15"/>
      <sheetName val="(2)R16"/>
      <sheetName val="(2)R17"/>
      <sheetName val="(2)R18"/>
      <sheetName val="(2)R19"/>
      <sheetName val="(2)R20"/>
      <sheetName val="(2)R21"/>
      <sheetName val="(2)R22"/>
      <sheetName val="(2)R23"/>
      <sheetName val="(2)R24"/>
      <sheetName val="(2)R25"/>
      <sheetName val="(2)R26"/>
      <sheetName val="(2)R27"/>
      <sheetName val="(2)R28"/>
      <sheetName val="(2)R29"/>
      <sheetName val="(2)R30"/>
      <sheetName val="(2)R31"/>
      <sheetName val="(2)V1"/>
      <sheetName val="Chat"/>
      <sheetName val="Cycle"/>
      <sheetName val="Halaman-1"/>
      <sheetName val="sederhana ke 1 (2)"/>
      <sheetName val="sederhana ke 1"/>
      <sheetName val="dafaktur"/>
      <sheetName val="Daftar-B1"/>
      <sheetName val="DAFINV"/>
      <sheetName val="1195B1 Hal.2"/>
      <sheetName val="1195B1 Hal.3"/>
      <sheetName val="1195B1 Hal.4"/>
      <sheetName val="1195B1 Hal.5"/>
      <sheetName val="1195B1 Hal.6"/>
      <sheetName val="1195B1 Hal.7"/>
      <sheetName val="1195B1 Hal.8"/>
      <sheetName val="1195B1 Hal 9"/>
      <sheetName val="1195B1 hal.10"/>
      <sheetName val="UA Lead"/>
      <sheetName val="UB.Lead"/>
      <sheetName val="VC.Lead"/>
      <sheetName val="VF.Lead"/>
      <sheetName val="VG.Lead"/>
      <sheetName val="Conf.Ctrl"/>
      <sheetName val="TOC3"/>
      <sheetName val="Close job cut off"/>
      <sheetName val="VE"/>
      <sheetName val="VF"/>
      <sheetName val="TOOL 05_gol 1"/>
      <sheetName val="K_2_1"/>
      <sheetName val="Other charges _income_"/>
      <sheetName val="U.1.2 (Sales Cut-Off)"/>
      <sheetName val="U.2.1 (Purchase Cut-Off"/>
      <sheetName val="U.2-1 Attachment"/>
      <sheetName val="REFERENSI"/>
      <sheetName val="BENTUK REPORT AKHIR"/>
      <sheetName val="LAP. PENJUALAN PREPAID 3G"/>
      <sheetName val="DAFTAR CHANNEL"/>
      <sheetName val="F.3.1"/>
      <sheetName val="G.1-2 Attachment"/>
      <sheetName val="FAA AUGUST"/>
      <sheetName val="R1-CAPEX-01"/>
      <sheetName val="R1-CAPEX-02"/>
      <sheetName val="R1-CAPEX-03"/>
      <sheetName val="APRIL WEIGHTED AVR"/>
      <sheetName val="Detail Sundry All"/>
      <sheetName val="R1-CAPEX-04"/>
      <sheetName val="FAA03"/>
      <sheetName val="R1-CAPEX-04-A"/>
      <sheetName val="R1-CAPEX-04-C"/>
      <sheetName val="R1-CAPEX-04-D"/>
      <sheetName val="N.1.1"/>
      <sheetName val="0.3.2"/>
      <sheetName val="OO"/>
      <sheetName val="P.2.1"/>
      <sheetName val="M.1"/>
      <sheetName val="T T"/>
      <sheetName val="Travel Advance"/>
      <sheetName val="Other Advance"/>
      <sheetName val="Accrued Others"/>
      <sheetName val="U.2.7"/>
      <sheetName val="Rekap remittence"/>
      <sheetName val="Sales Analysis "/>
      <sheetName val="GP Margin"/>
      <sheetName val="CARJE - Refinery"/>
      <sheetName val="Elimination - Refinery"/>
      <sheetName val="Elimination - Plant &amp; Ref"/>
      <sheetName val="V-Related party transaction Ref"/>
      <sheetName val="CARJE"/>
      <sheetName val="Rekap remittance"/>
      <sheetName val="GP Margin Dec"/>
      <sheetName val="Anlytical"/>
      <sheetName val="Audit Issue"/>
      <sheetName val="Actual VS Budget"/>
      <sheetName val="PARJE"/>
      <sheetName val="N.1-AP Trade"/>
      <sheetName val="N.1.1.1 Predictive AP"/>
      <sheetName val="N.1.2SubsequentChemprox"/>
      <sheetName val="N.2 Other Payable"/>
      <sheetName val="N2.1Cons-Finance"/>
      <sheetName val="NN.2-APMonagrro"/>
      <sheetName val="P.Accrued Exp"/>
      <sheetName val="P.2-AccruedOthers"/>
      <sheetName val="Q.1longterm advance "/>
      <sheetName val="Q.2Stockholders loan"/>
      <sheetName val="Q.3Longtermloan"/>
      <sheetName val="Q.3.2SubsequentSHLoan"/>
      <sheetName val="Cash Flow Dec 2008"/>
      <sheetName val="PM TE SAD"/>
      <sheetName val="SAD Schedule"/>
      <sheetName val="Cashflow Sept 2007"/>
      <sheetName val="Cashflow Explanation"/>
      <sheetName val="Cash Explanation"/>
      <sheetName val="AR Non Trade"/>
      <sheetName val="AR TO"/>
      <sheetName val="Prepaid Expense"/>
      <sheetName val="Advance Paid"/>
      <sheetName val="Others CA"/>
      <sheetName val="Others Non CA"/>
      <sheetName val="Audit Procedures WBS 1"/>
      <sheetName val="Audit Procedures WBS 2 "/>
      <sheetName val="TB-PERMONTH"/>
      <sheetName val="1011-001"/>
      <sheetName val="1012-002"/>
      <sheetName val="1022-002"/>
      <sheetName val="1031-001"/>
      <sheetName val="1031-002"/>
      <sheetName val="1031-004"/>
      <sheetName val="1041'1044"/>
      <sheetName val="1044-005"/>
      <sheetName val="1050-001"/>
      <sheetName val="1050-002"/>
      <sheetName val="1061"/>
      <sheetName val="1062-003"/>
      <sheetName val="1062-004'009"/>
      <sheetName val="1080"/>
      <sheetName val="1100-006"/>
      <sheetName val="2011-002"/>
      <sheetName val="2012-002"/>
      <sheetName val="2022-002"/>
      <sheetName val="2041-003"/>
      <sheetName val="2041-004"/>
      <sheetName val="2041-005"/>
      <sheetName val="2041-006"/>
      <sheetName val="2041-099"/>
      <sheetName val="2050-003"/>
      <sheetName val="2050-004"/>
      <sheetName val="2070-003"/>
      <sheetName val="LOAN-BOTM"/>
      <sheetName val="LOAN-NISP"/>
      <sheetName val="LOAN DBS"/>
      <sheetName val="LOAN BSMI"/>
      <sheetName val="PURCHASE 2009"/>
      <sheetName val="SALES 2009"/>
      <sheetName val="U2-4.7_Royalty"/>
      <sheetName val="U2-4.7.1_RoyaltyCalculation"/>
      <sheetName val="U1-4_Export Sales"/>
      <sheetName val="J-2.3_Restitusi 2004"/>
      <sheetName val="Tax expense"/>
      <sheetName val="J-2_Claim tax Refund-Final"/>
      <sheetName val="J-2.1 - PPh 2003"/>
      <sheetName val="VAT-in"/>
      <sheetName val="U.4.2 - Rekap SKP dan STP"/>
      <sheetName val="9A4.1"/>
      <sheetName val="9A4.2"/>
      <sheetName val="9A4.3"/>
      <sheetName val="9C-Lead"/>
      <sheetName val="9CC"/>
      <sheetName val="9E-Lead"/>
      <sheetName val="9E.1"/>
      <sheetName val="9EE"/>
      <sheetName val="9F-Lead"/>
      <sheetName val="9F.1"/>
      <sheetName val="9F.2"/>
      <sheetName val="9F.2.1"/>
      <sheetName val="9G-Lead"/>
      <sheetName val="9G.1"/>
      <sheetName val="9H-Lead"/>
      <sheetName val="9K-Lead"/>
      <sheetName val="9K.1"/>
      <sheetName val="9L-Lead"/>
      <sheetName val="9N-Lead"/>
      <sheetName val="9NN"/>
      <sheetName val="9N.1"/>
      <sheetName val="9O-Lead"/>
      <sheetName val="9O.1"/>
      <sheetName val="9O.2 "/>
      <sheetName val="9O.3"/>
      <sheetName val="9P-Lead"/>
      <sheetName val="9P.1"/>
      <sheetName val="9P.1.1"/>
      <sheetName val="9P.1.2"/>
      <sheetName val="9U1-Lead"/>
      <sheetName val="9U1.1"/>
      <sheetName val="9U1.2"/>
      <sheetName val="9U2-Lead"/>
      <sheetName val="9U2.1"/>
      <sheetName val="9U3"/>
      <sheetName val="9U4"/>
      <sheetName val="9U5"/>
      <sheetName val="9U6"/>
      <sheetName val="9U7"/>
      <sheetName val="List PBC"/>
      <sheetName val="IS 08"/>
      <sheetName val="TB Sept 08"/>
      <sheetName val="TB Ags"/>
      <sheetName val="IS MAR 2010"/>
      <sheetName val="COGS MAR 2010"/>
      <sheetName val="TB MAR 2010"/>
      <sheetName val="List Adj "/>
      <sheetName val="TB Sep"/>
      <sheetName val="IS Combine Dec 2008"/>
      <sheetName val="TB DEC 2008"/>
      <sheetName val="COGS Dec 2009&amp;2008"/>
      <sheetName val="IS DEC 2009"/>
      <sheetName val="TB DEC 2009"/>
      <sheetName val="UB.2"/>
      <sheetName val="C (MH)"/>
      <sheetName val="C-1 (MH)"/>
      <sheetName val="C-2 (MH)"/>
      <sheetName val="D (MH)"/>
      <sheetName val="E-1 (MH)"/>
      <sheetName val="F (MH)"/>
      <sheetName val="G.1.3 (MH)"/>
      <sheetName val="K-1 (MH)"/>
      <sheetName val="O-1(MH)"/>
      <sheetName val="O.1.1 (MH)"/>
      <sheetName val="U-2.1 (MH)"/>
      <sheetName val="U-3.1 (MH)"/>
      <sheetName val="U-3.2 (MH)"/>
      <sheetName val="U-3.3 (MH)"/>
      <sheetName val="U-3.3.1 (MH)"/>
      <sheetName val="U-3.4 (MH)"/>
      <sheetName val="U-3.6 (MH)"/>
      <sheetName val="U-3.7 (MH)"/>
      <sheetName val="U-3.9 (MH)"/>
      <sheetName val="U-3.10 (MH)"/>
      <sheetName val="U-4.1 (MH)"/>
      <sheetName val="U-4.1.1 (MH)"/>
      <sheetName val="Rate bunga deposito (MH)"/>
      <sheetName val="U-4.2 (MH)"/>
      <sheetName val="U-4.3 (MH)"/>
      <sheetName val="R1_CAPEX_03"/>
      <sheetName val="BDD 27 Des"/>
      <sheetName val="Corr Exp 2007 (2)"/>
      <sheetName val="Corr Exp 2007"/>
      <sheetName val="CONF"/>
      <sheetName val="D-1 (2)"/>
      <sheetName val="FISKAL KANTOR &amp; MESS"/>
      <sheetName val="FISKAL PROYEK"/>
      <sheetName val="FISKAL RMH CTH"/>
      <sheetName val="CC-3"/>
      <sheetName val="SE"/>
      <sheetName val="30-1"/>
      <sheetName val="30-2"/>
      <sheetName val="R-1 Deferred Tax &amp; Cor Rec"/>
      <sheetName val="R-1.1 Depr"/>
      <sheetName val="R-1.1 Depr (2)"/>
      <sheetName val="R-1.1.1 FISKAL 2011"/>
      <sheetName val="R-1.1.1 FISKAL2010"/>
      <sheetName val="R-1.2 Prov ESEnt"/>
      <sheetName val="HUTdanPIUT2012"/>
      <sheetName val="E.1.1"/>
      <sheetName val="E.1.3"/>
      <sheetName val="E.1.4"/>
      <sheetName val="E.1.5"/>
      <sheetName val="E.1.6"/>
      <sheetName val="E.1.7"/>
      <sheetName val="E.1.8"/>
      <sheetName val="E.1.9"/>
      <sheetName val="E.1.10"/>
      <sheetName val="E.1.11"/>
      <sheetName val="E.1.12"/>
      <sheetName val="E.1.13"/>
      <sheetName val="E.1.14"/>
      <sheetName val="E.1.15"/>
      <sheetName val="E.1.16"/>
      <sheetName val="E.1.17"/>
      <sheetName val="E.1.18"/>
      <sheetName val="E.1.19"/>
      <sheetName val="E.1.20"/>
      <sheetName val="E.1.21"/>
      <sheetName val="E.1.22"/>
      <sheetName val="Benefit table"/>
      <sheetName val="Sample Rp"/>
      <sheetName val="??????"/>
      <sheetName val="A (Cash Top Schedule)"/>
      <sheetName val="A.1 (Cash On Hand)"/>
      <sheetName val="A.1.3 TF"/>
      <sheetName val="A.1.4 TF"/>
      <sheetName val="A.1.5 TF"/>
      <sheetName val="A.2 (Cash in Bank)"/>
      <sheetName val="A.TT"/>
      <sheetName val="A.2.CO"/>
      <sheetName val="A.3 (Time Deposit)"/>
      <sheetName val="A.3 TEST"/>
      <sheetName val="A.CRAM"/>
      <sheetName val="co_data"/>
      <sheetName val="ACT Cashflow"/>
      <sheetName val="CF Ksd"/>
      <sheetName val="Brand"/>
      <sheetName val="Dept code"/>
      <sheetName val="Chart of Account"/>
      <sheetName val="Comm View"/>
      <sheetName val="IS SUM 2008"/>
      <sheetName val="BD COGS"/>
      <sheetName val="FCF"/>
      <sheetName val="Fin Stmt"/>
      <sheetName val="Detail Sales &amp; COGS"/>
      <sheetName val="03 DPD"/>
      <sheetName val="14 DC"/>
      <sheetName val="15 F&amp;A"/>
      <sheetName val="16 P&amp;GA"/>
      <sheetName val="17 IT"/>
      <sheetName val="30 MC"/>
      <sheetName val="40 MDv"/>
      <sheetName val="41 Proc"/>
      <sheetName val="18-29 SROOM"/>
      <sheetName val="21 VL"/>
      <sheetName val="22 HM"/>
      <sheetName val="23 SM"/>
      <sheetName val="24 CK"/>
      <sheetName val="25 VST"/>
      <sheetName val="26 CG1"/>
      <sheetName val="27 CG2"/>
      <sheetName val="28 CG3"/>
      <sheetName val="29 COM"/>
      <sheetName val="30 CG1 Lama"/>
      <sheetName val="31 VH"/>
      <sheetName val="32 AP"/>
      <sheetName val="33 GB"/>
      <sheetName val="51 DN"/>
      <sheetName val="52 LL"/>
      <sheetName val="53 LANG"/>
      <sheetName val="90 Others"/>
      <sheetName val="TB Detail 2601"/>
      <sheetName val="TB Detail 2601 (CAD AUDITED)"/>
      <sheetName val="TB Detail 2602"/>
      <sheetName val="TB Detail 2603"/>
      <sheetName val="TB Detail 2604"/>
      <sheetName val="TB Detail 2605"/>
      <sheetName val="TB Detail 2606"/>
      <sheetName val="TB Detail 2607"/>
      <sheetName val="TB Detail 2608"/>
      <sheetName val="TB Detail 2609"/>
      <sheetName val="TB Detail 2610"/>
      <sheetName val="TB Detail 2611"/>
      <sheetName val="TB Detail 2612"/>
      <sheetName val="TB Detail 2613"/>
      <sheetName val="Timetable"/>
      <sheetName val="StaffForecast"/>
      <sheetName val="EngagementList"/>
      <sheetName val="ClientList"/>
      <sheetName val="StaffList"/>
      <sheetName val="Per Sched"/>
      <sheetName val="Progress - Daily"/>
      <sheetName val="SO - 2010"/>
      <sheetName val="Portofolio Trading"/>
      <sheetName val="TOTALP&amp;L"/>
      <sheetName val="Matahari"/>
      <sheetName val="BS MTP (1)"/>
      <sheetName val="NOTES (4-8)"/>
      <sheetName val="Attachment (9-14) "/>
      <sheetName val="Fixset-MHU"/>
      <sheetName val="Pre-Operating"/>
      <sheetName val="C of P Proj"/>
      <sheetName val="C of S Proj"/>
      <sheetName val="Sales Proj"/>
      <sheetName val="IS Proj"/>
      <sheetName val="CF Proj"/>
      <sheetName val="Fixset-CPW"/>
      <sheetName val="IS-CPW"/>
      <sheetName val="CF-CPW"/>
      <sheetName val="BS-CPW"/>
      <sheetName val="MEDCN"/>
      <sheetName val="Drop Down List"/>
      <sheetName val="share cost"/>
      <sheetName val="Raw Material Vender"/>
      <sheetName val="Raw Material ทำเอง"/>
      <sheetName val="Raw Material"/>
      <sheetName val="supply in stock"/>
      <sheetName val="TB0903"/>
      <sheetName val="AR-Summary"/>
      <sheetName val="AR-Record"/>
      <sheetName val="AP-Record"/>
      <sheetName val="AP-Summary"/>
      <sheetName val="Work'n Process"/>
      <sheetName val="Job allocation"/>
      <sheetName val="Knowledge"/>
      <sheetName val="Non used assets"/>
      <sheetName val="Reconcile P&amp;L"/>
      <sheetName val="TB-Sept10"/>
      <sheetName val="Lia&amp;Eqty"/>
      <sheetName val="pl&amp;re"/>
      <sheetName val="AJE10"/>
      <sheetName val="RJE10"/>
      <sheetName val="RJE09"/>
      <sheetName val="F3.1"/>
      <sheetName val="pl5"/>
      <sheetName val="_FS1220"/>
      <sheetName val="_FS1600"/>
      <sheetName val="_FS1610"/>
      <sheetName val="_FS1710"/>
      <sheetName val="req note"/>
      <sheetName val="req note 2545"/>
      <sheetName val="company name for consoSCG"/>
      <sheetName val="งบดุล-eng"/>
      <sheetName val="tax-plan"/>
      <sheetName val="bs-2003"/>
      <sheetName val="pl-2003"/>
      <sheetName val="Current asset"/>
      <sheetName val="งบกระแสเงินสด"/>
      <sheetName val="detail44 (2)"/>
      <sheetName val="inc(dec)"/>
      <sheetName val="ส่งออกเครือฯ"/>
      <sheetName val="ST Loan"/>
      <sheetName val="LT IFCT"/>
      <sheetName val="LT BAY"/>
      <sheetName val="LT JGC"/>
      <sheetName val="LT TOC&amp; MOC"/>
      <sheetName val="Z-4"/>
      <sheetName val="AA-6 (2)"/>
      <sheetName val="AA-6"/>
      <sheetName val="NN-6"/>
      <sheetName val="BB-7"/>
      <sheetName val="CC-8"/>
      <sheetName val="CC-9"/>
      <sheetName val="30-note"/>
      <sheetName val="10-test (revise)"/>
      <sheetName val="10-1 Media"/>
      <sheetName val="10-cut"/>
      <sheetName val="10-test"/>
      <sheetName val="DealerData"/>
      <sheetName val="CustomerData"/>
      <sheetName val="comm_FCD"/>
      <sheetName val="Com_Paid_FCD"/>
      <sheetName val="comm_THB"/>
      <sheetName val="Comm_Paid_THB"/>
      <sheetName val="comm_EUR"/>
      <sheetName val="CF-4"/>
      <sheetName val="S33 (3 months)"/>
      <sheetName val="S33 (3 months)-note"/>
      <sheetName val="S33 (6 months)"/>
      <sheetName val="S33 (6 months)-note"/>
      <sheetName val="34-note-mar"/>
      <sheetName val="K100A"/>
      <sheetName val="K120"/>
      <sheetName val="K130"/>
      <sheetName val="K140"/>
      <sheetName val="K150"/>
      <sheetName val="K160"/>
      <sheetName val="K170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30-analyse"/>
      <sheetName val="70-3"/>
      <sheetName val="30-3"/>
      <sheetName val="หลักประกัน"/>
      <sheetName val="หลักประกัน adj (1)"/>
      <sheetName val="การเงิน"/>
      <sheetName val="Fact Cost"/>
      <sheetName val="MAR09"/>
      <sheetName val="APR09"/>
      <sheetName val="MAY09 "/>
      <sheetName val="JUN09  "/>
      <sheetName val="AUG09"/>
      <sheetName val="SEP09 "/>
      <sheetName val="DETAIL-COGEN"/>
      <sheetName val="DETAIL-POLISHING"/>
      <sheetName val="NFS"/>
      <sheetName val="NFS (th)"/>
      <sheetName val="AC55296 - Idle cost"/>
      <sheetName val="U-(fixed asset)"/>
      <sheetName val="Selection"/>
      <sheetName val="3lev-mth"/>
      <sheetName val="3lev-YTD"/>
      <sheetName val="10TEST"/>
      <sheetName val="20TEST "/>
      <sheetName val="M-MM"/>
      <sheetName val="fwd"/>
      <sheetName val="jbic"/>
      <sheetName val="unreal"/>
      <sheetName val="Cls_Budget"/>
      <sheetName val="1.ProdDiv"/>
      <sheetName val="2.OlefinsDept"/>
      <sheetName val="3.AromaticDept"/>
      <sheetName val="4.Planning"/>
      <sheetName val="5.Technical"/>
      <sheetName val="6.QualityCtl"/>
      <sheetName val="7. Eng&amp;Maintainance"/>
      <sheetName val="8.Personnel"/>
      <sheetName val="9.Safety"/>
      <sheetName val="10.TQC"/>
      <sheetName val="11.Accounting"/>
      <sheetName val="DataSheet"/>
      <sheetName val="Cls IO"/>
      <sheetName val="CCtr"/>
      <sheetName val="30S"/>
      <sheetName val="30S-2"/>
      <sheetName val="30S-1"/>
      <sheetName val="30A-1"/>
      <sheetName val="30A-2"/>
      <sheetName val="CUT OFF SALE"/>
      <sheetName val="20-test"/>
      <sheetName val="0-1"/>
      <sheetName val="30-1 (2)"/>
      <sheetName val="40-1(LT)"/>
      <sheetName val="40-2(PN)"/>
      <sheetName val="70-1(PN)"/>
      <sheetName val="F-2 "/>
      <sheetName val="ques."/>
      <sheetName val="F_note"/>
      <sheetName val="AA-FWD"/>
      <sheetName val="CC_1"/>
      <sheetName val="CC_2"/>
      <sheetName val="issue"/>
      <sheetName val="30-2 (2)"/>
      <sheetName val="COUNT_wh (2)"/>
      <sheetName val="COUNT_wh"/>
      <sheetName val="INVEN(TEST)"/>
      <sheetName val="COUNT_NNDC"/>
      <sheetName val="NTET2004 (DEC)"/>
      <sheetName val="NEG2004 (DEC)"/>
      <sheetName val="NEG2004 (DEC) (2)"/>
      <sheetName val="LIA"/>
      <sheetName val="ASS"/>
      <sheetName val="ADJ."/>
      <sheetName val="ADJ-VAR"/>
      <sheetName val="hedging"/>
      <sheetName val="Rate B,G"/>
      <sheetName val="defer"/>
      <sheetName val="คชจ-อบรม"/>
      <sheetName val="aff"/>
      <sheetName val="ASS."/>
      <sheetName val="LIA."/>
      <sheetName val="VAR"/>
      <sheetName val="retire42"/>
      <sheetName val="prop"/>
      <sheetName val="F-1 NOTE"/>
      <sheetName val="F-2 NOTE"/>
      <sheetName val="F-3 NOTE"/>
      <sheetName val="FF-NOTE"/>
      <sheetName val="10 CUT Local"/>
      <sheetName val="10 CUT Export"/>
      <sheetName val="20 CUT"/>
      <sheetName val="Exp._etd Apr"/>
      <sheetName val="retire45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113990"/>
      <sheetName val="Program"/>
      <sheetName val="BS-FULL"/>
      <sheetName val="BS-Format"/>
      <sheetName val="replacement Asset"/>
      <sheetName val="ARAP "/>
      <sheetName val="APAR BY ACCOUNT"/>
      <sheetName val="Detail Sales,Purchase"/>
      <sheetName val="Psmsms0402"/>
      <sheetName val="ARAP BY ACCOUNT"/>
      <sheetName val="retire44"/>
      <sheetName val="ยอดระหว่างกัน"/>
      <sheetName val="PFข้อ7.2540_BP"/>
      <sheetName val="PFข้อ7.2540_BS"/>
      <sheetName val="PFข้อ8.2541_"/>
      <sheetName val="Exp._etd"/>
      <sheetName val="Export_tkic"/>
      <sheetName val="ประกอบงบ-ใช้ตอนQ4"/>
      <sheetName val="frptolocal"/>
      <sheetName val="detailadjust"/>
      <sheetName val="Disposed"/>
      <sheetName val="Curren FA Local"/>
      <sheetName val="BB (2)"/>
      <sheetName val="BB-1 (2)"/>
      <sheetName val="BB-2 (2)"/>
      <sheetName val="5xxxxx"/>
      <sheetName val="64xxxx"/>
      <sheetName val="12.31.01"/>
      <sheetName val=" F-1"/>
      <sheetName val=" F-2"/>
      <sheetName val=" F-3"/>
      <sheetName val="F-1-note"/>
      <sheetName val="F-2-note"/>
      <sheetName val="LINE"/>
      <sheetName val="bscom"/>
      <sheetName val="manage"/>
      <sheetName val="ACCODE1"/>
      <sheetName val="1800"/>
      <sheetName val="1111"/>
      <sheetName val="1112"/>
      <sheetName val="1112.1"/>
      <sheetName val="1104"/>
      <sheetName val="1123"/>
      <sheetName val="1114"/>
      <sheetName val="1302"/>
      <sheetName val="1302.1"/>
      <sheetName val="2101"/>
      <sheetName val="LOT"/>
      <sheetName val="2101.1"/>
      <sheetName val="2101.2"/>
      <sheetName val="2108"/>
      <sheetName val="2101-3103"/>
      <sheetName val="4210"/>
      <sheetName val="5107-9"/>
      <sheetName val="1107-1109"/>
      <sheetName val="5807"/>
      <sheetName val="5809"/>
      <sheetName val="เมล็ด"/>
      <sheetName val="เมล็ดเสื่อม"/>
      <sheetName val="1307"/>
      <sheetName val="5100"/>
      <sheetName val="1108"/>
      <sheetName val="1102.1"/>
      <sheetName val="1105"/>
      <sheetName val="1105.1"/>
      <sheetName val="2105"/>
      <sheetName val="5105"/>
      <sheetName val="ใบหน้ารายงาน"/>
      <sheetName val="รายงานSGV"/>
      <sheetName val="5910"/>
      <sheetName val="M-MM (2)"/>
      <sheetName val="mm-ex"/>
      <sheetName val="f-1-1"/>
      <sheetName val="C-nrv"/>
      <sheetName val="CC (2)"/>
      <sheetName val="exc"/>
      <sheetName val="30-ex"/>
      <sheetName val="revalue"/>
      <sheetName val="DDNOTE"/>
      <sheetName val="C-turnover"/>
      <sheetName val="10-Test (domestic)"/>
      <sheetName val="10-Test (export)"/>
      <sheetName val="10-CUT(2)"/>
      <sheetName val="20-2"/>
      <sheetName val="20-CUT"/>
      <sheetName val="Interim"/>
      <sheetName val="Export Sales"/>
      <sheetName val="Dealer Sales"/>
      <sheetName val="Domestic Sales"/>
      <sheetName val="EXPORT"/>
      <sheetName val="DEALER"/>
      <sheetName val="DOMESTIC"/>
      <sheetName val="FOC DOMESTIC"/>
      <sheetName val="FOC EXPORT"/>
      <sheetName val="CREDIT NOTE"/>
      <sheetName val="DEBIT NOTE"/>
      <sheetName val="B-to"/>
      <sheetName val="BB-to"/>
      <sheetName val="Vouch"/>
      <sheetName val="Project &amp; Construction"/>
      <sheetName val="Engineering Center"/>
      <sheetName val="Maintenance Polyolefins"/>
      <sheetName val="Maintenance Olefins"/>
      <sheetName val="ME Center"/>
      <sheetName val="EE&amp;IE Center"/>
      <sheetName val="DataSheet_Cls"/>
      <sheetName val="AA_settle"/>
      <sheetName val="Hyperion-1"/>
      <sheetName val="CRM-1"/>
      <sheetName val="CRM"/>
      <sheetName val="AUCLoadData1"/>
      <sheetName val="AUCLoadData1 (2)"/>
      <sheetName val="Status24.05.48"/>
      <sheetName val="สรุปCE50"/>
      <sheetName val="CE_10000"/>
      <sheetName val="detail 0480-10000"/>
      <sheetName val="plan_Depre_CCCC_asset_31.08.06"/>
      <sheetName val="plan_Depre_close_IO_2006"/>
      <sheetName val="plan_Depre_close_IO_2007"/>
      <sheetName val="plan_Depre_CE2007"/>
      <sheetName val="รายชื่อผู้ติดต่อ"/>
      <sheetName val="Managing Director"/>
      <sheetName val="สินค้าพิเศษ"/>
      <sheetName val="ส่วนวางแผน"/>
      <sheetName val="การบุคคล"/>
      <sheetName val="ใบของบ"/>
      <sheetName val="ROC-CCTR."/>
      <sheetName val="REPCO-CCtr"/>
      <sheetName val="MTT-CCtr"/>
      <sheetName val="RPL-CCtr"/>
      <sheetName val="RIL1996-CCtr"/>
      <sheetName val="วิเคราะห์"/>
      <sheetName val="BS'000"/>
      <sheetName val="BS_Detail"/>
      <sheetName val="GL_FSC"/>
      <sheetName val="101xxx"/>
      <sheetName val="128xxx"/>
      <sheetName val="20-Test-Imp"/>
      <sheetName val="20-Test-Imp-Note"/>
      <sheetName val="20-Test-Loc"/>
      <sheetName val="20-Test-Loc-Note"/>
      <sheetName val="20-3"/>
      <sheetName val="20-3-Note"/>
      <sheetName val="40,70"/>
      <sheetName val="DL"/>
      <sheetName val="F-3Note"/>
      <sheetName val="l-note"/>
      <sheetName val="mm-note"/>
      <sheetName val="boi"/>
      <sheetName val="Sales-local"/>
      <sheetName val="Sales-export"/>
      <sheetName val="sumcaje_09'00"/>
      <sheetName val="Sum CAJE"/>
      <sheetName val="sub f1, f2 q3'96"/>
      <sheetName val="L-T LOAN"/>
      <sheetName val="Selected AR &amp; AP"/>
      <sheetName val="average"/>
      <sheetName val="forward05"/>
      <sheetName val="forward04"/>
      <sheetName val="Training exp"/>
      <sheetName val="TCRT line1"/>
      <sheetName val="TCRT 20&quot;wa,25&quot;"/>
      <sheetName val="TCP"/>
      <sheetName val="cal tax"/>
      <sheetName val="bstcp"/>
      <sheetName val="Idle cost"/>
      <sheetName val="TB-0310"/>
      <sheetName val="Alert"/>
      <sheetName val="F3-1"/>
      <sheetName val="Admin tic"/>
      <sheetName val="Recovered_Sheet7"/>
      <sheetName val="Recovered_Sheet8"/>
      <sheetName val="Recovered_Sheet9"/>
      <sheetName val="Recovered_Sheet10"/>
      <sheetName val="Recovered_Sheet11"/>
      <sheetName val="Recovered_Sheet12"/>
      <sheetName val="Recovered_Sheet13"/>
      <sheetName val="Add Data"/>
      <sheetName val="InterastPayCash_BS"/>
      <sheetName val="K-CUR"/>
      <sheetName val="keys"/>
      <sheetName val="detail - tcc"/>
      <sheetName val="NOTEBS1"/>
      <sheetName val="NOTEBS2"/>
      <sheetName val="NOTEPL1"/>
      <sheetName val="NOTEPL2"/>
      <sheetName val="adminexp"/>
      <sheetName val="REC&amp;PAY-TRADE"/>
      <sheetName val="REC&amp;PAY - other"/>
      <sheetName val="REC&amp;PAY-promissory note"/>
      <sheetName val="long term loan"/>
      <sheetName val="Investment_sub&amp;asso"/>
      <sheetName val="Investment_other"/>
      <sheetName val="asset&amp;invest_sold"/>
      <sheetName val="IP&amp;manage_exp"/>
      <sheetName val="debentures"/>
      <sheetName val="req note-cur"/>
      <sheetName val="ST-derivative"/>
      <sheetName val="req note last year"/>
      <sheetName val="ppe _note last year"/>
      <sheetName val="Change"/>
      <sheetName val="Note5_RelatedParties"/>
      <sheetName val="RelatedParties (Change)"/>
      <sheetName val="TB-YTD"/>
      <sheetName val="Note for CashFlow"/>
      <sheetName val="Note8_Inventory"/>
      <sheetName val="Note16_LTDebt"/>
      <sheetName val="Note16_Detail LT Debt"/>
      <sheetName val="RelatedParties"/>
      <sheetName val="sales-Services"/>
      <sheetName val="Defer Dec. 2002"/>
      <sheetName val="Defer Nov. 2003 "/>
      <sheetName val="FG(B)"/>
      <sheetName val="part-local"/>
      <sheetName val="LOCAL(B)"/>
      <sheetName val="part-import"/>
      <sheetName val="FA Consol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Point (2)"/>
      <sheetName val="OUTSOURCE"/>
      <sheetName val="02040+41090"/>
      <sheetName val="ZD410_Interest Exp"/>
      <sheetName val="Account Code"/>
      <sheetName val="Cost Center"/>
      <sheetName val="U (2)"/>
      <sheetName val="Test of production"/>
      <sheetName val="ภงด.1"/>
      <sheetName val="Social"/>
      <sheetName val="Commission"/>
      <sheetName val="PL05"/>
      <sheetName val="PL04"/>
      <sheetName val="Client"/>
      <sheetName val="SUM AJE&amp;RJE 2005"/>
      <sheetName val="CompanyAtt"/>
      <sheetName val="ตั๋วเงินรับ"/>
      <sheetName val="เงินกู้ธนชาติ"/>
      <sheetName val="เงินกู้ MGC"/>
      <sheetName val="Cash Flow-E&amp;Y"/>
      <sheetName val="Interest &amp; Other Income"/>
      <sheetName val="Cost of Sales"/>
      <sheetName val="Stock Valuation"/>
      <sheetName val="Selling &amp; Admn Exps"/>
      <sheetName val="Forex Gains (Loss)"/>
      <sheetName val="Cash &amp; Bank Balance"/>
      <sheetName val="Short term Investment"/>
      <sheetName val="Account Receivable"/>
      <sheetName val="Advances to Employees"/>
      <sheetName val="Advance to suppliers"/>
      <sheetName val="Other Current Assets"/>
      <sheetName val="Long Term Inv &amp; Dep"/>
      <sheetName val="Other non-Current Assets "/>
      <sheetName val="Property &amp; Equipment"/>
      <sheetName val="Prop. &amp; Equip. Details"/>
      <sheetName val="Short term Loans"/>
      <sheetName val="Trade Account payable"/>
      <sheetName val="Long Term Loans"/>
      <sheetName val="Hire purchase liability"/>
      <sheetName val="Other Current Liab"/>
      <sheetName val="Account Pay -Non Current portio"/>
      <sheetName val="Other -Non Current Liabilities"/>
      <sheetName val="Reserves &amp; Surplus"/>
      <sheetName val="General &amp; Admn Overheads"/>
      <sheetName val="Weighted Average shares"/>
      <sheetName val="TB IMIS"/>
      <sheetName val="P&amp;L_IIFL"/>
      <sheetName val="BS_IIFL"/>
      <sheetName val="IntDec00TespM&amp;B"/>
      <sheetName val="Age311299TESP"/>
      <sheetName val="P4DDBFTESP"/>
      <sheetName val="FA Schedule"/>
      <sheetName val="Shareholding"/>
      <sheetName val="KP1590_E"/>
      <sheetName val="PTA Spread "/>
      <sheetName val="PX Cons Ratio"/>
      <sheetName val="อาคาร"/>
      <sheetName val="Form isian"/>
      <sheetName val="Bobot"/>
      <sheetName val="Report 1"/>
      <sheetName val="Global Assumptions"/>
      <sheetName val="Mine Assumptions"/>
      <sheetName val="Contractor"/>
      <sheetName val="Operations"/>
      <sheetName val="Depreciation &amp; Amortisation"/>
      <sheetName val="Scenarios and Sensitivities"/>
      <sheetName val="Costs and Selling Price"/>
      <sheetName val="Operations Summary"/>
      <sheetName val="feed to PPT"/>
      <sheetName val="Loundry &amp; SS"/>
      <sheetName val="APlm"/>
      <sheetName val="EE-2"/>
      <sheetName val="EE-3 KKB BCA-3 Avanza VVTI-2"/>
      <sheetName val="EE-4 KKB BCA-2 Avanza VVTI-3"/>
      <sheetName val="EE-5 KKB BCA-1 Avanza MT-5"/>
      <sheetName val="EE-6 KKB BCA-2 Avanza MT-6"/>
      <sheetName val="EE-7 KKB BCA-2 Avanza EMT-7"/>
      <sheetName val="EE-8 KKB BCA-3 Avanza MT-8"/>
      <sheetName val="EE-9 KKB BCA-3 Avanza EMT-9"/>
      <sheetName val="EE-10 Leasing Dipo-Camry-10"/>
      <sheetName val="EE-11 Dipo-1 Innova GMT-11"/>
      <sheetName val="EE-12 KKB BCA  Avanza EMT-13"/>
      <sheetName val="EE-13 KKB BCA Mitsubishi FE-14"/>
      <sheetName val="EE-14 KKB BCA-1 Innova G AT-15 "/>
      <sheetName val="EE-15 Tunas Sarana-13 FEnL-16"/>
      <sheetName val="EE-16 Dipo-1 Altis V AT-17"/>
      <sheetName val="EE-17 ACC-1 Alphard X AT-18"/>
      <sheetName val="EE-18 Dipo-6 FM n FN-19"/>
      <sheetName val="EE-19 Saseka-1 Camry-20"/>
      <sheetName val="EE-20 KKB BCA-1 Innova-21"/>
      <sheetName val="EE-21 Dipo-1 FM 517-22"/>
      <sheetName val="EE-22 Tunas Mandiri Avanza E-23"/>
      <sheetName val="EE-23 BCA Finance-1 Alphard-24"/>
      <sheetName val="EE-24 BCA Finance-1 Accord-25"/>
      <sheetName val="EE-25 BCA Finance-2 Mercy-26 "/>
      <sheetName val="EE-26 BII Finance-1 Alphard-27"/>
      <sheetName val="EE-27 Balimor 1 Innova-28"/>
      <sheetName val="EE-28 Balimor 2 Mitsu FM 517-29"/>
      <sheetName val="EE-29 KKB BCA-9 Innova-4"/>
      <sheetName val="EE-30 Balimor 1 Innova B 1531 "/>
      <sheetName val="EE-31 Balimor 1 Avanza B 1510 "/>
      <sheetName val="EE- 32Balimor 30FE 74 Chasis-32"/>
      <sheetName val="EE-33 Dipo Star 15Mitsubishi "/>
      <sheetName val="EE-34 Mandiri Tunas 5 Mitsu "/>
      <sheetName val="EE-35 Mandiri Tunas 1 FN 517 "/>
      <sheetName val="EE-36 Dipo Star 5 FN 527ML-36"/>
      <sheetName val="EE-37 Balimor 3 Mitsu Fuso-2"/>
      <sheetName val="Leasing Dipo-15 Fuso-1"/>
      <sheetName val="KKB BCA-3 Avanza VVTI-2"/>
      <sheetName val="KKB BCA-2 Avanza VVTI-3"/>
      <sheetName val="KKB BCA-9 Innova-4"/>
      <sheetName val="KKB BCA-1 Avanza MT-5"/>
      <sheetName val="KKB BCA-2 Avanza MT-6"/>
      <sheetName val="KKB BCA-2 Avanza EMT-7"/>
      <sheetName val="KKB BCA-3 Avanza MT-8"/>
      <sheetName val="KKB BCA-3 Avanza EMT-9"/>
      <sheetName val="Leasing Dipo-Camry-10"/>
      <sheetName val="Dipo-1 Innova GMT-11"/>
      <sheetName val="Dipo-2 Alphard-12"/>
      <sheetName val="KKB BCA LPG-5 Avanza EMT-13"/>
      <sheetName val="KKB BCA LPG-25 Mitsubishi FE-14"/>
      <sheetName val="Panin Bank LPG-5 Fuso FN-c"/>
      <sheetName val="KKB BCA-1 Innova G AT-15 "/>
      <sheetName val="Tunas Fin Sarana-13 FEnL-16"/>
      <sheetName val="Dipo-1 Altis V AT-17"/>
      <sheetName val="ACC-1 Alphard X AT-18"/>
      <sheetName val="Dipo-6 FM n FN-19"/>
      <sheetName val="Saseka-1 Camry-20"/>
      <sheetName val="KKB BCA-1 Innova-21"/>
      <sheetName val="Dipo-1 FM 517-22"/>
      <sheetName val="Tunas Mandiri-1 Avanza E-23"/>
      <sheetName val="BCA Finance-1 Alphard-24"/>
      <sheetName val="BCA Finance-1 Accord-25"/>
      <sheetName val="BCA Finance-2 Mercy-26 "/>
      <sheetName val="BII Finance-1 Alphard-27"/>
      <sheetName val="Balimor 1 Innova-28"/>
      <sheetName val="Balimor 2 Mitsu FM 517-29"/>
      <sheetName val="Balimor 1 Innova B 1531 SOB-30"/>
      <sheetName val="Balimor 1 Avanza B 1510 SOB-31"/>
      <sheetName val="Balimor 30 FE 74 Chasis-32"/>
      <sheetName val="Dipo Star 15Mitsubishi FE 74-33"/>
      <sheetName val="Mandiri Tunas 5 Mitsu FE74HD-34"/>
      <sheetName val="Mandiri Tunas 1 FN 517 ML2-35"/>
      <sheetName val="Dipo Star 5 FN 527ML-36"/>
      <sheetName val="Mandiri 20 Hino Dutro -37"/>
      <sheetName val="BLCT-Dipo Star 2 FE74-1"/>
      <sheetName val="BLCT-Dipo Star 2 FN 517 ML-2"/>
      <sheetName val="BLCT-Dipo Star 3 FN 517 ML-3"/>
      <sheetName val="Posisi Htg Pemb Aktiva 300908"/>
      <sheetName val="Mutasi Pokok"/>
      <sheetName val="Mutasi Bunga "/>
      <sheetName val="ABB Dipo-1 FN 527 ML-1"/>
      <sheetName val="ABB Balimor 3 Mitsu Fuso-2"/>
      <sheetName val="Koreksi PPN"/>
      <sheetName val="BLCT"/>
      <sheetName val="PSAK BLCT-2"/>
      <sheetName val="PSAK BLCT-3"/>
      <sheetName val="PSAK ABB"/>
      <sheetName val="PSAK ABB (2)"/>
      <sheetName val="PSAK VWBI"/>
      <sheetName val="PSAK VWBI-2"/>
      <sheetName val="PSAK VWBI USD"/>
      <sheetName val="PSAK VWC"/>
      <sheetName val="AJE'04"/>
      <sheetName val="PAS"/>
      <sheetName val="DIT-NET"/>
      <sheetName val="Asumsi (1)"/>
      <sheetName val="RAB (4)"/>
      <sheetName val="Neraca (5)"/>
      <sheetName val="Laba (6)"/>
      <sheetName val="Kas (7)"/>
      <sheetName val="ProBiaya"/>
      <sheetName val="Sensitiv"/>
      <sheetName val="Tab1"/>
      <sheetName val="DR"/>
      <sheetName val="Tab_Word"/>
      <sheetName val="ProBiaya (2)"/>
      <sheetName val="Perhit. PPh 21 Tahunan 2007"/>
      <sheetName val="230C2.1"/>
      <sheetName val="230C2.2"/>
      <sheetName val="230C3"/>
      <sheetName val="230C4"/>
      <sheetName val="230 D1.1"/>
      <sheetName val="230 D1.2"/>
      <sheetName val="230 D2.1"/>
      <sheetName val="230 D2.2"/>
      <sheetName val="230 D2.3"/>
      <sheetName val="21&amp;26"/>
      <sheetName val="23&amp;26"/>
      <sheetName val="4 (2)"/>
      <sheetName val="Bea"/>
      <sheetName val="PPh dipotong"/>
      <sheetName val="300 B"/>
      <sheetName val="300 C1"/>
      <sheetName val="300 C2"/>
      <sheetName val="390D13.1"/>
      <sheetName val="300 F"/>
      <sheetName val="300 F2"/>
      <sheetName val="300 F3"/>
      <sheetName val="300 F4"/>
      <sheetName val="300 F5"/>
      <sheetName val="500D"/>
      <sheetName val="500D1"/>
      <sheetName val="500D3"/>
      <sheetName val="200C2"/>
      <sheetName val="800D1"/>
      <sheetName val="320F1.1P"/>
      <sheetName val="800F1"/>
      <sheetName val="800F2"/>
      <sheetName val="KK ARUS KAS"/>
      <sheetName val="JKaruskas"/>
      <sheetName val="400F"/>
      <sheetName val="Daftar akta"/>
      <sheetName val="100 J"/>
      <sheetName val="BAP KAS"/>
      <sheetName val="CHGB"/>
      <sheetName val="Penarikan saldo kas"/>
      <sheetName val="reg. bank"/>
      <sheetName val="form.konf.bank"/>
      <sheetName val="Reg.konf.H-P"/>
      <sheetName val="Rekonsiliasi Bank Rp"/>
      <sheetName val="Rekonsiliasi Bank VLS"/>
      <sheetName val="REKAP_PPh21"/>
      <sheetName val="REKAP PPh23-26 "/>
      <sheetName val="KLASIFIKASI PPh23-26"/>
      <sheetName val="JENIS JASA PPh23-26"/>
      <sheetName val="REKAP PPNDN"/>
      <sheetName val="PPh PSL 4 (2)"/>
      <sheetName val="REKAP STP 2011"/>
      <sheetName val="DETLED"/>
      <sheetName val="ASSETFISKAL2009"/>
      <sheetName val="ASSETKOMERSIL2010"/>
      <sheetName val="ASSETFISKAL2010"/>
      <sheetName val="ASSETKOMERSIL2011"/>
      <sheetName val="ASSETFISKAL2011"/>
      <sheetName val="Rekonsiliasi PPh 21"/>
      <sheetName val="Rekonsiliasi PPh 23"/>
      <sheetName val="Pembayaran &amp; Pelaporan PPh 22"/>
      <sheetName val="Tangguhan (2)"/>
      <sheetName val="PROFIT LOSS"/>
      <sheetName val="1.BSPL"/>
      <sheetName val="2.EQUITY"/>
      <sheetName val="3.CASHFLOW"/>
      <sheetName val="4.NFS GENERAL"/>
      <sheetName val="6.NFS-ACCOUNT"/>
      <sheetName val="7.INFORMASI SEGMEN"/>
      <sheetName val="UTK CF"/>
      <sheetName val="KK Arus Kas (2)"/>
      <sheetName val="WS 311209"/>
      <sheetName val="PR01 - PM, TE"/>
      <sheetName val="PR02 - Ident. of Sig. Accts."/>
      <sheetName val="PR03 - Inherent Risk Assessment"/>
      <sheetName val="PR04 - Combined Risk Assessment"/>
      <sheetName val="KKA100 Cash"/>
      <sheetName val="KKA 120 -Short-term Investments"/>
      <sheetName val="KKA 125 -Marketable Securitites"/>
      <sheetName val="KKA 130 AR - Trade"/>
      <sheetName val="KKA 135 AR - Affiliate"/>
      <sheetName val="KKA 150 Invty"/>
      <sheetName val="KKA 180 Prepaid expenses"/>
      <sheetName val="KKA 185 Intangibles"/>
      <sheetName val="KKA 190 - Long-term Investments"/>
      <sheetName val="KKA 196 - Inv in affiliates"/>
      <sheetName val="KKA 200 PPE"/>
      <sheetName val="KKA 250 - Long-term receivables"/>
      <sheetName val="KKA 300 Notes Payable"/>
      <sheetName val="KKA 320 AP - Trade"/>
      <sheetName val="KKA 340 AP - Affiliates"/>
      <sheetName val="KKA 355 Income Taxes"/>
      <sheetName val="KKA 360 Provisions"/>
      <sheetName val="KKA 390 Long-term debt"/>
      <sheetName val="KKA 396 Derivatives"/>
      <sheetName val="KKA 400 Equity"/>
      <sheetName val="KKA 500 Revenue"/>
      <sheetName val="KKA 550 Cost of Sales"/>
      <sheetName val="KKA 600 Selling Expenses"/>
      <sheetName val="KKA 700 Admin Expenses"/>
      <sheetName val="KKA 750 Payroll"/>
      <sheetName val="KKA 800 Other Income (Expense)"/>
      <sheetName val="PPN M"/>
      <sheetName val="mar "/>
      <sheetName val="G_ LR"/>
      <sheetName val="g_Penj"/>
      <sheetName val="G_ By"/>
      <sheetName val="LPK"/>
      <sheetName val="By. Ops.Langsung "/>
      <sheetName val="By. Ops. Tdk Langsung"/>
      <sheetName val="Persentase"/>
      <sheetName val="LPSH"/>
      <sheetName val="JS 02"/>
      <sheetName val="Catt Review"/>
      <sheetName val="Tab An"/>
      <sheetName val="PU"/>
      <sheetName val="PJKDD"/>
      <sheetName val="BYDD"/>
      <sheetName val="KK-AT"/>
      <sheetName val="AL"/>
      <sheetName val="HA"/>
      <sheetName val="UMP"/>
      <sheetName val="HPJK"/>
      <sheetName val="BYMH"/>
      <sheetName val="MDL"/>
      <sheetName val="B6"/>
      <sheetName val="nermut07"/>
      <sheetName val="lap by"/>
      <sheetName val="rl baru"/>
      <sheetName val="ph3"/>
      <sheetName val="G-Pj"/>
      <sheetName val="Pos2"/>
      <sheetName val="LR "/>
      <sheetName val="LR berjalan "/>
      <sheetName val="By langsng"/>
      <sheetName val="By-6"/>
      <sheetName val="By-7"/>
      <sheetName val="LMK (2)"/>
      <sheetName val="HTG LL"/>
      <sheetName val="UM KMR"/>
      <sheetName val="nm nEW"/>
      <sheetName val="Jr"/>
      <sheetName val="by pra"/>
      <sheetName val="hpp Ballroom"/>
      <sheetName val="at2"/>
      <sheetName val="G-LR"/>
      <sheetName val="G-By"/>
      <sheetName val="Hut Lain"/>
      <sheetName val="Piut lain"/>
      <sheetName val="NRC New"/>
      <sheetName val="LR berjalan New"/>
      <sheetName val="KARTU RATIO"/>
      <sheetName val="KARTU LR"/>
      <sheetName val="kartu neraca"/>
      <sheetName val="FotoAT"/>
      <sheetName val="Grafik "/>
      <sheetName val="By_6"/>
      <sheetName val="By-6(2)"/>
      <sheetName val="By_7"/>
      <sheetName val="By-7(2)"/>
      <sheetName val="ANALISA KONS"/>
      <sheetName val="Olie _SPBU"/>
      <sheetName val="NRC (INT)"/>
      <sheetName val="mk INT"/>
      <sheetName val="mk F"/>
      <sheetName val="UM INT"/>
      <sheetName val="UM FIS"/>
      <sheetName val="PIUT EKSPOR INT"/>
      <sheetName val="PIUT EKSPOR F"/>
      <sheetName val="HUT INT"/>
      <sheetName val="HUT FIS"/>
      <sheetName val="Piut Kar F"/>
      <sheetName val="BY7"/>
      <sheetName val="BY9"/>
      <sheetName val="pos2 ner&amp;LR"/>
      <sheetName val="HUTB"/>
      <sheetName val="HUTNB"/>
      <sheetName val="LPSHB"/>
      <sheetName val="LPSHN"/>
      <sheetName val="ttl"/>
      <sheetName val="FORMBY6"/>
      <sheetName val="FORMBY7"/>
      <sheetName val="FORMBY9"/>
      <sheetName val="daft"/>
      <sheetName val="GR BY"/>
      <sheetName val="GR LR"/>
      <sheetName val="GR PENJ"/>
      <sheetName val="TKA"/>
      <sheetName val="LPH-VALAS"/>
      <sheetName val="LPP-VALAS"/>
      <sheetName val="perinc. bg"/>
      <sheetName val="HPP SP"/>
      <sheetName val="HPP MATRAS"/>
      <sheetName val="POS NRC"/>
      <sheetName val="ak-tetap"/>
      <sheetName val="lampiran6-new"/>
      <sheetName val="Road to report"/>
      <sheetName val="Juli 09"/>
      <sheetName val="analisa single"/>
      <sheetName val="analisa2"/>
      <sheetName val="analisa1"/>
      <sheetName val="PBPP"/>
      <sheetName val="LMP"/>
      <sheetName val="Rincian AT KOM"/>
      <sheetName val="KPNO"/>
      <sheetName val="KPO"/>
      <sheetName val="Sda"/>
      <sheetName val="NGAGEL"/>
      <sheetName val="200B"/>
      <sheetName val="200D1.1"/>
      <sheetName val="200C3"/>
      <sheetName val="200C4"/>
      <sheetName val="200C5"/>
      <sheetName val="200F1"/>
      <sheetName val="200F2"/>
      <sheetName val="200F4"/>
      <sheetName val="200F5"/>
      <sheetName val="200D2.1"/>
      <sheetName val="200D2.2"/>
      <sheetName val="200D2.3"/>
      <sheetName val="200D2.4"/>
      <sheetName val="200D2.5"/>
      <sheetName val="200D2.6"/>
      <sheetName val="650"/>
      <sheetName val="1600"/>
      <sheetName val="2600"/>
      <sheetName val="Sub ev rev"/>
      <sheetName val="Hub.is.rev"/>
      <sheetName val="Im. paska kerja rev"/>
      <sheetName val="TANAH _ BANGUNAN"/>
      <sheetName val="KENDARAAN "/>
      <sheetName val="PERLENGKAPAN "/>
      <sheetName val="PERABOT"/>
      <sheetName val="Cross Check AT KPNO"/>
      <sheetName val="Cross Check AT KPO"/>
      <sheetName val="Cross Check AT SDA"/>
      <sheetName val="Cross Check AT Ngagel"/>
      <sheetName val="Cross Check MLG"/>
      <sheetName val="Cross Check KONSOL"/>
      <sheetName val="100. Kas dan setara kas"/>
      <sheetName val="140. Piutang lain - lain"/>
      <sheetName val="180. uang muka kerja"/>
      <sheetName val="185. PYAD"/>
      <sheetName val="200. Aktiva Tetap"/>
      <sheetName val="250 Aktiva lain-lain"/>
      <sheetName val="350. Hutang lain-lain"/>
      <sheetName val="400. Modal"/>
      <sheetName val="700. Beban Usaha"/>
      <sheetName val="750 B"/>
      <sheetName val="750 D"/>
      <sheetName val="750 D1"/>
      <sheetName val="750 D2"/>
      <sheetName val="750 D3"/>
      <sheetName val="750 D4"/>
      <sheetName val="750 D5"/>
      <sheetName val="750 F"/>
      <sheetName val="K_2_2_1"/>
      <sheetName val="R_14_OIL"/>
      <sheetName val="R-1 (Oil)"/>
      <sheetName val="R-1 (Gas)"/>
      <sheetName val="R-4 (Oil)"/>
      <sheetName val="R-4 (Gas)"/>
      <sheetName val="R-4A"/>
      <sheetName val="R-8A"/>
      <sheetName val="R-11A"/>
      <sheetName val="R-14.GAS"/>
      <sheetName val="R-16.1.1"/>
      <sheetName val="R-16.2.1"/>
      <sheetName val="DMO-Dec99"/>
      <sheetName val="Tax Calculation Sheet"/>
      <sheetName val="Tbl-Q1"/>
      <sheetName val="Tbl-Q2"/>
      <sheetName val="Tbl-Q3"/>
      <sheetName val="C-Lead-NOV"/>
      <sheetName val="C2 NOV"/>
      <sheetName val="C3 NOV"/>
      <sheetName val="timedeppostnov"/>
      <sheetName val="Detail C1"/>
      <sheetName val="detailC2"/>
      <sheetName val="timedeppost"/>
      <sheetName val="confcontrol"/>
      <sheetName val="I_4_1 _2_"/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I Lead-decS (2)"/>
      <sheetName val="I.2-dec (2)"/>
      <sheetName val="I .1-dec (2)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I Lead-decS"/>
      <sheetName val="I.2-dec"/>
      <sheetName val="I .1-dec"/>
      <sheetName val="Worksheet_05"/>
      <sheetName val="BV1"/>
      <sheetName val="BV2"/>
      <sheetName val="BV3"/>
      <sheetName val="BV4"/>
      <sheetName val="PC1"/>
      <sheetName val="PC2"/>
      <sheetName val="PC3"/>
      <sheetName val="PC5"/>
      <sheetName val="PC4"/>
      <sheetName val="AJ1"/>
      <sheetName val="LEDGER BS"/>
      <sheetName val="LEDGER PL"/>
      <sheetName val="EB"/>
      <sheetName val="Wells"/>
      <sheetName val="Zones"/>
      <sheetName val="H-2.SRB-MRB-MsRB"/>
      <sheetName val="Notelines"/>
      <sheetName val="FS Lines"/>
      <sheetName val="FS Sub-Classes"/>
      <sheetName val="Classess"/>
      <sheetName val="Note Lines"/>
      <sheetName val="ALICIA"/>
      <sheetName val="MELANIA"/>
      <sheetName val="MOESI"/>
      <sheetName val="CIBUNI"/>
      <sheetName val="WPL FISKAL"/>
      <sheetName val="FInal Non Final"/>
      <sheetName val="2010-DESEMBER"/>
      <sheetName val="NDE C04 - RTK GA"/>
      <sheetName val="NDE C09 - IS"/>
      <sheetName val="NDE B10 - RTK COS"/>
      <sheetName val="NDE C14 - Pemasaran"/>
      <sheetName val="NDE D02A - Deposito"/>
      <sheetName val="NDE - BIAYA PAJAK"/>
      <sheetName val="TD - PENYUSUTAN"/>
      <sheetName val="NDE - BIAYA GAJI"/>
      <sheetName val="TD - BIAYA GAJI"/>
      <sheetName val="TD - HONOR TA"/>
      <sheetName val="TD - LABA AKTIVA"/>
      <sheetName val="NDE - BEBAN BUNGA"/>
      <sheetName val="__VBA__23"/>
      <sheetName val="__VBA__24"/>
      <sheetName val="__VBA__25"/>
      <sheetName val="__VBA__26"/>
      <sheetName val="__VBA__27"/>
      <sheetName val="__VBA__28"/>
      <sheetName val="__VBA__29"/>
      <sheetName val="__VBA__30"/>
      <sheetName val="__VBA__31"/>
      <sheetName val="__VBA__32"/>
      <sheetName val="__VBA__33"/>
      <sheetName val="__VBA__34"/>
      <sheetName val="__VBA__35"/>
      <sheetName val="__VBA__36"/>
      <sheetName val="__VBA__37"/>
      <sheetName val="__VBA__38"/>
      <sheetName val="__VBA__39"/>
      <sheetName val="__VBA__40"/>
      <sheetName val="__VBA__41"/>
      <sheetName val="__VBA__42"/>
      <sheetName val="__VBA__43"/>
      <sheetName val="__VBA__44"/>
      <sheetName val="__VBA__45"/>
      <sheetName val="__VBA__46"/>
      <sheetName val="__VBA__47"/>
      <sheetName val="__VBA__48"/>
      <sheetName val="__VBA__49"/>
      <sheetName val="__VBA__0"/>
      <sheetName val="__VBA__1"/>
      <sheetName val="__VBA__2"/>
      <sheetName val="__VBA__3_2"/>
      <sheetName val="__VBA__4_2"/>
      <sheetName val="__VBA__5_2"/>
      <sheetName val="__VBA__6_2"/>
      <sheetName val="__VBA__7_2"/>
      <sheetName val="__VBA__8_2"/>
      <sheetName val="__VBA__9_2"/>
      <sheetName val="__VBA__10_2"/>
      <sheetName val="__VBA__11_2"/>
      <sheetName val="__VBA__12_2"/>
      <sheetName val="EJE-INVESTMENT (2)"/>
      <sheetName val="FAIR VALUE"/>
      <sheetName val="TOP (2)"/>
      <sheetName val="CONSOLIDATED COMPANIES"/>
      <sheetName val="CASH-FLOW"/>
      <sheetName val="EY RECLASS EQUITY-2009"/>
      <sheetName val="EY RECLASS 2009 FA-2009"/>
      <sheetName val="ADJUSTMENT AT CONSOL LEVEL"/>
      <sheetName val="EJE-INVESTMENT"/>
      <sheetName val="EJE-INTERCO BALANCES"/>
      <sheetName val="TRANSACTION WITH RP"/>
      <sheetName val="EJE-RESIPROCAL"/>
      <sheetName val="MONIS"/>
      <sheetName val="STI"/>
      <sheetName val="APAR"/>
      <sheetName val="FA-S"/>
      <sheetName val="FA-NS"/>
      <sheetName val="FA-BOT"/>
      <sheetName val="PRO"/>
      <sheetName val="ONCA"/>
      <sheetName val="CBL"/>
      <sheetName val="AE"/>
      <sheetName val="LBL"/>
      <sheetName val="ITC"/>
      <sheetName val="SI-CIT"/>
      <sheetName val="ITD"/>
      <sheetName val="SI-DTA"/>
      <sheetName val="PEBO"/>
      <sheetName val="SSS&lt;FINAL PEBO&gt;"/>
      <sheetName val="RET-PEBO"/>
      <sheetName val="GL-PEBO"/>
      <sheetName val="Pension-PEBO"/>
      <sheetName val="MONE"/>
      <sheetName val="Summary (Pr)"/>
      <sheetName val="CONDENSE"/>
      <sheetName val="aging AR-AP"/>
      <sheetName val="Akt &amp; kwjb original"/>
      <sheetName val="SSL - BS"/>
      <sheetName val="Eliminated (Condensed)"/>
      <sheetName val="Analysis 2009"/>
      <sheetName val="rincian beda waktu"/>
      <sheetName val="hutang jk pjg per org curr"/>
      <sheetName val="Movement hutang"/>
      <sheetName val="OS - BS"/>
      <sheetName val="OS - per month"/>
      <sheetName val="SSL-per month "/>
      <sheetName val="FA - OS"/>
      <sheetName val="FA - SSL"/>
      <sheetName val="Labor Law"/>
      <sheetName val="Labor law fo report"/>
      <sheetName val="Jaminan Bank"/>
      <sheetName val="RCF"/>
      <sheetName val="BBLR"/>
      <sheetName val="RBF"/>
      <sheetName val="BBNRC"/>
      <sheetName val="KHU"/>
      <sheetName val="L-R"/>
      <sheetName val="ALK"/>
      <sheetName val="BF"/>
      <sheetName val="Pendptan (2)"/>
      <sheetName val="LTD"/>
      <sheetName val="Sheet8 (2)"/>
      <sheetName val="Working Paper (2)"/>
      <sheetName val="1771 Y Ind"/>
      <sheetName val="1771 Y Eng"/>
      <sheetName val="Final TB"/>
      <sheetName val="Tax Calc. - Resume"/>
      <sheetName val="1771-V "/>
      <sheetName val="26(4)"/>
      <sheetName val="kredit LN"/>
      <sheetName val="March 06"/>
      <sheetName val="Updated sort"/>
      <sheetName val="Non Ded Exp"/>
      <sheetName val="Journal Entry"/>
      <sheetName val="Sub Total"/>
      <sheetName val="Scala"/>
      <sheetName val="ARKA"/>
      <sheetName val="PJL LK"/>
      <sheetName val="L-6"/>
      <sheetName val="L-7"/>
      <sheetName val="L-8"/>
      <sheetName val="L-9"/>
      <sheetName val="L-10"/>
      <sheetName val="L-11"/>
      <sheetName val="L-13"/>
      <sheetName val="NLM"/>
      <sheetName val="Beli IVT"/>
      <sheetName val="PDJ"/>
      <sheetName val="Perhitungan PPh"/>
      <sheetName val="Piu Hut Ps 21-10"/>
      <sheetName val="Table 1"/>
      <sheetName val="Daftar Gaji Tambahan"/>
      <sheetName val="Daftar Gaji"/>
      <sheetName val="Buku Tambahan"/>
      <sheetName val="Tabel Bantu"/>
      <sheetName val="GLJ (2)"/>
      <sheetName val="KAS (3)"/>
      <sheetName val="BPJ (3)"/>
      <sheetName val="101"/>
      <sheetName val="BPJ (2)"/>
      <sheetName val="NPC"/>
      <sheetName val="BPJ"/>
      <sheetName val="KAS (2)"/>
      <sheetName val="BPJ (4)"/>
      <sheetName val="JPJ"/>
      <sheetName val="Cashflow _ without SSM"/>
      <sheetName val="WBS_WPL KONSOL"/>
      <sheetName val="LKDES09-net,"/>
      <sheetName val="DETAIL PENJELASAN"/>
      <sheetName val="A (2)"/>
      <sheetName val="G_2_1"/>
      <sheetName val="G_3"/>
      <sheetName val="N_1_1"/>
      <sheetName val="S-2.2"/>
      <sheetName val="FINREP _2_"/>
      <sheetName val="FINREP"/>
      <sheetName val="WP_SP_03"/>
      <sheetName val="C-8.1"/>
      <sheetName val="Att. E-1.2 (Subseq. Rcpt.)"/>
      <sheetName val="G-4"/>
      <sheetName val="O-1-1 (PPh 21-Jkt)"/>
      <sheetName val="O-1.2 (PPh 21-Smg)"/>
      <sheetName val="WP-SP-03"/>
      <sheetName val="PYJE '03"/>
      <sheetName val="PAJE '03"/>
      <sheetName val="PRJE '03"/>
      <sheetName val="CAJE-03"/>
      <sheetName val="CRJE-03"/>
      <sheetName val="E-1.1 Oil"/>
      <sheetName val="E.1.1.3 Conf"/>
      <sheetName val="E-1.2 Gas"/>
      <sheetName val="E-1.3 DMO"/>
      <sheetName val="E-2.3.3"/>
      <sheetName val="E-2.4.1"/>
      <sheetName val="E-2.4.2"/>
      <sheetName val="K.2.1(rav indo gaap)"/>
      <sheetName val="K-2.2"/>
      <sheetName val="K-2.2(rev indo gaap)"/>
      <sheetName val="K-2.3 Reserve"/>
      <sheetName val="T Confirmation"/>
      <sheetName val="U.1.1.1"/>
      <sheetName val="JNL Oil Old"/>
      <sheetName val="U-2.1.1.1"/>
      <sheetName val="U-2.1.2"/>
      <sheetName val="U-2.2.1"/>
      <sheetName val="GL 060210"/>
      <sheetName val="TB "/>
      <sheetName val="GL REVISED"/>
      <sheetName val="JIB_1H"/>
      <sheetName val="JIB_2H"/>
      <sheetName val="Comp DMO"/>
      <sheetName val="TB REVISED"/>
      <sheetName val="Oper"/>
      <sheetName val="TB OLD"/>
      <sheetName val="GL 060202"/>
      <sheetName val="INSTITUSI"/>
      <sheetName val="Asset SIT"/>
      <sheetName val="RINC"/>
      <sheetName val="ujicoba"/>
      <sheetName val="MATRIKS HUTANG PIUTANG"/>
      <sheetName val="Pjg"/>
      <sheetName val="CM Holding"/>
      <sheetName val="Y2D Holding"/>
      <sheetName val="LR detail"/>
      <sheetName val="FA Fiscal _ Tangguhan"/>
      <sheetName val="led-at"/>
      <sheetName val="Bukti Pot"/>
      <sheetName val="Rekon-Perbook SIT"/>
      <sheetName val="Rekon dctx"/>
      <sheetName val="dep-fiskal"/>
      <sheetName val="1771 Induk"/>
      <sheetName val="1771-III (2)"/>
      <sheetName val="1A depre"/>
      <sheetName val="3A-1"/>
      <sheetName val="3A-2"/>
      <sheetName val="8A-6 trans"/>
      <sheetName val="Angs 25"/>
      <sheetName val="NERACA&amp;PL"/>
      <sheetName val="E1 &amp; E2"/>
      <sheetName val="DATA CODA"/>
      <sheetName val="Mut Nop'10"/>
      <sheetName val="&lt;=201011"/>
      <sheetName val="Piutang &amp; hutang Afiliasi"/>
      <sheetName val="B. G &amp; A"/>
      <sheetName val="140B"/>
      <sheetName val="140 D"/>
      <sheetName val="140 F"/>
      <sheetName val="140C"/>
      <sheetName val="140F"/>
      <sheetName val="140F2"/>
      <sheetName val="Customers"/>
      <sheetName val="Products"/>
      <sheetName val="TrfToBlend"/>
      <sheetName val="SalesReg"/>
      <sheetName val="RequisForSample"/>
      <sheetName val="ProdPivot"/>
      <sheetName val="TrfToBlendPivot"/>
      <sheetName val="ProdBlendPivot"/>
      <sheetName val="RequisForSamplePivot"/>
      <sheetName val="SalesPivot"/>
      <sheetName val="HProd"/>
      <sheetName val="HTrfToBlend"/>
      <sheetName val="HSalesReg"/>
      <sheetName val="HRequisForSample"/>
      <sheetName val="KKLR"/>
      <sheetName val="PAJE-PAJE SUMMARY "/>
      <sheetName val="CAJE- CAJE SUMMARY "/>
      <sheetName val="AFILIASI SIT _NET"/>
      <sheetName val="AFILIASI-2"/>
      <sheetName val="AR-AP By Cur"/>
      <sheetName val="Jml Kary"/>
      <sheetName val="Affiliated"/>
      <sheetName val="Affiliated-NET"/>
      <sheetName val="Foreign BS"/>
      <sheetName val="FA Versi report"/>
      <sheetName val="Breakdown BS"/>
      <sheetName val="Def_tax"/>
      <sheetName val="Eliminasi-REVISI"/>
      <sheetName val="Direct CF"/>
      <sheetName val="Minority interest SIT"/>
      <sheetName val="Non_audited subsis"/>
      <sheetName val="CF support"/>
      <sheetName val="Empl benefit panurjwan"/>
      <sheetName val="rincian ptg dan htg"/>
      <sheetName val="Aff_SIG"/>
      <sheetName val="Aff_SIG _1_"/>
      <sheetName val="Aff_SIG_2"/>
      <sheetName val="LAP perub ekuitas"/>
      <sheetName val="jurnal_eli"/>
      <sheetName val="condensed entity"/>
      <sheetName val="AFFILIASI"/>
      <sheetName val="Perincian sesuai report"/>
      <sheetName val="FA KSL"/>
      <sheetName val="JURNAL ABSORB LABA ANAK KE TBS"/>
      <sheetName val="SSL _ PL"/>
      <sheetName val="PERINCIAN_1"/>
      <sheetName val="FA SSL"/>
      <sheetName val="LR COMPRE"/>
      <sheetName val="Bank SSL"/>
      <sheetName val="Equity report"/>
      <sheetName val="REKLASS 2010"/>
      <sheetName val="TOPCompare"/>
      <sheetName val="Balance per Entity"/>
      <sheetName val="Income per Entity"/>
      <sheetName val="TOP2010"/>
      <sheetName val="PLCompare"/>
      <sheetName val="PL2011"/>
      <sheetName val="PL2010"/>
      <sheetName val="AJE UNIT"/>
      <sheetName val="AJECONSOL"/>
      <sheetName val="TOP2011"/>
      <sheetName val="TB TBS JKT"/>
      <sheetName val="TBS SMR"/>
      <sheetName val="Sumbar - Likuidasi"/>
      <sheetName val="Pinang - Likuidasi"/>
      <sheetName val="UPPIS - Likuidasi"/>
      <sheetName val="Kapuas - Likuidasi"/>
      <sheetName val="Prabu - Likuidasi"/>
      <sheetName val="Banjar"/>
      <sheetName val="Kutai"/>
      <sheetName val="Ampel Konsol"/>
      <sheetName val="Merak"/>
      <sheetName val="Balerang"/>
      <sheetName val="Deli"/>
      <sheetName val="Kota"/>
      <sheetName val="Kuala"/>
      <sheetName val="Makassar"/>
      <sheetName val="Papan"/>
      <sheetName val="Tara"/>
      <sheetName val="Tembini"/>
      <sheetName val="Tirang"/>
      <sheetName val="Musi"/>
      <sheetName val="DRAFT (2)"/>
      <sheetName val="13.hutang lain2"/>
      <sheetName val="840A"/>
      <sheetName val="840"/>
      <sheetName val="840D1"/>
      <sheetName val="840D2"/>
      <sheetName val="840D3"/>
      <sheetName val="840D4"/>
      <sheetName val="840D5"/>
      <sheetName val="Angsuran PPh 29"/>
      <sheetName val="Leadsheet"/>
      <sheetName val="Analisa umur"/>
      <sheetName val="Mutasi Peny. piutang"/>
      <sheetName val="Analisa Statistik Piutang"/>
      <sheetName val="Rekonstruksi"/>
      <sheetName val="130 C1.1"/>
      <sheetName val="130 C1.2"/>
      <sheetName val="130 J"/>
      <sheetName val="125"/>
      <sheetName val="160"/>
      <sheetName val="185"/>
      <sheetName val="196"/>
      <sheetName val="200,210"/>
      <sheetName val="250"/>
      <sheetName val="375"/>
      <sheetName val="399"/>
      <sheetName val="550"/>
      <sheetName val="841"/>
      <sheetName val="320A"/>
      <sheetName val="320B"/>
      <sheetName val="320C1.1"/>
      <sheetName val="320C1.2"/>
      <sheetName val="320C1.3"/>
      <sheetName val="320C1.4"/>
      <sheetName val="320C1.5"/>
      <sheetName val="320F1"/>
      <sheetName val="320F2"/>
      <sheetName val="320 F3"/>
      <sheetName val="320J"/>
      <sheetName val="135"/>
      <sheetName val="340"/>
      <sheetName val="560"/>
      <sheetName val="150 A"/>
      <sheetName val="150 B"/>
      <sheetName val="150 F1"/>
      <sheetName val="150 F3"/>
      <sheetName val="150 F4"/>
      <sheetName val="150 F5"/>
      <sheetName val="150 F6"/>
      <sheetName val="150 F7"/>
      <sheetName val="150 F8"/>
      <sheetName val="150 D1"/>
      <sheetName val="150 C1"/>
      <sheetName val="150 C2"/>
      <sheetName val="150 D2"/>
      <sheetName val="310B"/>
      <sheetName val="310C"/>
      <sheetName val="310D1"/>
      <sheetName val="310D2"/>
      <sheetName val="310F2"/>
      <sheetName val="310F3"/>
      <sheetName val="310K"/>
      <sheetName val="Lap Ekspor"/>
      <sheetName val="Lap Lokal"/>
      <sheetName val="LIST-FA'08"/>
      <sheetName val="LIST-FA'07 (Otak-Atik)"/>
      <sheetName val="LIST-FA'07 (2)"/>
      <sheetName val="REKAP 2004"/>
      <sheetName val="cumm"/>
      <sheetName val="mess&amp;nda"/>
      <sheetName val="standard"/>
      <sheetName val="REKAP FA 2003"/>
      <sheetName val="1051-WIRECHG"/>
      <sheetName val="1052-RECLASS USD"/>
      <sheetName val="1053-RECLASS IDR"/>
      <sheetName val="1054-RECLASS SGD"/>
      <sheetName val="LIST-FA 2008"/>
      <sheetName val="LIST-FA 2006"/>
      <sheetName val="LIST-FA 2007"/>
      <sheetName val="600 B"/>
      <sheetName val="600 "/>
      <sheetName val="600C1"/>
      <sheetName val="600C2"/>
      <sheetName val="600F1"/>
      <sheetName val="200F1 "/>
      <sheetName val="200F2- Kel 1"/>
      <sheetName val="200F3-kel 2"/>
      <sheetName val="Books of account"/>
      <sheetName val="WPTBMFG"/>
      <sheetName val="ISPPTI"/>
      <sheetName val="BSPPTI"/>
      <sheetName val="CASHFLOWPPTI"/>
      <sheetName val="Gen.journal"/>
      <sheetName val="Schedule of Expenses  "/>
      <sheetName val="Schedule of factory overhead "/>
      <sheetName val="schedulestoolsteel"/>
      <sheetName val="CONSOLIDATEDINCOME"/>
      <sheetName val="CONSOLIDATEDINCOME MNFNG &amp; TRAD"/>
      <sheetName val="BSDUETOAFFILOFF"/>
      <sheetName val="CONSOCASHFLOWMFGTOOL"/>
      <sheetName val="consolidatedCASHFLOW"/>
      <sheetName val="Hitachi Financial statement"/>
      <sheetName val="Hitachi"/>
      <sheetName val="FStradingnewform"/>
      <sheetName val="BSTRADING"/>
      <sheetName val="trial balance dollar"/>
      <sheetName val="WS Trading"/>
      <sheetName val="Summary of Journal voucher "/>
      <sheetName val="factory overhead tool steel"/>
      <sheetName val="cashrecon"/>
      <sheetName val="indentcom"/>
      <sheetName val="Finished Good Inventory"/>
      <sheetName val="Semi-finished"/>
      <sheetName val="sept05 (2)"/>
      <sheetName val="Factory Supplies Inventory  "/>
      <sheetName val="NOVEMBER2005"/>
      <sheetName val="raw mat feb"/>
      <sheetName val=" JANUARY AS ADJUSTED"/>
      <sheetName val="Inventory Raw Mater"/>
      <sheetName val="TEMPORARYADVANCES"/>
      <sheetName val="advances to officer and employe"/>
      <sheetName val="advances to off and emp"/>
      <sheetName val="ADV. TO SUPPLIER"/>
      <sheetName val="Advances to Affi "/>
      <sheetName val="Advances to Nichiei Corp."/>
      <sheetName val="Prepaid expenses"/>
      <sheetName val="Prepaid Tax "/>
      <sheetName val="Unexpired insurance"/>
      <sheetName val="Loan receivable-NPI "/>
      <sheetName val="UTILITYDEPOSIT"/>
      <sheetName val="lapsing"/>
      <sheetName val="AP OTHERS (2)"/>
      <sheetName val="AP TRADE (2)"/>
      <sheetName val="Fringe Benefit tax payable"/>
      <sheetName val="Income Tax payable"/>
      <sheetName val="Accrued Retirement "/>
      <sheetName val="Due to Nichiei Corp"/>
      <sheetName val="Due to Nichiei Pilipinas"/>
      <sheetName val="Loan Payable RCBC"/>
      <sheetName val="Loan Payable Nichiei Corp."/>
      <sheetName val="Paid in Capital"/>
      <sheetName val="This Year Profit"/>
      <sheetName val="Gross earnings"/>
      <sheetName val="schedule of sales"/>
      <sheetName val="RENT EXPENSE"/>
      <sheetName val="13th month pay"/>
      <sheetName val="repair and maintenance"/>
      <sheetName val="salesschedtonichiei"/>
      <sheetName val="collection"/>
      <sheetName val="PPTIOFFSETARTONPI"/>
      <sheetName val="NPIOFFSETTOPPTI"/>
      <sheetName val="payrollToolSteelDiv"/>
      <sheetName val="PROVIISION13THMOtool"/>
      <sheetName val="provision for retirmenttool"/>
      <sheetName val="incentivetool"/>
      <sheetName val="AJEPROFEEACCRUE"/>
      <sheetName val="NPIJVrentincome"/>
      <sheetName val="greson"/>
      <sheetName val="PACAJE Sum"/>
      <sheetName val="IS analytics"/>
      <sheetName val="BS analytics"/>
      <sheetName val="AP-Balabagan2"/>
      <sheetName val="AP-Balabagan1"/>
      <sheetName val="prep.income tax"/>
      <sheetName val="advance rental"/>
      <sheetName val="retirement-updated"/>
      <sheetName val="retirement"/>
      <sheetName val="remittance-tax"/>
      <sheetName val="N-Search"/>
      <sheetName val="Fsum"/>
      <sheetName val="RF_diesel"/>
      <sheetName val="F-nrv test-FG"/>
      <sheetName val="RE-roll"/>
      <sheetName val="N-CRAM"/>
      <sheetName val="E-cram"/>
      <sheetName val="C-cram"/>
      <sheetName val="PPE lapsing"/>
      <sheetName val="payments to agencies"/>
      <sheetName val="N2-cram "/>
      <sheetName val="N-cram2"/>
      <sheetName val="EL-1"/>
      <sheetName val="staff superannuation "/>
      <sheetName val="EL-4"/>
      <sheetName val="BIR"/>
      <sheetName val="Unrecorded Lia"/>
      <sheetName val="July 31, 2010"/>
      <sheetName val="July 31, 2011"/>
      <sheetName val="July 31, 2012"/>
      <sheetName val="ISTA"/>
      <sheetName val="SIT"/>
      <sheetName val="SWM "/>
      <sheetName val="SRA"/>
      <sheetName val="Ner Report Kons"/>
      <sheetName val="nering "/>
      <sheetName val="Ner Kons 2002"/>
      <sheetName val="aje-kons"/>
      <sheetName val="WP ISP Ind 02"/>
      <sheetName val="Aje Isp (Ind) 2002"/>
      <sheetName val="koreksi HPP"/>
      <sheetName val="PSAK 46-koreksi"/>
      <sheetName val="PSAK 46 Mnrt ISP"/>
      <sheetName val="Disclose hut pjk"/>
      <sheetName val="PSAK 46 buat discl"/>
      <sheetName val="Pos LB"/>
      <sheetName val="Konfr 02"/>
      <sheetName val="neraca-inggris"/>
      <sheetName val="Kurs Transaksi Bank Indonesia"/>
      <sheetName val="_REF_"/>
      <sheetName val="invs usd"/>
      <sheetName val="invs idr"/>
      <sheetName val="ytd (dept)"/>
      <sheetName val="budget usd"/>
      <sheetName val="REKAP PENJ"/>
      <sheetName val="net_impact_pros_other_crts_actu"/>
      <sheetName val="l*****"/>
      <sheetName val="NM-10"/>
      <sheetName val="GraL-R"/>
      <sheetName val="GraPb-Pj"/>
      <sheetName val="GraBu"/>
      <sheetName val="DtMtrl"/>
      <sheetName val="IkhKeu"/>
      <sheetName val="TPHP"/>
      <sheetName val="Piut Kar"/>
      <sheetName val="PIUT Phk III JJI"/>
      <sheetName val="Hut Phk III JJI"/>
      <sheetName val="Hut Dir JJI"/>
      <sheetName val="PAT"/>
      <sheetName val="PAT JJK"/>
      <sheetName val="PAT JJI"/>
      <sheetName val="Hut Ush JJK"/>
      <sheetName val="Hut Bi. Pemb. JJK"/>
      <sheetName val="Perin. Bi. Dbyr Dmk"/>
      <sheetName val="Perincian asuransi"/>
      <sheetName val="P.Kary04-08 (3)"/>
      <sheetName val="P.Kary04-08 (2)"/>
      <sheetName val="PIUT.kary"/>
      <sheetName val="LPP.USD"/>
      <sheetName val="NM.Agt"/>
      <sheetName val="LR.rinci"/>
      <sheetName val="LR.SBY"/>
      <sheetName val="LR.JKT"/>
      <sheetName val="LR.SMG"/>
      <sheetName val="LR.Riau"/>
      <sheetName val="LR.BL"/>
      <sheetName val="LR.PL"/>
      <sheetName val="LR.UPG"/>
      <sheetName val="Pdtan"/>
      <sheetName val="POS.k"/>
      <sheetName val="B.Lgs"/>
      <sheetName val="B.Tdk.Lgs"/>
      <sheetName val="Lamp.AT"/>
      <sheetName val="G. Penj "/>
      <sheetName val="G.Laba brsh "/>
      <sheetName val="G.By. Ush"/>
      <sheetName val="PIUT.kary (2)"/>
      <sheetName val="LPP_USD (2)"/>
      <sheetName val="AT.Jul"/>
      <sheetName val="AT.Agt"/>
      <sheetName val="AT.Sep"/>
      <sheetName val="NM Jul"/>
      <sheetName val="NM Agt"/>
      <sheetName val="LPP_USD"/>
      <sheetName val="P.Kary07.07"/>
      <sheetName val="P.Kary08.07"/>
      <sheetName val="P.Kary09.07"/>
      <sheetName val="P.Kary10.07"/>
      <sheetName val="NM Sep"/>
      <sheetName val="POS_k"/>
      <sheetName val="LR.Jul"/>
      <sheetName val="LR.Agt"/>
      <sheetName val="LR.Sep"/>
      <sheetName val="G.omzet"/>
      <sheetName val="Sheet4 (2)"/>
      <sheetName val="per sales"/>
      <sheetName val="per sales triwulan I"/>
      <sheetName val="LR triwulan I"/>
      <sheetName val="Graph  (2)"/>
      <sheetName val="grf_Laba"/>
      <sheetName val="grf_Penj"/>
      <sheetName val="grf_Biaya"/>
      <sheetName val="N_M_"/>
      <sheetName val="Jr "/>
      <sheetName val="By_Sales"/>
      <sheetName val="LMP pot"/>
      <sheetName val=" BDP"/>
      <sheetName val="Brg Jadi "/>
      <sheetName val="PK LL"/>
      <sheetName val="BCA03"/>
      <sheetName val="Pihak III"/>
      <sheetName val="BY_AKT"/>
      <sheetName val="BY DDM"/>
      <sheetName val="LMP.PTG"/>
      <sheetName val="BCA04"/>
      <sheetName val="RL A (2)"/>
      <sheetName val="RL A"/>
      <sheetName val="RL (4)"/>
      <sheetName val="RL (6)"/>
      <sheetName val="RL (3)"/>
      <sheetName val="RL (5)"/>
      <sheetName val="HPP Telur KW II"/>
      <sheetName val="Perbandingan Penj &amp; By"/>
      <sheetName val="RL KW 2"/>
      <sheetName val="NRC1 (3)"/>
      <sheetName val="NRC1"/>
      <sheetName val="NRC1 (2)"/>
      <sheetName val="NERACA SALDO JUL'08 SK"/>
      <sheetName val="SILVI"/>
      <sheetName val="KK-BY"/>
      <sheetName val="kk-nermut"/>
      <sheetName val="ARISAN"/>
      <sheetName val="UM penj"/>
      <sheetName val="Kode Perk"/>
      <sheetName val="Foto AT"/>
      <sheetName val="Pitg Lain"/>
      <sheetName val="AT.Tahunan"/>
      <sheetName val="AT'OKT'08"/>
      <sheetName val="AT.Thn- Gab"/>
      <sheetName val="AT.okt- Gab (2)"/>
      <sheetName val="KodeAkun"/>
      <sheetName val="LKH "/>
      <sheetName val="KKK-pEB"/>
      <sheetName val="LBH TPI"/>
      <sheetName val="LBH Pda"/>
      <sheetName val="LBH BMPR"/>
      <sheetName val="LBH BMPU"/>
      <sheetName val="LBH TM"/>
      <sheetName val="LBH BDI"/>
      <sheetName val="LBH TD"/>
      <sheetName val="RekonBank"/>
      <sheetName val="Kode KK"/>
      <sheetName val="AnalisaLap"/>
      <sheetName val="Analisa Ratio"/>
      <sheetName val="LKH &amp; LBH GABUNGAN"/>
      <sheetName val="RL New"/>
      <sheetName val="HPP PEB 09"/>
      <sheetName val="HELP NERMUT"/>
      <sheetName val="LMK (Sort)"/>
      <sheetName val="Pembelian LAIN2"/>
      <sheetName val="HUTANG LAIN2"/>
      <sheetName val="UMJual"/>
      <sheetName val="B.600"/>
      <sheetName val="B.700"/>
      <sheetName val="B.900"/>
      <sheetName val="HPP FEB 08a"/>
      <sheetName val="HPP FEB 08b"/>
      <sheetName val="KKK-Apr"/>
      <sheetName val="Note-APR08"/>
      <sheetName val="HPP APR 08"/>
      <sheetName val="PDM PPh 23"/>
      <sheetName val="Lap.Mutasi.Keu"/>
      <sheetName val="Perk."/>
      <sheetName val="BUKU TAB P.TAGOR (2)"/>
      <sheetName val="PIUT KARY PB"/>
      <sheetName val="control "/>
      <sheetName val="EXP. PUJI ASTUTI"/>
      <sheetName val="BUKU TAB P.TAGOR"/>
      <sheetName val="KANTONG PLASTIK"/>
      <sheetName val="LBH 9010"/>
      <sheetName val="LBH 9021"/>
      <sheetName val="LBH 2485"/>
      <sheetName val="LBH P1"/>
      <sheetName val="LBH P2"/>
      <sheetName val="LBH P3"/>
      <sheetName val="BNI 6263"/>
      <sheetName val="BCA 0461"/>
      <sheetName val="B.JATIM 291"/>
      <sheetName val="B.PANIN"/>
      <sheetName val="BNI 1685"/>
      <sheetName val="B.JATIM 2752"/>
      <sheetName val="AYAT SILANG"/>
      <sheetName val="MEMORIAL"/>
      <sheetName val="KODE_KK JAN09"/>
      <sheetName val="An_Ratio_Periode"/>
      <sheetName val="LR NEW"/>
      <sheetName val="LR NEW (SORT)"/>
      <sheetName val="HPP+JUAL"/>
      <sheetName val="HPP+JUAL (sort)"/>
      <sheetName val="LR TOKO"/>
      <sheetName val="LR PER AREA"/>
      <sheetName val="Lap.Mutasi.Keu (SORT)"/>
      <sheetName val="ADVANCE (SORT)"/>
      <sheetName val="LPP (SORT)"/>
      <sheetName val="PERSEDIAAN "/>
      <sheetName val="UANG MUKA PEMBELIAN"/>
      <sheetName val="PIUTANG KARYAWAN (SORT)"/>
      <sheetName val="LPH STARS"/>
      <sheetName val="LPH STARS (SORT)"/>
      <sheetName val="LPH WOWKEREN"/>
      <sheetName val="LPH WOWKEREN (SORT)"/>
      <sheetName val="HUTANG TOKO "/>
      <sheetName val="HUTANG TOKO  (SORT)"/>
      <sheetName val="AKTIVA TDK LANCAR LAINYA"/>
      <sheetName val="AKTIVA TETAP "/>
      <sheetName val="AKTIVA LAIN2 JAMINAN"/>
      <sheetName val="SEWA DIBAYAR DIMUKA STARS"/>
      <sheetName val="SEWA DIBAYAR DIMUKA WOWKEREN"/>
      <sheetName val="PIUTANG AFILIASI"/>
      <sheetName val="PIUTANG BUNGA"/>
      <sheetName val="TITIPAN PIHAK KE 3"/>
      <sheetName val="SEWA YMH DIBYR"/>
      <sheetName val="HUTANG KENDARAAN"/>
      <sheetName val="HUTANG PEMEGANG SAHAM"/>
      <sheetName val="HUTANG PIHAK KE 3"/>
      <sheetName val="BG DIBUKA MUNDUR"/>
      <sheetName val="HUTANG BIAYA"/>
      <sheetName val="HUTANG AFILIASI"/>
      <sheetName val="REALISASI UM"/>
      <sheetName val="ADVANCE BU ETIK"/>
      <sheetName val="PRK"/>
      <sheetName val="LKH"/>
      <sheetName val="LBH1"/>
      <sheetName val="LBH2"/>
      <sheetName val="LBH3"/>
      <sheetName val="LBH4"/>
      <sheetName val="LBH5"/>
      <sheetName val="Konf Bank"/>
      <sheetName val="Mut Keuangan"/>
      <sheetName val="B7"/>
      <sheetName val="B9"/>
      <sheetName val="B10"/>
      <sheetName val="B13"/>
      <sheetName val="B14"/>
      <sheetName val="B15"/>
      <sheetName val="B16"/>
      <sheetName val="B17"/>
      <sheetName val="B18"/>
      <sheetName val="B19"/>
      <sheetName val="B20"/>
      <sheetName val="B21"/>
      <sheetName val="B22"/>
      <sheetName val="B23"/>
      <sheetName val="B24"/>
      <sheetName val="B25"/>
      <sheetName val="B26"/>
      <sheetName val="B27"/>
      <sheetName val="B28"/>
      <sheetName val="B29"/>
      <sheetName val="B30"/>
      <sheetName val="B31"/>
      <sheetName val="RAB intern"/>
      <sheetName val="Preparation"/>
      <sheetName val="Mix_Storage_Silo"/>
      <sheetName val="Transportation - Steel Struc"/>
      <sheetName val="Transportation - Foundation"/>
      <sheetName val="BC-RH.01"/>
      <sheetName val="BC-RH.02"/>
      <sheetName val="BC-RH.03"/>
      <sheetName val="BC-RH.03A"/>
      <sheetName val="BC-03.04"/>
      <sheetName val="BC-03.04A"/>
      <sheetName val="BC-03.04B"/>
      <sheetName val="BC-03.04C"/>
      <sheetName val="Other Items"/>
      <sheetName val="Analisa harga Fabrikasi"/>
      <sheetName val="JUNI'00"/>
      <sheetName val="lr_divisi"/>
      <sheetName val="ratio_juni_2003"/>
      <sheetName val="nermfc-0206"/>
      <sheetName val="labamfc-0206"/>
      <sheetName val="nermfc-0207"/>
      <sheetName val="labamfc-0207"/>
      <sheetName val="nermfc-0208"/>
      <sheetName val="labamfc-0208"/>
      <sheetName val="nermfc-0209"/>
      <sheetName val="labamfc-0209"/>
      <sheetName val="nermfc-0210"/>
      <sheetName val="labamfc-0210"/>
      <sheetName val="ner-0211"/>
      <sheetName val="laba-0211"/>
      <sheetName val="ner-0212"/>
      <sheetName val="laba-0212"/>
      <sheetName val="ner-0301"/>
      <sheetName val="laba-0301"/>
      <sheetName val="ner-0302"/>
      <sheetName val="laba-0302"/>
      <sheetName val="ner-0303"/>
      <sheetName val="laba-0303"/>
      <sheetName val="ner-0304"/>
      <sheetName val="laba-0304"/>
      <sheetName val="ner-0305"/>
      <sheetName val="laba-0305"/>
      <sheetName val="ner-0306"/>
      <sheetName val="laba-0306"/>
      <sheetName val="ner-0307"/>
      <sheetName val="laba-0307"/>
      <sheetName val="ner-0308"/>
      <sheetName val="laba-0308"/>
      <sheetName val="ner-0309"/>
      <sheetName val="laba-0309"/>
      <sheetName val="ner-0310"/>
      <sheetName val="laba-0310"/>
      <sheetName val="ner-0311"/>
      <sheetName val="laba-0311"/>
      <sheetName val="ner-0312"/>
      <sheetName val="laba-0312"/>
      <sheetName val="ner-0401"/>
      <sheetName val="laba-0401"/>
      <sheetName val="ner-0402"/>
      <sheetName val="laba-0402"/>
      <sheetName val="ner-0403"/>
      <sheetName val="laba-0403"/>
      <sheetName val="ner-0404"/>
      <sheetName val="laba-0404"/>
      <sheetName val="ner-0405"/>
      <sheetName val="laba-0405"/>
      <sheetName val="ner-0406"/>
      <sheetName val="laba-0406"/>
      <sheetName val="ner-0407"/>
      <sheetName val="laba-0407"/>
      <sheetName val="ner-0408"/>
      <sheetName val="laba-0408"/>
      <sheetName val="ner-0409"/>
      <sheetName val="laba-0409"/>
      <sheetName val="laba-0409(proyeksi)"/>
      <sheetName val="evaby-0407"/>
      <sheetName val="evaby-0407 (BTL)"/>
      <sheetName val="eva-BTL(Peb05)"/>
      <sheetName val="Rab-sd-Peb05"/>
      <sheetName val="eva-BTL(Peb05)-01"/>
      <sheetName val="2308"/>
      <sheetName val="Real"/>
      <sheetName val="Kuantitas (2)"/>
      <sheetName val="DIV.2.1"/>
      <sheetName val="DIV-8"/>
      <sheetName val="Rekap Kososng"/>
      <sheetName val="Kuantitas Kosong"/>
      <sheetName val="Conversion"/>
      <sheetName val="Peta Quarry"/>
      <sheetName val="Conditions"/>
      <sheetName val="Schedule lot 8"/>
      <sheetName val="Preamble"/>
      <sheetName val="Grand Summary"/>
      <sheetName val="rekap akhir"/>
      <sheetName val="Unit Price-WIKA intern"/>
      <sheetName val="Unit Price-WIKA ext"/>
      <sheetName val="Unit Price-WK"/>
      <sheetName val="ExchangeRate"/>
      <sheetName val="An-TEK"/>
      <sheetName val="An-TEK (2)"/>
      <sheetName val="BASIC PRICE (2)"/>
      <sheetName val="Harga Sat"/>
      <sheetName val="Unit Price (2)"/>
      <sheetName val="SERIE C"/>
      <sheetName val="Unit Price-WIKA ext (2)"/>
      <sheetName val="SERIE B"/>
      <sheetName val="Rekap Harga Sipil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Tippler"/>
      <sheetName val="Rel Track"/>
      <sheetName val="Capstan &amp; Bollard"/>
      <sheetName val="Threshing"/>
      <sheetName val="Kernel Recovery"/>
      <sheetName val=" Pondasi  KSB"/>
      <sheetName val=" Empty Bunch Area"/>
      <sheetName val="Clarification"/>
      <sheetName val="Fat Pit"/>
      <sheetName val="Power House"/>
      <sheetName val="Cable Trench &amp; Pond Panel"/>
      <sheetName val="Pondasi CPO Tank"/>
      <sheetName val="WTP"/>
      <sheetName val="J. Timbang "/>
      <sheetName val="Workshop"/>
      <sheetName val="G. Kimia"/>
      <sheetName val="Loading Sheed"/>
      <sheetName val="T. Parkir M &amp; S"/>
      <sheetName val="Pos Jaga-2"/>
      <sheetName val="Musholla"/>
      <sheetName val="Balai P. Karyawan"/>
      <sheetName val="Pos Grading"/>
      <sheetName val="Bak Fiber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  <sheetName val="General Item"/>
      <sheetName val="Sub Contract"/>
      <sheetName val="Contigence"/>
      <sheetName val="Personnel"/>
      <sheetName val="DIV X"/>
      <sheetName val="AN-HSP"/>
      <sheetName val="QUARRY"/>
      <sheetName val="ALAT-1"/>
      <sheetName val="AGG, C"/>
      <sheetName val="URAIAN ALAT"/>
      <sheetName val="HARGA ALAT"/>
      <sheetName val="LALIN"/>
      <sheetName val="URAI X"/>
      <sheetName val="URAIAN "/>
      <sheetName val="LS-Rutin"/>
      <sheetName val="REKAP - 2006"/>
      <sheetName val="BQ - 2006"/>
      <sheetName val="Perhitungan Mobilisasi Alat"/>
      <sheetName val="Jembatan Sementara"/>
      <sheetName val="HRG MAT"/>
      <sheetName val="FINALISASI (1)"/>
      <sheetName val="REKAP (1)"/>
      <sheetName val="REKAP (3)"/>
      <sheetName val="BQ (1)"/>
      <sheetName val="BQ (2)"/>
      <sheetName val="BQ (3)"/>
      <sheetName val="AN-RC"/>
      <sheetName val="MOB Air Pangi"/>
      <sheetName val="MOB Air Empayang"/>
      <sheetName val="MOB Air Kikim"/>
      <sheetName val="NP (2)"/>
      <sheetName val="Analisa HSP"/>
      <sheetName val="k-350"/>
      <sheetName val="kayu"/>
      <sheetName val="kayu1"/>
      <sheetName val="7.16.1"/>
      <sheetName val="demolition"/>
      <sheetName val="box culvert"/>
      <sheetName val="ready mix"/>
      <sheetName val="polos"/>
      <sheetName val="Unit Price(Barrier)"/>
      <sheetName val="Barrier"/>
      <sheetName val="Unit Price(1)"/>
      <sheetName val="Rekap(2)"/>
      <sheetName val="Civil Work(3-5)"/>
      <sheetName val="Equipment Cost(6)"/>
      <sheetName val="Material Cost(7)"/>
      <sheetName val="IDC(8-10)"/>
      <sheetName val="employer(11)"/>
      <sheetName val="Local Staff(12)"/>
      <sheetName val="sekret(13)"/>
      <sheetName val="facility(14)"/>
      <sheetName val="trans(15)"/>
      <sheetName val="Labour(16)"/>
      <sheetName val="BP(17)"/>
      <sheetName val="Eqp Opr(18)"/>
      <sheetName val="rab-ver2"/>
      <sheetName val="ALJAZAIR  FINAL BEAM"/>
      <sheetName val="hrg dasar"/>
      <sheetName val="Terbilang"/>
      <sheetName val="Q'TY"/>
      <sheetName val="DIV.1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8"/>
      <sheetName val="DIV.8.a"/>
      <sheetName val="DIV.9"/>
      <sheetName val="6.PEK ASPAL"/>
      <sheetName val="7.PEK-STRUKTUR"/>
      <sheetName val="SK 5.3"/>
      <sheetName val="5.1-5.4(1)-5.4(2)"/>
      <sheetName val="Sat_ Pek_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Komposisi"/>
      <sheetName val="AHS Aspal"/>
      <sheetName val="AHS Marka"/>
      <sheetName val="Analisa lampu"/>
      <sheetName val="Usulan"/>
      <sheetName val="BA PP (2)"/>
      <sheetName val="BA Prestasi"/>
      <sheetName val="Kuantitas _ Harga"/>
      <sheetName val="List Material"/>
      <sheetName val="Tindak Lanjut"/>
      <sheetName val="samsidb"/>
      <sheetName val="P2K3"/>
      <sheetName val="EvPBM"/>
      <sheetName val="PresBul"/>
      <sheetName val="PresPek"/>
      <sheetName val="EvProd"/>
      <sheetName val="Tahap"/>
      <sheetName val="UPY"/>
      <sheetName val="Add"/>
      <sheetName val="6_PEK ASPAL"/>
      <sheetName val="TOTAL BTL"/>
      <sheetName val="PERSONALIA"/>
      <sheetName val="SS MNGMNT"/>
      <sheetName val="DIV_3"/>
      <sheetName val="DIV_8"/>
      <sheetName val="DIV_9"/>
      <sheetName val="AN_RC"/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ANAL_BOW"/>
      <sheetName val="r.dokter"/>
      <sheetName val="R.JENAZAH"/>
      <sheetName val="R. MUSHOLA"/>
      <sheetName val="R. JAGA"/>
      <sheetName val="R.KBDANAN (2)"/>
      <sheetName val="VIP (2)"/>
      <sheetName val="Elimasi Induk by AR"/>
      <sheetName val="VERSI RILLY"/>
      <sheetName val="BKM"/>
      <sheetName val="BKK"/>
      <sheetName val="BBM 1"/>
      <sheetName val="BBK1"/>
      <sheetName val="BBM2"/>
      <sheetName val="BBK2"/>
      <sheetName val="BBM3"/>
      <sheetName val="BBK3"/>
      <sheetName val="BBM4"/>
      <sheetName val="BBK4"/>
      <sheetName val="BBM5"/>
      <sheetName val="BBK5"/>
      <sheetName val="Reg. CHGb"/>
      <sheetName val="Reg. BNI 9010"/>
      <sheetName val="Reg. BNI 9021"/>
      <sheetName val="REG. BNI 2485"/>
      <sheetName val="KODE HUT"/>
      <sheetName val="NOTE AGUST07"/>
      <sheetName val="UANG MUKA PEMB."/>
      <sheetName val="Rekap LR Toko"/>
      <sheetName val="SEWA DIBAYAR DIMUKA"/>
      <sheetName val="UANG MUKA LAIN2"/>
      <sheetName val="PERINCIAN GB DIBUKA MUNDUR"/>
      <sheetName val="PIUTANG CHBG"/>
      <sheetName val="Hut Konsin"/>
      <sheetName val="LPH Afiliasi "/>
      <sheetName val="LPH PIII"/>
      <sheetName val="LPP Afiliasi "/>
      <sheetName val="PIUTANG CHGB"/>
      <sheetName val="_x0000__x0010__x0000_듄ú̀_x0000__x001e__x0000__x0010__x0000_Ǡ_x0000__x0010__x0000__x0010_"/>
      <sheetName val="T1"/>
      <sheetName val="T6"/>
      <sheetName val="Perub Ekuitas"/>
      <sheetName val="By lgs"/>
      <sheetName val="at (3)"/>
      <sheetName val="Ratio "/>
      <sheetName val="kartu LR "/>
      <sheetName val="KARTU NERACA "/>
      <sheetName val="LR Berjalan"/>
      <sheetName val="tidak dipakai"/>
      <sheetName val="nm "/>
      <sheetName val="Rekap LMP"/>
      <sheetName val="PIUTANGP3"/>
      <sheetName val="By-7 (2)"/>
      <sheetName val="By-6 (2)"/>
      <sheetName val="KD Perk"/>
      <sheetName val="Olie -SPBU"/>
      <sheetName val="Jurnal koreksi - EJT"/>
      <sheetName val="CATREV"/>
      <sheetName val="Nermut Januari"/>
      <sheetName val="Nermut Februari"/>
      <sheetName val="Nermut Maret"/>
      <sheetName val="1) Grafik Penjualan"/>
      <sheetName val="2) Grafik BOP"/>
      <sheetName val="3) GR_LR"/>
      <sheetName val="4) NRC"/>
      <sheetName val="5) RL Detail"/>
      <sheetName val="6) RL"/>
      <sheetName val="7) AK  "/>
      <sheetName val="KK_LMK"/>
      <sheetName val="8) MK"/>
      <sheetName val="9) POS"/>
      <sheetName val="10) LAHP"/>
      <sheetName val="11) BPP"/>
      <sheetName val="12) Biaya"/>
      <sheetName val="LPP 1 &amp; 2"/>
      <sheetName val="Piutang CH-GB 3"/>
      <sheetName val="Piutang Lain - 4"/>
      <sheetName val="LMP SBY - 5"/>
      <sheetName val="LMP SBY BARANG SAMPAH -6"/>
      <sheetName val="LMP JKT - 7"/>
      <sheetName val="LMP DUNIA BANGUNAN JKT - 8"/>
      <sheetName val="LPP Triwulan"/>
      <sheetName val="UMPB Surabaya"/>
      <sheetName val="UMPB Jakarta"/>
      <sheetName val="Tabel AT"/>
      <sheetName val="LAHP OMZET"/>
      <sheetName val="Lap. AHP Triwulan I"/>
      <sheetName val="Reg PENJUALAN"/>
      <sheetName val="320-F"/>
      <sheetName val="320-F2"/>
      <sheetName val="10-CATREV"/>
      <sheetName val="JK JAN"/>
      <sheetName val="gf_4_"/>
      <sheetName val="MODAL KERJA"/>
      <sheetName val="AKT_TTP"/>
      <sheetName val="BY.PEMB"/>
      <sheetName val="PIUT_LAIN"/>
      <sheetName val="TEPUNG"/>
      <sheetName val="HUT_LAIN-LAIN"/>
      <sheetName val="HUT BANK"/>
      <sheetName val="Lap_Stock"/>
      <sheetName val="UM PEMB piut tepung"/>
      <sheetName val="penj natura"/>
      <sheetName val="NATURA"/>
      <sheetName val="Cat Rev maret '10"/>
      <sheetName val="peR. AT"/>
      <sheetName val="NRC GT (2)"/>
      <sheetName val="Tbl_RL"/>
      <sheetName val="Daftar Diskon"/>
      <sheetName val="Tabel Aktiva 2"/>
      <sheetName val="KKMK"/>
      <sheetName val="1) G-Pj"/>
      <sheetName val="2) G-By"/>
      <sheetName val="3) G-LR"/>
      <sheetName val="4) NRC GT"/>
      <sheetName val="5) RL GT"/>
      <sheetName val="6) Pos"/>
      <sheetName val="7) AK GT"/>
      <sheetName val="8) LMK"/>
      <sheetName val="9) BPP GT - 1"/>
      <sheetName val="10) Biaya GT - 2&amp;3"/>
      <sheetName val="11) RK - 3&amp;4"/>
      <sheetName val="ASET_TETAP "/>
      <sheetName val="Hut. Lain2"/>
      <sheetName val="RL JULI 09-08"/>
      <sheetName val="AK   _2_"/>
      <sheetName val="NRC _2_"/>
      <sheetName val="LR  _2_"/>
      <sheetName val="G_HK"/>
      <sheetName val="G_LR"/>
      <sheetName val="G_By"/>
      <sheetName val="G_Pj"/>
      <sheetName val="AK  "/>
      <sheetName val="KK-MK"/>
      <sheetName val="LMPHK "/>
      <sheetName val="Piut_Dir"/>
      <sheetName val="Hut_Gj"/>
      <sheetName val="e_meeting_tdk_print"/>
      <sheetName val="Cat Rev April '10"/>
      <sheetName val="1) G_HK-1"/>
      <sheetName val="2) G_Pj"/>
      <sheetName val="3) G_By"/>
      <sheetName val="4) G_LR"/>
      <sheetName val="5) NRC"/>
      <sheetName val="6) LR "/>
      <sheetName val="7) LR Berjalan"/>
      <sheetName val="8) Pos"/>
      <sheetName val="9) LMK"/>
      <sheetName val="10) AK  "/>
      <sheetName val="11) Biaya"/>
      <sheetName val="12) LPP - 1"/>
      <sheetName val="13) Piut_Dir - 2"/>
      <sheetName val="14) LMPHK - 3"/>
      <sheetName val="15) LMP - 4"/>
      <sheetName val="16) AT - 5"/>
      <sheetName val="17) Hut_Gj - 6"/>
      <sheetName val="18) DP  - 7"/>
      <sheetName val="LPH 6 &amp; 7"/>
      <sheetName val="Agust tanpa JK"/>
      <sheetName val="JK TW IV 2010"/>
      <sheetName val="Nermut Jan"/>
      <sheetName val="Nermut Peb"/>
      <sheetName val="Nermut Mar"/>
      <sheetName val="6) RL Gabungan"/>
      <sheetName val="Lap. AHP Triwulan II"/>
      <sheetName val="Bk Pembantu "/>
      <sheetName val="bk pembantu LabaRugi "/>
      <sheetName val="Nrc ljr"/>
      <sheetName val="Nrc,L-R"/>
      <sheetName val="RAB 100903 (blok R)"/>
      <sheetName val="RAB 100903 (blok S)"/>
      <sheetName val="bk pembantu LabaRugi  (2)"/>
      <sheetName val="Bk Pembantu  (2)"/>
      <sheetName val="tf ke RUI (2)"/>
      <sheetName val="NM8"/>
      <sheetName val="LMK7"/>
      <sheetName val="NRC5"/>
      <sheetName val="LR6"/>
      <sheetName val="AHProd"/>
      <sheetName val="G-LR3"/>
      <sheetName val="G-LRB"/>
      <sheetName val="G-PJ2"/>
      <sheetName val="G-BY1"/>
      <sheetName val="RATIO LR"/>
      <sheetName val="BY.Dibyr Dimk"/>
      <sheetName val="ratio NRC"/>
      <sheetName val="Sourch"/>
      <sheetName val="NRC Tahunan"/>
      <sheetName val="Penj.NRC"/>
      <sheetName val="By567"/>
      <sheetName val="CHMKL"/>
      <sheetName val="AKTV"/>
      <sheetName val="180F1"/>
      <sheetName val="BDP"/>
      <sheetName val="BDP (lipat)"/>
      <sheetName val="BJ"/>
      <sheetName val="tinta&amp;solvent,sealtape"/>
      <sheetName val="CCL"/>
      <sheetName val="210C2"/>
      <sheetName val="MANDIRI (2)"/>
      <sheetName val="PERHITUNGAN K.P"/>
      <sheetName val="KRENENG"/>
      <sheetName val="JURNAL AUDIT 2006"/>
      <sheetName val="PERSEDIAAN STARS&amp;WOWKEREN"/>
      <sheetName val="U.MUKA LAIN2"/>
      <sheetName val="AKTIVA LAIN-LAIN JAMINAN"/>
      <sheetName val="HUTANG LEASING"/>
      <sheetName val="RINCI"/>
      <sheetName val="Reg Bank"/>
      <sheetName val="LBH"/>
      <sheetName val="Register BS Bank"/>
      <sheetName val="KUMP "/>
      <sheetName val="DPH"/>
      <sheetName val="LPH  "/>
      <sheetName val="Deposit daily"/>
      <sheetName val="tbl-penundaan"/>
      <sheetName val="Apl. Penundaan"/>
      <sheetName val="E-Payment (2)"/>
      <sheetName val="E-Payment"/>
      <sheetName val="DATA-ERROR"/>
      <sheetName val="rekon_kris"/>
      <sheetName val="Rekonsiliasi_Penundaan"/>
      <sheetName val="REKAP_CABANG"/>
      <sheetName val="peg. agustus 06"/>
      <sheetName val="d01"/>
      <sheetName val="d02"/>
      <sheetName val="d03"/>
      <sheetName val="d04"/>
      <sheetName val="d05"/>
      <sheetName val="d06"/>
      <sheetName val="d07"/>
      <sheetName val="d08"/>
      <sheetName val="d08b"/>
      <sheetName val="d09(no print)"/>
      <sheetName val="D09a"/>
      <sheetName val="D09b"/>
      <sheetName val="d09c(no print)"/>
      <sheetName val="d10"/>
      <sheetName val="d11 (no print)"/>
      <sheetName val="d12"/>
      <sheetName val="d13"/>
      <sheetName val="d14"/>
      <sheetName val="d15"/>
      <sheetName val="d16"/>
      <sheetName val="d17(no print)"/>
      <sheetName val="d18"/>
      <sheetName val="d19(no print)"/>
      <sheetName val="d20(no print)"/>
      <sheetName val="Notes26.Liquidity Risk"/>
      <sheetName val="GL Corr"/>
      <sheetName val=" D1.5 Lead PL"/>
      <sheetName val="D1.6 Interest Income"/>
      <sheetName val="REPORT "/>
      <sheetName val="D1.5.1 Matrix "/>
      <sheetName val="D.1.5.5 Missclsfy"/>
      <sheetName val="D1.5.1.1 Pricing"/>
      <sheetName val="D1.5.1.1 MTN mtm"/>
      <sheetName val="D1.5.1.1 Telkom PN"/>
      <sheetName val="D1.5.1.2 Unrlzd TRA"/>
      <sheetName val="D1.5.1.3 Unrlzd AFS"/>
      <sheetName val="D1.5.2 RollFw-AFS"/>
      <sheetName val="D1.5.3 RollFw-TRA"/>
      <sheetName val="D1.5.4 Sale SBI"/>
      <sheetName val="D1.6.1 Interest SBI"/>
      <sheetName val="D1.6.2 OS SBI"/>
      <sheetName val="Redemp"/>
      <sheetName val="GL Opic"/>
      <sheetName val="Purch SBI HTM"/>
      <sheetName val="Mansek"/>
      <sheetName val="PM-TE-SAD"/>
      <sheetName val="SRM_BS Report"/>
      <sheetName val="SRM_PL Report"/>
      <sheetName val="A3 - BS"/>
      <sheetName val="A3 - PL"/>
      <sheetName val="A3 - Off BS"/>
      <sheetName val="CF format"/>
      <sheetName val="A3 - OFF"/>
      <sheetName val="Adj MIDAS"/>
      <sheetName val="CF format (2)"/>
      <sheetName val="Adj CSB"/>
      <sheetName val="Adj IC Elimination"/>
      <sheetName val="BS Report"/>
      <sheetName val="PL Report"/>
      <sheetName val="KPI CBO"/>
      <sheetName val="KPI RO"/>
      <sheetName val="KPI CS"/>
      <sheetName val="TE Calc"/>
      <sheetName val="D-lead"/>
      <sheetName val="E-lead"/>
      <sheetName val="J-lead"/>
      <sheetName val="FA mov't"/>
      <sheetName val="N-lead"/>
      <sheetName val="P-lead"/>
      <sheetName val="O-lead"/>
      <sheetName val="T-lead"/>
      <sheetName val="U-1 Lead"/>
      <sheetName val="U-2 Lead"/>
      <sheetName val="6600"/>
      <sheetName val="Related"/>
      <sheetName val="BI-DAERAH"/>
      <sheetName val="WPMG"/>
      <sheetName val="C-NERACA"/>
      <sheetName val="36.00.01"/>
      <sheetName val="DATA EY-1"/>
      <sheetName val="TODAY PROCESS"/>
      <sheetName val="SGD"/>
      <sheetName val="EUR"/>
      <sheetName val="JPY"/>
      <sheetName val="HKD"/>
      <sheetName val="USD_JPM"/>
      <sheetName val="Color_info"/>
      <sheetName val="800 C"/>
      <sheetName val="800D1-Other Income"/>
      <sheetName val="800D2-Other Expense"/>
      <sheetName val="800 F1"/>
      <sheetName val="800 F2-Interest Income"/>
      <sheetName val="800 F3-Canteen Income"/>
      <sheetName val="800 F4-Rent Gym"/>
      <sheetName val="800 F5-Rent Class"/>
      <sheetName val="800 F5.2"/>
      <sheetName val="800 F6"/>
      <sheetName val="BS0809"/>
      <sheetName val="RL0809"/>
      <sheetName val="TB0809"/>
      <sheetName val="Selling exp"/>
      <sheetName val="G&amp;A exp"/>
      <sheetName val="Lampiran SK"/>
      <sheetName val="Mapping Per Unit"/>
      <sheetName val="Rekap TUP"/>
      <sheetName val="BOPTN-2014"/>
      <sheetName val="BeliPivot"/>
      <sheetName val="Uses"/>
      <sheetName val="PakaiPivot"/>
      <sheetName val="Vendors"/>
      <sheetName val="Materials"/>
      <sheetName val="BySupplier"/>
      <sheetName val="HPurchases"/>
      <sheetName val="HUses"/>
      <sheetName val="SparePartsPurchases"/>
      <sheetName val="SpareParts2"/>
      <sheetName val="180F-Asuransi "/>
      <sheetName val="180A"/>
      <sheetName val="Cek Invoice Payment 110308-1443"/>
      <sheetName val="RECEIPT No BA 2 ( INV ) 110308-"/>
      <sheetName val="sel kurs"/>
      <sheetName val="DEBTAGE(TREND)"/>
      <sheetName val="debtage"/>
      <sheetName val="PL-MGT"/>
      <sheetName val="PL-MGT(Trend)"/>
      <sheetName val="COSALES"/>
      <sheetName val="Floxal"/>
      <sheetName val="Production "/>
      <sheetName val="Distribution "/>
      <sheetName val="Expsummary"/>
      <sheetName val="Fin Highlights"/>
      <sheetName val="form CO"/>
      <sheetName val="AR&amp;DA"/>
      <sheetName val="hi-lights"/>
      <sheetName val="cost reduc"/>
      <sheetName val="sch3"/>
      <sheetName val="sch2"/>
      <sheetName val="PENY-97"/>
      <sheetName val="FormCO"/>
      <sheetName val="Jan ok"/>
      <sheetName val="MAR06"/>
      <sheetName val="Report2007"/>
      <sheetName val="3. Items of Focus"/>
      <sheetName val="Front Cover"/>
      <sheetName val="1. P&amp;L Local GAAP"/>
      <sheetName val="2. BS YTD Trend"/>
      <sheetName val=" 5. BS  Results"/>
      <sheetName val="6. Other Assets BS Local GAAP"/>
      <sheetName val="7. Regulatory Analysis"/>
      <sheetName val="10. BS Reconciliation"/>
      <sheetName val="P8"/>
      <sheetName val="P11"/>
      <sheetName val="P14"/>
      <sheetName val="P15"/>
      <sheetName val="12. Provision Analysis"/>
      <sheetName val="13. Provision Analysis (2)"/>
      <sheetName val="14. Pricing Testing Analysis"/>
      <sheetName val="15. Risk Analysis - Credit"/>
      <sheetName val="16. Market Risk Analysis"/>
      <sheetName val="17. Treasury"/>
      <sheetName val="18. New Business"/>
      <sheetName val="19. Tax 1"/>
      <sheetName val="20. Tax 2"/>
      <sheetName val="21.  Reg&amp;Lit Enquiries"/>
      <sheetName val="3.Reg Capital"/>
      <sheetName val="4. GAAP recon"/>
      <sheetName val="5. AppA"/>
      <sheetName val="9. P &amp; L Reconciliation"/>
      <sheetName val="2-GAAP Recon"/>
      <sheetName val="Des 2011"/>
      <sheetName val="SL Des 2011"/>
      <sheetName val="N.3 Tickmark"/>
      <sheetName val="Exch Rate"/>
      <sheetName val="N.3 Index"/>
      <sheetName val="N.3 Memo"/>
      <sheetName val="N.3 RF"/>
      <sheetName val="N.3 Lead"/>
      <sheetName val="N.3.1 Detail 6 digits"/>
      <sheetName val="N.3.1.1 Detail per Branches"/>
      <sheetName val="N.3.2 GL Overseas"/>
      <sheetName val="N.3.3 Reconcile GL vs SubGL"/>
      <sheetName val="N.3.3.1 Saving Acc"/>
      <sheetName val="N.3.3.2.1 Tokyo"/>
      <sheetName val="N.3.3.2.2 Hongkong"/>
      <sheetName val="N.3.3.2.3 Singapore"/>
      <sheetName val="N.3.3.2.4 New York"/>
      <sheetName val="N.3.3.2.5 London"/>
      <sheetName val="N.3.4 Vostro"/>
      <sheetName val="N.3.4.1 Reclassification CA"/>
      <sheetName val="N.3.4.2 Reclassification TD"/>
      <sheetName val="N.3.4.3 Review Mapping Overseas"/>
      <sheetName val="N.3.5 ARPs"/>
      <sheetName val="N.3.6 TPF blocked as coll"/>
      <sheetName val="N.3.6.1 Blocked Domestic GIRO"/>
      <sheetName val="N.3.6.1 Blocked Domestic TAB"/>
      <sheetName val="N.3.6.1 Blocked Domestic DEP"/>
      <sheetName val="N.3.6.2 Blocked New York"/>
      <sheetName val="N.3.6.3 Blocked Singapore"/>
      <sheetName val="N.3.6.4 Blocked London"/>
      <sheetName val="N.3.7 Maturity"/>
      <sheetName val="N.3.8 Related Party"/>
      <sheetName val="N.3.8.1 KOP SWADHARMA"/>
      <sheetName val="N.3.8.2 BNI SECURITIES"/>
      <sheetName val="N.3.8.3 SWADHARMA GRS DINAMIKA"/>
      <sheetName val="N.3.8.4 BNI LIFE INSURANCE"/>
      <sheetName val="N.3.8.5 ASURANSI TRIPAKARTA"/>
      <sheetName val="N.3.8.6 DANA PENSIUN BNI"/>
      <sheetName val="N.3.8.7 SWADHARMA DUTA DATA"/>
      <sheetName val="N.3.8.8 SWADHARMA PROPERTINDO"/>
      <sheetName val="N.3.8.9 SWADHARMA INFORMATIKA"/>
      <sheetName val="N.3.8.10 YAYASAN DANAR"/>
      <sheetName val="N.3.8.11 BNI MULTI FINANCE"/>
      <sheetName val="N.3.8.12 SWADHARMA KERYSATYA"/>
      <sheetName val="N.3.8.14 CITANDUY PERKASA"/>
      <sheetName val="N.3.9 tab berdasarkan jenis"/>
      <sheetName val="N.3.10 Interest Rate Risk"/>
      <sheetName val="N.3.10.1 Suku bunga di atas LPS"/>
      <sheetName val="N.3.11 Details AJE-RJE(For NOP)"/>
      <sheetName val="CC current account"/>
      <sheetName val="CC time deposit"/>
      <sheetName val="CC saving account"/>
      <sheetName val="bl"/>
      <sheetName val="SaldoCorona"/>
      <sheetName val="kurs (2)"/>
      <sheetName val=" krc"/>
      <sheetName val="kbn"/>
      <sheetName val="rjn"/>
      <sheetName val="ums"/>
      <sheetName val="cmi"/>
      <sheetName val="dbs"/>
      <sheetName val="lbu"/>
      <sheetName val="snb"/>
      <sheetName val="kld"/>
      <sheetName val="dro"/>
      <sheetName val="ngg"/>
      <sheetName val="lbb"/>
      <sheetName val="lwt"/>
      <sheetName val="klmt"/>
      <sheetName val="ttm"/>
      <sheetName val="awu"/>
      <sheetName val="lsr"/>
      <sheetName val="bkr"/>
      <sheetName val="tlg"/>
      <sheetName val="png"/>
      <sheetName val="sng"/>
      <sheetName val="fudi"/>
      <sheetName val="gdw"/>
      <sheetName val="egon"/>
      <sheetName val="jlnr"/>
      <sheetName val="TRI I 2005"/>
      <sheetName val="TRI 2 2005"/>
      <sheetName val="TRI 3 2004"/>
      <sheetName val="TRI 4-2004"/>
      <sheetName val="TWI"/>
      <sheetName val="JANU-KEU"/>
      <sheetName val="nggapulu &amp; labobar"/>
      <sheetName val="TRAYEK PER VOYAGE"/>
      <sheetName val="opsi"/>
      <sheetName val="PNP"/>
      <sheetName val="LAMP 6-11.2"/>
      <sheetName val="LAMP 6-11"/>
      <sheetName val="Lamp 1-5"/>
      <sheetName val="KK_PERKAPALAN"/>
      <sheetName val="DATA BAS BLNAN"/>
      <sheetName val="KK_BARANG"/>
      <sheetName val="Cut-Off BBM"/>
      <sheetName val="RINCI FO"/>
      <sheetName val="Cut-Off LO (2)"/>
      <sheetName val="Cut-Off LO"/>
      <sheetName val="SCAB09 (2)"/>
      <sheetName val="CUT-OFF SP"/>
      <sheetName val="VKON10"/>
      <sheetName val="KK_PERKAPALAN JULI"/>
      <sheetName val="BIAYA ABK"/>
      <sheetName val="BIAYA ABK JULI"/>
      <sheetName val="BREAKDOWN KINERJA SEM-I"/>
      <sheetName val="BBM (2)"/>
      <sheetName val="B.OVERHEAD NEW"/>
      <sheetName val="B. DILUAR USAHA NEW"/>
      <sheetName val="NAMA AKUN"/>
      <sheetName val="DATA BES PSO"/>
      <sheetName val="SCAB10 (2)"/>
      <sheetName val="SCAB10 (3)"/>
      <sheetName val="SCAB10 (4)"/>
      <sheetName val="SCAB10"/>
      <sheetName val="V06A10"/>
      <sheetName val="VCAB10"/>
      <sheetName val="V05A10"/>
      <sheetName val="V02A09 (3)"/>
      <sheetName val="V02A09 (2)"/>
      <sheetName val="V02A10"/>
      <sheetName val="KK_PERKAPALAN PSO"/>
      <sheetName val="Alt 4 BARU"/>
      <sheetName val="HIT BPK REAL'05 VERIFIKASI BARU"/>
      <sheetName val="REKAP PER KAPAL"/>
      <sheetName val="JANU-KEU (2)"/>
      <sheetName val="slhkcdkol"/>
      <sheetName val="JANU-KEU (3)"/>
      <sheetName val="BALANZA"/>
      <sheetName val="100205 conc"/>
      <sheetName val="100205 edo cta"/>
      <sheetName val="100207 conc"/>
      <sheetName val="100207 edo cta"/>
      <sheetName val="100209"/>
      <sheetName val="110100"/>
      <sheetName val="119032"/>
      <sheetName val="130038"/>
      <sheetName val="135001"/>
      <sheetName val="139152"/>
      <sheetName val="140141"/>
      <sheetName val="140173"/>
      <sheetName val="140175"/>
      <sheetName val="142006"/>
      <sheetName val="145001"/>
      <sheetName val="148011"/>
      <sheetName val="148013"/>
      <sheetName val="148023"/>
      <sheetName val="154002"/>
      <sheetName val="154003"/>
      <sheetName val="171100"/>
      <sheetName val="172111"/>
      <sheetName val="222200"/>
      <sheetName val="232200"/>
      <sheetName val="222206"/>
      <sheetName val="222208"/>
      <sheetName val="222500"/>
      <sheetName val="232500"/>
      <sheetName val="232208 hardware"/>
      <sheetName val="232208 Software"/>
      <sheetName val="310137"/>
      <sheetName val="310138"/>
      <sheetName val="320701"/>
      <sheetName val="367101"/>
      <sheetName val="369222"/>
      <sheetName val="369600"/>
      <sheetName val="369605"/>
      <sheetName val="369606"/>
      <sheetName val="378954 SYMBOL TECH INC DIC"/>
      <sheetName val="379012"/>
      <sheetName val="Quote"/>
      <sheetName val="P&amp;L Summary"/>
      <sheetName val="Logging PL"/>
      <sheetName val="License Summary"/>
      <sheetName val="Licensed Software"/>
      <sheetName val="Interface Software"/>
      <sheetName val="NetRMS Software"/>
      <sheetName val="Radio IP"/>
      <sheetName val="Server Hardware"/>
      <sheetName val="Other HW_SW"/>
      <sheetName val="Project Labor"/>
      <sheetName val="3rd Party Partners"/>
      <sheetName val="Product List"/>
      <sheetName val="OPTIONS"/>
      <sheetName val="CIG"/>
      <sheetName val="LF Lists"/>
      <sheetName val="IMS Profiles"/>
      <sheetName val="Asset depreciation"/>
      <sheetName val="100% prices"/>
      <sheetName val="working file"/>
      <sheetName val="EMEA INSS W41"/>
      <sheetName val="378999 Reconciliation"/>
      <sheetName val="Retreive 1"/>
      <sheetName val="FTT Lists"/>
      <sheetName val="CostDrivers"/>
      <sheetName val="Years of support (3)"/>
      <sheetName val="Years of support (5)"/>
      <sheetName val="Years of support (9)"/>
      <sheetName val="Optional Services 1 Year"/>
      <sheetName val="EBR P&amp;L USD - QGC MA"/>
      <sheetName val="EBR CashflowUSD- QGC MA"/>
      <sheetName val="MotCare &amp; Selex (3)"/>
      <sheetName val="MotCare &amp; Selex (5)"/>
      <sheetName val="P&amp;L 3 Years"/>
      <sheetName val="P&amp;L 5 Years"/>
      <sheetName val="P&amp;L 9 Years"/>
      <sheetName val="SparesList"/>
      <sheetName val="AvailabilityCalc"/>
      <sheetName val=" Format "/>
      <sheetName val=" Format  (2)"/>
      <sheetName val=" Format  (3)"/>
      <sheetName val=" Format  (4)"/>
      <sheetName val=" Format  (5)"/>
      <sheetName val=" Format  (6)"/>
      <sheetName val=" Format  (7)"/>
      <sheetName val="Process Flow - Current"/>
      <sheetName val="Process Flow - Potential"/>
      <sheetName val="PRT_VAR Potential"/>
      <sheetName val="Regional"/>
      <sheetName val="Inv Summary"/>
      <sheetName val="Inv by Tech"/>
      <sheetName val="LTB Inv"/>
      <sheetName val="E&amp;O Calculation"/>
      <sheetName val="Root Cause Pareto"/>
      <sheetName val="Scrub Trend"/>
      <sheetName val="Biz Mitigation"/>
      <sheetName val="Reserve Pareto"/>
      <sheetName val="E&amp;O P&amp;L Allo"/>
      <sheetName val="Major Issues"/>
      <sheetName val="PCR  Excess"/>
      <sheetName val="AAD Excess"/>
      <sheetName val="AAD LTB"/>
      <sheetName val="Wavenet "/>
      <sheetName val="R&amp;R LTB"/>
      <sheetName val="R&amp;R Excess"/>
      <sheetName val="Mesh"/>
      <sheetName val="Vertex_radio"/>
      <sheetName val="Vertex_AAD"/>
      <sheetName val="Kani_TSD"/>
      <sheetName val="Resumen draft"/>
      <sheetName val="Capacidad 2001"/>
      <sheetName val="Installed 2001"/>
      <sheetName val="Jerarquia"/>
      <sheetName val="Capacidad FWA"/>
      <sheetName val="TOTAL CAP FWA"/>
      <sheetName val="resumen CAPACIDAD FWA"/>
      <sheetName val="Assump Op"/>
      <sheetName val="New Churn"/>
      <sheetName val="Total Captura"/>
      <sheetName val="Internet"/>
      <sheetName val="INTERNET DED"/>
      <sheetName val="LP"/>
      <sheetName val="Web Net"/>
      <sheetName val="VAS"/>
      <sheetName val="Forecast 2002"/>
      <sheetName val="NAC2000"/>
      <sheetName val="Consumos"/>
      <sheetName val="Dif vs Oct"/>
      <sheetName val="Promo 300"/>
      <sheetName val="+ x -"/>
      <sheetName val="ABCDE"/>
      <sheetName val="Micro-Small"/>
      <sheetName val="Med-LC-Whls"/>
      <sheetName val="Revenue by month"/>
      <sheetName val="STOP BILLING"/>
      <sheetName val="Rev x segmento"/>
      <sheetName val="Assumtions"/>
      <sheetName val="WHLS MXO"/>
      <sheetName val="Rev Adic. UNE"/>
      <sheetName val="Forecast new"/>
      <sheetName val="Forecast Inteligente y rbs"/>
      <sheetName val="Forecast MOUs Calls"/>
      <sheetName val="Razones desconex"/>
      <sheetName val="Questionaire"/>
      <sheetName val="Site Dimensioning"/>
      <sheetName val="BSC Design"/>
      <sheetName val="RXCDR Design"/>
      <sheetName val="BSC FNE"/>
      <sheetName val="RXCDR FNE"/>
      <sheetName val="Spares List"/>
      <sheetName val="DUALRATE.XLM"/>
      <sheetName val="ERLANGB.XLM"/>
      <sheetName val="GETLINK.XLM"/>
      <sheetName val="SPAREM.XLM"/>
      <sheetName val="ORDER6.XLM"/>
      <sheetName val="DETAIL REPORT"/>
      <sheetName val="DO NOT TOUCH"/>
      <sheetName val="Configurator"/>
      <sheetName val="Q209 Roll Forward Report - Dec "/>
      <sheetName val="PO Commitment 813"/>
      <sheetName val="IAC Q205 Component Price List"/>
      <sheetName val="Inventec - 8-Ball - P80730US"/>
      <sheetName val="Inventec - 8-Ball - P80730ML3"/>
      <sheetName val="Inventec - 8-Ball - P80732US"/>
      <sheetName val="Inventec - Cheetah - P80880US"/>
      <sheetName val="Inventec - Cheetah -P80880US-BP"/>
      <sheetName val="Inventec - Cheetah - P80880ML3"/>
      <sheetName val="Inventec Cheetah - P80880ML3-BP"/>
      <sheetName val="Inventec - Cheetah - P80880CN"/>
      <sheetName val="Cheetah - P80880ROW-BP"/>
      <sheetName val="Cheetah - P80880ROW-BP1"/>
      <sheetName val="Cheetah - P80880ROW-BP2"/>
      <sheetName val="Inventec - Bengal - P80708US"/>
      <sheetName val="Inventec - Bengal -P80708US-BP1"/>
      <sheetName val="Inventec - Bengal- P80708ML1"/>
      <sheetName val="Inventec - Bengal - 1041NA"/>
      <sheetName val="Inventec - Bengal -P80708US-BP2"/>
      <sheetName val="A1. 10.03 T.I. Calculation"/>
      <sheetName val="A2. 10.03 Estimated Tax Pmt"/>
      <sheetName val="C2. LT Restr. Res."/>
      <sheetName val="C3. Accd Vac and Bonuses"/>
      <sheetName val="C4. Inventory Reserve"/>
      <sheetName val="C5. Bad Debt Reserve"/>
      <sheetName val="C6. Accd Liab PCS"/>
      <sheetName val="C7. ST and LT Warranty Reserve"/>
      <sheetName val="C8. Accd Prod Ret Res"/>
      <sheetName val="C9. Deferred Income"/>
      <sheetName val="C10. Deferred Income SW"/>
      <sheetName val="C11. Accrued Legal Expenses"/>
      <sheetName val="G1. 10.03 Deferred Inc Balances"/>
      <sheetName val="US_103103"/>
      <sheetName val="Canada_103103"/>
      <sheetName val="Brazil_103103"/>
      <sheetName val="NAsia_103103"/>
      <sheetName val="HKPRC_103103"/>
      <sheetName val="Australia_1031"/>
      <sheetName val="Italy_103103"/>
      <sheetName val="India72_103103"/>
      <sheetName val="Taiwan_103103"/>
      <sheetName val="ELI _10.31.03"/>
      <sheetName val="WP F2.  Inc Tax Payable Rollfwd"/>
      <sheetName val="WP G.  DTL Rollfwd"/>
      <sheetName val="C1. 10.03 New Floor"/>
      <sheetName val="Palm Q402 Price File"/>
      <sheetName val="MSL Combined BOM's"/>
      <sheetName val="Palm Targets"/>
      <sheetName val="Savings Summary"/>
      <sheetName val="Material Cost by Sku"/>
      <sheetName val="PART MASTER DATA"/>
      <sheetName val="Q204 Palm Controlled Pricing"/>
      <sheetName val="Inventec Q204 Pricing File"/>
      <sheetName val="Inventec - Panther 180-4784C-US"/>
      <sheetName val="Inventec - Panther180-4784D-ROW"/>
      <sheetName val="Inventec - Panther - P80720CN"/>
      <sheetName val="Inventec - Panther - P80720ML3"/>
      <sheetName val="Inventec - Zire - P80707US"/>
      <sheetName val="Inventec - Zire - P80707ML3"/>
      <sheetName val="Inventec - 8-Ball - P80731US"/>
      <sheetName val="Inventec - Cheetah - P80881ML"/>
      <sheetName val="Inventec - Cheetah - P80882US"/>
      <sheetName val="Doumen Q204 Pricing File"/>
      <sheetName val="Doumen Q204 Pricing Summary"/>
      <sheetName val="Doumen - M500 - 180-2054D-CN"/>
      <sheetName val="Doumen - M500 - 180-2054-D-US"/>
      <sheetName val="Doumen - M500 -180-2054-D-EFIG1"/>
      <sheetName val="Doumen - Pacific 180-4392D-INTL"/>
      <sheetName val="Doumen - Pacific - 180-6201A-DE"/>
      <sheetName val="Doumen - Pacific 180-6201A-INTL"/>
      <sheetName val="Doumen - Pacific - 180-4392D-DE"/>
      <sheetName val="Doumen - Pacific - 180-4392D-FR"/>
      <sheetName val="Doumen - T2 - 180-4854A-EFIG3"/>
      <sheetName val="Doumen - T2 - 180-4854A-US"/>
      <sheetName val="Asustek Q204 Pricing File"/>
      <sheetName val="Asustek - Arizona - 180-5027A"/>
      <sheetName val="Asustek - Arizona - P80870ML3"/>
      <sheetName val="Asustek - Arizona - P80870CN"/>
      <sheetName val="Asustek - Montana 180-4547C-ROW"/>
      <sheetName val="Asustek - Montana - P80900CN"/>
      <sheetName val="Asustek - Montana - P80900ML3"/>
      <sheetName val="Flex Log Nash Q204 Pricing File"/>
      <sheetName val="Flex Nash Q204 Pricing Summary"/>
      <sheetName val="Flex Nash - M500 - 3C80800U"/>
      <sheetName val="Flex Nash - M500 - P80800ROW"/>
      <sheetName val="Flex Nash - M500 - P80800CN"/>
      <sheetName val="Flex Nash - ArizoP80870ML3Rev A"/>
      <sheetName val="Flex Nash - ArizoP80870ML3Rev B"/>
      <sheetName val="Flex Nash - ArizoP80870US Rev A"/>
      <sheetName val="Flex Nash - ArizP80870US Rev B"/>
      <sheetName val="Flex Nash - Montana - P80900ML3"/>
      <sheetName val="Flex Nash - Montana - P80900US"/>
      <sheetName val="Flex Nash - Pacific -P80505ATUS"/>
      <sheetName val="Flex Nash - Pacfici P80505CLRBR"/>
      <sheetName val="Flex Nash - Pacific - P80505DE"/>
      <sheetName val="Flex Nash - Pacific - P80505FR"/>
      <sheetName val="Flex Nash - Pacific P80505IEEUR"/>
      <sheetName val="Flex Nash - Pacific P80505IEROW"/>
      <sheetName val="Flex Nash - Pacific P80505ORGFR"/>
      <sheetName val="Flex Nash - Pacific -P80505RGRS"/>
      <sheetName val="Flex Nash - Pacific -P80505TLCL"/>
      <sheetName val="Flex Nash - Panther - P50233US"/>
      <sheetName val="Flex Nash - Panther - P50623US"/>
      <sheetName val="Flex Nash - Panther - P80720ML3"/>
      <sheetName val="Flex Nash - Panther - P80720US"/>
      <sheetName val="Flex Nash - T2 - P80860ML3"/>
      <sheetName val="Flex Nash - T2 - P80860US"/>
      <sheetName val="Flex Nash - P50829U"/>
      <sheetName val="Flex Nash - P50830U"/>
      <sheetName val="E&amp;O"/>
      <sheetName val="Non E&amp;O"/>
      <sheetName val="Mat'l PIR"/>
      <sheetName val="Closed EO"/>
      <sheetName val="Closed Non EO"/>
      <sheetName val="Closed Mat'l PIR"/>
      <sheetName val="Cat 1"/>
      <sheetName val="China - M550 - 180-4256A-US (2)"/>
      <sheetName val="China - M550 - 180-4256A-RO (2)"/>
      <sheetName val="China Fargo Bom (2)"/>
      <sheetName val="Palm Q203 Master List (2)"/>
      <sheetName val="Action Plan"/>
      <sheetName val="Q307"/>
      <sheetName val="Finance SOX"/>
      <sheetName val="Product Pricing"/>
      <sheetName val="MVA"/>
      <sheetName val="Discrepancies"/>
      <sheetName val="Cost Review"/>
      <sheetName val="Price book Q3 demand"/>
      <sheetName val="Price book Q3 price"/>
      <sheetName val="Inv-dd-070507-to-VF"/>
      <sheetName val="stock &amp; wip_Finance-140507"/>
      <sheetName val="Component price list"/>
      <sheetName val="Boms - Sample B"/>
      <sheetName val="Wongs"/>
      <sheetName val="Singapore"/>
      <sheetName val="Brasil"/>
      <sheetName val="Mexico"/>
      <sheetName val="Shanghai"/>
      <sheetName val="Kunshan"/>
      <sheetName val="XPLR006"/>
      <sheetName val="XPLR008"/>
      <sheetName val="XPLR119S"/>
      <sheetName val="XPLR125"/>
      <sheetName val="XPLR126"/>
      <sheetName val="XPLR132"/>
      <sheetName val="xpbs016"/>
      <sheetName val="xpbs015"/>
      <sheetName val="xpbs014"/>
      <sheetName val="xpbs011"/>
      <sheetName val="xpbs010"/>
      <sheetName val="xpbs008"/>
      <sheetName val="XLST001"/>
      <sheetName val="XLST003"/>
      <sheetName val="XSYS004"/>
      <sheetName val="XSYS007"/>
      <sheetName val="XSYS111"/>
      <sheetName val="XSYS112"/>
      <sheetName val="XSYS117"/>
      <sheetName val="XSYS118"/>
      <sheetName val="XSYS120"/>
      <sheetName val="XSYS124"/>
      <sheetName val="XSYS125"/>
      <sheetName val="XLBS013"/>
      <sheetName val="XPRS006"/>
      <sheetName val="XPRS007"/>
      <sheetName val="XPRS019"/>
      <sheetName val="XPRS028"/>
      <sheetName val="XPRS034"/>
      <sheetName val="XTHS1XX"/>
      <sheetName val="xpbs003"/>
      <sheetName val="Sheet0"/>
      <sheetName val="BOm checks"/>
      <sheetName val="Pivot VFi"/>
      <sheetName val="BOM_Explosion_Report 2 "/>
      <sheetName val="BOM Matrix"/>
      <sheetName val="Verifone"/>
      <sheetName val="PDL"/>
      <sheetName val="Cost Review-Princy"/>
      <sheetName val="Reserve Summary"/>
      <sheetName val="SummaryTracker - PIR"/>
      <sheetName val="Mth End Report - Jul"/>
      <sheetName val="Mth End Report - Jun"/>
      <sheetName val="Mth End Report - May"/>
      <sheetName val="Inventory Summary"/>
      <sheetName val="Cust Inventory (1)"/>
      <sheetName val="Cust Inventory (2)"/>
      <sheetName val="SRO# 60014088_60014159"/>
      <sheetName val="SRO# 60014211 13th June_"/>
      <sheetName val="SRO- 60014234 12th July"/>
      <sheetName val="SRO-60014278 26th July"/>
      <sheetName val="Guidance"/>
      <sheetName val="Input Screen"/>
      <sheetName val="Subsidiary Summary"/>
      <sheetName val="Revenue per Product"/>
      <sheetName val="Aging Receivables"/>
      <sheetName val="Approvals"/>
      <sheetName val="GL ACCOUNTS"/>
      <sheetName val="SHIPMENT"/>
      <sheetName val="Board Tebrau C"/>
      <sheetName val="TM42XX"/>
      <sheetName val="L4150"/>
      <sheetName val="PWA Ship Plan"/>
      <sheetName val="Sum Sept'11 TL Build Plan"/>
      <sheetName val="HUB-15Sep"/>
      <sheetName val="Ttl issue TL-14Sep"/>
      <sheetName val="RMA-15Sep"/>
      <sheetName val="Combo"/>
      <sheetName val="ESSBASE-Overview"/>
      <sheetName val="ESSBASE-DIV"/>
      <sheetName val="OT"/>
      <sheetName val="GL 0304"/>
      <sheetName val="P&amp;LSEPG (2)"/>
      <sheetName val="P&amp;LSEPG"/>
      <sheetName val="SEPG BY SUPPLIER (2)"/>
      <sheetName val="Sale2003"/>
      <sheetName val="SEPG2004"/>
      <sheetName val="JerryCans"/>
      <sheetName val="Can Parts"/>
      <sheetName val="PrintingOrder"/>
      <sheetName val="TinPlatePrice"/>
      <sheetName val="SquareCans"/>
      <sheetName val="RoundCans"/>
      <sheetName val="APP I (outstanding)"/>
      <sheetName val="App II"/>
      <sheetName val="App III"/>
      <sheetName val="App IV"/>
      <sheetName val="P_LSEPG"/>
      <sheetName val="Sales Analysis (2)"/>
      <sheetName val="GProfit"/>
      <sheetName val="Superelectronics"/>
      <sheetName val="DD1"/>
      <sheetName val="HH1"/>
      <sheetName val="CC7"/>
      <sheetName val="FF1"/>
      <sheetName val="ageing bracket"/>
      <sheetName val="FF2.1 underlying data test"/>
      <sheetName val="FF200"/>
      <sheetName val="GG1"/>
      <sheetName val="GG2"/>
      <sheetName val="GG3"/>
      <sheetName val="Treshold"/>
      <sheetName val="MM1"/>
      <sheetName val="MM2"/>
      <sheetName val="MM2-1"/>
      <sheetName val="MM2-2"/>
      <sheetName val="EE1"/>
      <sheetName val="EE1-1"/>
      <sheetName val="EE1-2"/>
      <sheetName val="EE1-3"/>
      <sheetName val="EE3-1"/>
      <sheetName val="EE3-2"/>
      <sheetName val="EE7"/>
      <sheetName val="(1 A~B)"/>
      <sheetName val="(1C~D)"/>
      <sheetName val="(1E~F)"/>
      <sheetName val="(1G)"/>
      <sheetName val="(1H)"/>
      <sheetName val="(1I)"/>
      <sheetName val="(1J)"/>
      <sheetName val="(1K)"/>
      <sheetName val="(1L)"/>
      <sheetName val="(1M)"/>
      <sheetName val="(1N)"/>
      <sheetName val="(1O)"/>
      <sheetName val="(1P)"/>
      <sheetName val="(1Q)"/>
      <sheetName val="(1R)"/>
      <sheetName val="( 7 )"/>
      <sheetName val="( 1 )"/>
      <sheetName val="( 2 )"/>
      <sheetName val="( 10 )"/>
      <sheetName val="( 11 )"/>
      <sheetName val="( 13 )"/>
      <sheetName val="( 14 )"/>
      <sheetName val="( 15 )"/>
      <sheetName val="( 16 )"/>
      <sheetName val="( 17 )"/>
      <sheetName val="( 18 )"/>
      <sheetName val="( 19 )"/>
      <sheetName val="( 20 )"/>
      <sheetName val="( 21 )"/>
      <sheetName val="( 22 )"/>
      <sheetName val="( 23 )"/>
      <sheetName val="( 24 )"/>
      <sheetName val="( 25 )"/>
      <sheetName val="( 26 )"/>
      <sheetName val="A5-1"/>
      <sheetName val="A13"/>
      <sheetName val="E-TOC"/>
      <sheetName val="B1(a)"/>
      <sheetName val="B1-1(V)"/>
      <sheetName val="B1-1 (Q)"/>
      <sheetName val="E1-1"/>
      <sheetName val="E1-2"/>
      <sheetName val="E1-3"/>
      <sheetName val="E3-1"/>
      <sheetName val="FG listing"/>
      <sheetName val="RM listing"/>
      <sheetName val="PnL commentaries"/>
      <sheetName val="ESTIMATE-P&amp;L-PMV"/>
      <sheetName val="Forecast P&amp;L-PAL"/>
      <sheetName val="ESTIMATE P&amp;L99-GROUP"/>
      <sheetName val="Forecast P&amp;L-PMV"/>
      <sheetName val="Forecast P&amp;L-PMT"/>
      <sheetName val="SCH-GP"/>
      <sheetName val="FORECAST-GP"/>
      <sheetName val="P&amp;L YR99"/>
      <sheetName val="CONSUL-P&amp;L99"/>
      <sheetName val="P&amp;L YR99 (3)"/>
      <sheetName val="NN1(a)"/>
      <sheetName val="NN5-3"/>
      <sheetName val="LL1-1"/>
      <sheetName val="P.T. Daya Manunggal"/>
      <sheetName val="LL1-3"/>
      <sheetName val="LL1-4"/>
      <sheetName val="LL1-5"/>
      <sheetName val="LL1-6"/>
      <sheetName val="LL1-7.1"/>
      <sheetName val="LL1-7.2"/>
      <sheetName val="LL3"/>
      <sheetName val="EE5.1"/>
      <sheetName val="EE5-1"/>
      <sheetName val="EE9.1"/>
      <sheetName val="Inventories Control List"/>
      <sheetName val="LL4"/>
      <sheetName val="Significant OS"/>
      <sheetName val="OS Final"/>
      <sheetName val="OS-Focal"/>
      <sheetName val="OS- KSS"/>
      <sheetName val="Sheet 1 (2)"/>
      <sheetName val="B1-2-1"/>
      <sheetName val="B6-1-2"/>
      <sheetName val="B6-1-3"/>
      <sheetName val="NPS&amp;NFM"/>
      <sheetName val="totmal"/>
      <sheetName val="excp"/>
      <sheetName val="Tax related exp"/>
      <sheetName val="fty-foe"/>
      <sheetName val="22.4-NPS"/>
      <sheetName val="22.4-NFM"/>
      <sheetName val="Nfm sales aff"/>
      <sheetName val="OPL2001TP"/>
      <sheetName val="Opl01cs"/>
      <sheetName val="Bpkitem"/>
      <sheetName val="Validation-co"/>
      <sheetName val="NESMAL (int only)"/>
      <sheetName val="NESMAL"/>
      <sheetName val="Div"/>
      <sheetName val="S6OF"/>
      <sheetName val="Int-sch4"/>
      <sheetName val="Tax N Audit"/>
      <sheetName val="Taxprov"/>
      <sheetName val="14.0 (loc)"/>
      <sheetName val="14.0"/>
      <sheetName val="14.1"/>
      <sheetName val="37.0"/>
      <sheetName val="3410"/>
      <sheetName val="3420"/>
      <sheetName val="3421"/>
      <sheetName val="Validation"/>
      <sheetName val="CONSOL-TAX"/>
      <sheetName val="14.0 con"/>
      <sheetName val="22.4con"/>
      <sheetName val="22.5 con"/>
      <sheetName val="3400-con"/>
      <sheetName val="3410-con"/>
      <sheetName val="3421-con"/>
      <sheetName val="3425-con"/>
      <sheetName val="3426-con"/>
      <sheetName val="3427-con"/>
      <sheetName val="Cash Flow workings"/>
      <sheetName val="M1 "/>
      <sheetName val="BB1"/>
      <sheetName val="BB2-1"/>
      <sheetName val="BB2"/>
      <sheetName val="NOT TO PRINT"/>
      <sheetName val="ADMIN SALARY"/>
      <sheetName val="DIV-Net period"/>
      <sheetName val="B5(BS)_Revise"/>
      <sheetName val="B5(BS)"/>
      <sheetName val="B5_IS"/>
      <sheetName val="BB2.1"/>
      <sheetName val="BB4"/>
      <sheetName val="FF300"/>
      <sheetName val="JJ1"/>
      <sheetName val="MM1-1"/>
      <sheetName val="KK1-1-Tech"/>
      <sheetName val="KK2-tech(revised)"/>
      <sheetName val="KK2-1"/>
      <sheetName val="KK3(m)-Tech"/>
      <sheetName val="KK3(r)-1"/>
      <sheetName val="KK4"/>
      <sheetName val="Tec-dd"/>
      <sheetName val="KK1-Tech"/>
      <sheetName val="FB1 (2)"/>
      <sheetName val="BS (3)"/>
      <sheetName val="D1 (3)"/>
      <sheetName val="E1  (3)"/>
      <sheetName val="F1  (3)"/>
      <sheetName val="G1  (3)"/>
      <sheetName val="J1 (3)"/>
      <sheetName val="J3 (3)"/>
      <sheetName val="M1 (3)"/>
      <sheetName val="M1-1 (3)"/>
      <sheetName val="M1-2 (3)"/>
      <sheetName val="N1 (3)"/>
      <sheetName val="PBSE BS"/>
      <sheetName val="comp of re pack"/>
      <sheetName val="CF Statements"/>
      <sheetName val="Stmt of equity"/>
      <sheetName val="FB1"/>
      <sheetName val="FB2"/>
      <sheetName val="GP analysis"/>
      <sheetName val="FB3"/>
      <sheetName val="PBSE PL"/>
      <sheetName val="FB4 Sch9 Disclosure"/>
      <sheetName val="HCC1"/>
      <sheetName val="HCC4"/>
      <sheetName val="HCC5"/>
      <sheetName val="HHH1"/>
      <sheetName val="D1-1"/>
      <sheetName val="E1 "/>
      <sheetName val="FE3"/>
      <sheetName val="FE3-1"/>
      <sheetName val="HLL1"/>
      <sheetName val="HE1"/>
      <sheetName val="HE2-1"/>
      <sheetName val="HE2"/>
      <sheetName val="F1 "/>
      <sheetName val="G1 "/>
      <sheetName val="M1-2"/>
      <sheetName val="General info (2)"/>
      <sheetName val="CF Statements (2)"/>
      <sheetName val="Stmt of equity (2)"/>
      <sheetName val="D1 (2)"/>
      <sheetName val="D1-1 (2)"/>
      <sheetName val="E1  (2)"/>
      <sheetName val="F1  (2)"/>
      <sheetName val="G1  (2)"/>
      <sheetName val="J1 (2)"/>
      <sheetName val="J3 (2)"/>
      <sheetName val="L1 (2)"/>
      <sheetName val="M1 (2)"/>
      <sheetName val="M1-1 (2)"/>
      <sheetName val="M1-2 (2)"/>
      <sheetName val="N1 (2)"/>
      <sheetName val="B1-4"/>
      <sheetName val="B1-5"/>
      <sheetName val="B1-6"/>
      <sheetName val="B3-1"/>
      <sheetName val="B6-1"/>
      <sheetName val="B6-2"/>
      <sheetName val="B6-3"/>
      <sheetName val="B6-4"/>
      <sheetName val="E2-1.2"/>
      <sheetName val="WIP-Prod"/>
      <sheetName val="E6-1"/>
      <sheetName val="E6-1.1"/>
      <sheetName val="E6-2"/>
      <sheetName val="E6-2.1"/>
      <sheetName val="B2-1"/>
      <sheetName val="BS'09"/>
      <sheetName val="BS (revised)"/>
      <sheetName val="PL (revised)"/>
      <sheetName val="PPE (revised)"/>
      <sheetName val="Journal (revised)"/>
      <sheetName val="PPE(1)"/>
      <sheetName val="CSF (2)"/>
      <sheetName val="CSF"/>
      <sheetName val="INTERCO-nontrade"/>
      <sheetName val="interco(1)"/>
      <sheetName val="INTERCO-TRADE"/>
      <sheetName val="COC"/>
      <sheetName val="Disposal of PPE"/>
      <sheetName val="Hist cost"/>
      <sheetName val="CF Recon"/>
      <sheetName val="Int.Rates"/>
      <sheetName val="MI share"/>
      <sheetName val="Comp of int"/>
      <sheetName val="Cashflow by subsi"/>
      <sheetName val="BB2-3"/>
      <sheetName val="FF4-1"/>
      <sheetName val="NO.0"/>
      <sheetName val="NO.1"/>
      <sheetName val="NO.2-1"/>
      <sheetName val="NO.2-2"/>
      <sheetName val="NO.2-3"/>
      <sheetName val="NO.2-4"/>
      <sheetName val="NO.3-1"/>
      <sheetName val="NO.3-2"/>
      <sheetName val="NO.4"/>
      <sheetName val="NO.5-1"/>
      <sheetName val="NO.5-2"/>
      <sheetName val="NO.5-3"/>
      <sheetName val="NO.6-1"/>
      <sheetName val="NO.6-2"/>
      <sheetName val="NO.7"/>
      <sheetName val="NO.8"/>
      <sheetName val="NO.8-1"/>
      <sheetName val="NO.9"/>
      <sheetName val="NO.9-1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 (1)"/>
      <sheetName val="NO.26 (2)"/>
      <sheetName val="NO.27(1)"/>
      <sheetName val="NO.27(2)"/>
      <sheetName val="NO.28"/>
      <sheetName val="NO.29 "/>
      <sheetName val="NO.30"/>
      <sheetName val="NO.31"/>
      <sheetName val="ATTCH.1"/>
      <sheetName val="ATTCH.2"/>
      <sheetName val="CIF&amp;FOB"/>
      <sheetName val="Consignment"/>
      <sheetName val="DDU term"/>
      <sheetName val="PnL (Details) - May'08"/>
      <sheetName val="BB2-1.1"/>
      <sheetName val="BB2.4"/>
      <sheetName val="BB6"/>
      <sheetName val="BB2-2"/>
      <sheetName val="BB6.1"/>
      <sheetName val="SMT"/>
      <sheetName val="FF2"/>
      <sheetName val="FF6"/>
      <sheetName val="損益分析"/>
      <sheetName val="損益表說明"/>
      <sheetName val="存貨跌價及呆滯損失"/>
      <sheetName val="資產負債表"/>
      <sheetName val="損益表"/>
      <sheetName val="試算表累計"/>
      <sheetName val="試算表當月"/>
      <sheetName val="銷貨成本表-GPP"/>
      <sheetName val="銷貨成本附表"/>
      <sheetName val="R銷貨成本表-GMP"/>
      <sheetName val="製造直接費用明細表"/>
      <sheetName val="管理費用明細表"/>
      <sheetName val="銷售費用明細表--"/>
      <sheetName val="研發費用明細表"/>
      <sheetName val="宿舍費用明細表"/>
      <sheetName val="五力分析"/>
      <sheetName val="背書保證事項記錄"/>
      <sheetName val="內部銷售"/>
      <sheetName val="營運槓桿度"/>
      <sheetName val="ToDo"/>
      <sheetName val="BS,Equity"/>
      <sheetName val="AA13"/>
      <sheetName val="A17"/>
      <sheetName val="BB1(A)"/>
      <sheetName val="BB1-1"/>
      <sheetName val="BB3"/>
      <sheetName val="CC2"/>
      <sheetName val="CC3"/>
      <sheetName val="CC4"/>
      <sheetName val="CC6"/>
      <sheetName val="EE5-5"/>
      <sheetName val="EE6"/>
      <sheetName val="EE6-1"/>
      <sheetName val="FF-TOC"/>
      <sheetName val="FF3"/>
      <sheetName val="LL-TOC"/>
      <sheetName val="MM5"/>
      <sheetName val="KK1"/>
      <sheetName val="KK2"/>
      <sheetName val="KK3"/>
      <sheetName val="KK6"/>
      <sheetName val="KK1 (2)"/>
      <sheetName val="KK2 (2)"/>
      <sheetName val="KK3 (2)"/>
      <sheetName val="KK4 (2)"/>
      <sheetName val="KK6 (2)"/>
      <sheetName val="KK6 (unused)"/>
      <sheetName val="Portrait"/>
      <sheetName val="Portrait (2)"/>
      <sheetName val="CC1"/>
      <sheetName val="CC4a"/>
      <sheetName val="Landscape"/>
      <sheetName val="SiGnS"/>
      <sheetName val="Formulae"/>
      <sheetName val="CIG+OV"/>
      <sheetName val="Scrap"/>
      <sheetName val="PRINTS"/>
      <sheetName val="INC NP-NNP"/>
      <sheetName val="CASH New"/>
      <sheetName val="CASH PRINT"/>
      <sheetName val="BAL"/>
      <sheetName val="Covenants"/>
      <sheetName val="CAL"/>
      <sheetName val="NNP"/>
      <sheetName val=" 2000"/>
      <sheetName val="SAM Upload"/>
      <sheetName val="FIN-YTD"/>
      <sheetName val="Mill´s presentation"/>
      <sheetName val="jnl"/>
      <sheetName val="Buttons"/>
      <sheetName val="Sen-Sub"/>
      <sheetName val="Journal - Sen-Sub"/>
      <sheetName val="Voucher($295)"/>
      <sheetName val="Sub Debt $295"/>
      <sheetName val="Voucher($150)"/>
      <sheetName val="Sub Debt $150"/>
      <sheetName val="Voucher P.A.E"/>
      <sheetName val="PAE May-01"/>
      <sheetName val="PAE Jun-01"/>
      <sheetName val="PAE Jul-01"/>
      <sheetName val="PAE SEPT"/>
      <sheetName val="PAE Aug-01"/>
      <sheetName val="Journal PAE"/>
      <sheetName val="PAE Jul-2001"/>
      <sheetName val="Journal - Sub$295  1-15"/>
      <sheetName val="Journal - Sub$295  16-30"/>
      <sheetName val="Voucher($200)"/>
      <sheetName val="Sub Debt $200"/>
      <sheetName val="Journal - Sub 200"/>
      <sheetName val="Journal - Sub 200 16-30"/>
      <sheetName val="Voucher($445)"/>
      <sheetName val=" Loan 445"/>
      <sheetName val="Journal - Int Paid $445 "/>
      <sheetName val="Voucher($275)"/>
      <sheetName val=" Loan 275"/>
      <sheetName val="Journal - IBJ $275"/>
      <sheetName val="Journal - IBJ $275 16-30"/>
      <sheetName val="IBJ New 275  Interest Paid"/>
      <sheetName val="Sub $295"/>
      <sheetName val="Sub $300"/>
      <sheetName val="Sub $200"/>
      <sheetName val="caratula"/>
      <sheetName val="Rec Interest"/>
      <sheetName val="Rec Principals"/>
      <sheetName val="Journal - Sen-Sub 16-30"/>
      <sheetName val="Journal - Int Acc $445 1-24"/>
      <sheetName val="Journal - New Sub 16-31"/>
      <sheetName val="Sub Sch"/>
      <sheetName val="Sen Sch"/>
      <sheetName val="Sen-Sub (2)"/>
      <sheetName val="Nota 15"/>
      <sheetName val="Reconciliation (2)"/>
      <sheetName val="IBJ 275 Int Acc 1-15"/>
      <sheetName val="Ajustes"/>
      <sheetName val="Loan US$295"/>
      <sheetName val="Journal - Loan US$295"/>
      <sheetName val="Journal - Loan US$200"/>
      <sheetName val="Rec Interest (2)"/>
      <sheetName val="OTROS"/>
      <sheetName val="Mar02"/>
      <sheetName val="April02"/>
      <sheetName val="May02"/>
      <sheetName val="June02"/>
      <sheetName val="July02"/>
      <sheetName val="Efficiency"/>
      <sheetName val="Oxide"/>
      <sheetName val="SCENE"/>
      <sheetName val="Cash Flow - Direct Method"/>
      <sheetName val="Analisa direct"/>
      <sheetName val="Cash Flow - Indirect Method"/>
      <sheetName val="Cash Flow - CY Workings"/>
      <sheetName val="Movement account"/>
      <sheetName val="Cash Flow _ CY Workings"/>
      <sheetName val="MASTERS"/>
      <sheetName val="CF_Rinci"/>
      <sheetName val="RKAP-08"/>
      <sheetName val="Read Me"/>
      <sheetName val="I.4-A"/>
      <sheetName val="H.4-A"/>
      <sheetName val="AJERJE"/>
      <sheetName val="E1-ok"/>
      <sheetName val="G1-ok"/>
      <sheetName val="H1.A-ok"/>
      <sheetName val="H1.B-ok"/>
      <sheetName val="H1.C-ok"/>
      <sheetName val="I1.B-ok"/>
      <sheetName val="K1-ok"/>
      <sheetName val="L1.A-ok"/>
      <sheetName val="L1.B-ok"/>
      <sheetName val="L1.C-OK"/>
      <sheetName val="M1-ok"/>
      <sheetName val="N1-ok"/>
      <sheetName val="P1-ok"/>
      <sheetName val="J1.1-ok"/>
      <sheetName val="J1.2-ok"/>
      <sheetName val="section"/>
      <sheetName val="10.101"/>
      <sheetName val="10.102"/>
      <sheetName val="10.103"/>
      <sheetName val="10.104"/>
      <sheetName val="10.105"/>
      <sheetName val="10.107"/>
      <sheetName val="10.112"/>
      <sheetName val="DES 15"/>
      <sheetName val="JAN 16"/>
      <sheetName val="FEB 16"/>
      <sheetName val="MAR 16"/>
      <sheetName val="APRIL 16"/>
      <sheetName val="MEI 16"/>
      <sheetName val="JUNI 16"/>
      <sheetName val="JULI 16"/>
      <sheetName val="AGUS 16"/>
      <sheetName val="SEPT 16"/>
      <sheetName val="OKT 16"/>
      <sheetName val="NOV 16"/>
      <sheetName val="DES 16"/>
      <sheetName val="TB Inventory"/>
      <sheetName val="Inventory Value"/>
      <sheetName val="111710111"/>
      <sheetName val="111710131"/>
      <sheetName val="111710134"/>
      <sheetName val="111710137"/>
      <sheetName val="111710151"/>
      <sheetName val="111710154"/>
      <sheetName val="111710161"/>
      <sheetName val="111710211"/>
      <sheetName val="111710221"/>
      <sheetName val="111710224"/>
      <sheetName val="111710227"/>
      <sheetName val="111710234"/>
      <sheetName val="111710251"/>
      <sheetName val="111710311"/>
      <sheetName val="111710411"/>
      <sheetName val="111710413"/>
      <sheetName val="Afval"/>
      <sheetName val="data09fib"/>
      <sheetName val="K_6DEPOSIT"/>
      <sheetName val="TB 12 2016"/>
      <sheetName val="TB 10 2017"/>
      <sheetName val="1101-101 Cash on Hand IDR"/>
      <sheetName val="Purchase Advance "/>
      <sheetName val="FA Payable"/>
      <sheetName val="Prepaid Expense 10 2017"/>
      <sheetName val="Prepaid 12 2016"/>
      <sheetName val="Accrued Freight &amp; Inklarin"/>
      <sheetName val="Other Long term"/>
      <sheetName val="1299 Others Deposit"/>
      <sheetName val="2117 Received in Advance"/>
      <sheetName val="Fill"/>
      <sheetName val="NEW INVESMENT"/>
      <sheetName val="740 TGR"/>
      <sheetName val="Jan 2015"/>
      <sheetName val="Feb 2015"/>
      <sheetName val="Maret 2015"/>
      <sheetName val="April 2015"/>
      <sheetName val="Mei 2015"/>
      <sheetName val="Juni 2015"/>
      <sheetName val="Juli 2015"/>
      <sheetName val="Agustus 2015"/>
      <sheetName val="September 2015"/>
      <sheetName val="Oktober 2015"/>
      <sheetName val="Form 2.5"/>
      <sheetName val="Form 3.1"/>
      <sheetName val="Form 4.1"/>
      <sheetName val="Form 4.2"/>
      <sheetName val="PDC"/>
      <sheetName val="CT"/>
      <sheetName val="Form 61"/>
      <sheetName val="EXCOM"/>
      <sheetName val="Alokasi Biaya"/>
      <sheetName val="Target Form 21"/>
      <sheetName val="20-11-03"/>
      <sheetName val="Sales Rekap 03 2016"/>
      <sheetName val="Desember 2016"/>
      <sheetName val="November 2016"/>
      <sheetName val="Oktober 2016"/>
      <sheetName val="September 2016"/>
      <sheetName val="Agustus 2016"/>
      <sheetName val="TB 07 2016"/>
      <sheetName val="Sales Juli 2016"/>
      <sheetName val="TB 06 2016"/>
      <sheetName val="Sales Juni 2016"/>
      <sheetName val="Sales Mei 2016"/>
      <sheetName val="Sales April 2016"/>
      <sheetName val="TB 03 2016"/>
      <sheetName val="Sales Maret 2016"/>
      <sheetName val="Sales Februari 2016"/>
      <sheetName val="Sales Jan 2016"/>
      <sheetName val="FS Presentation"/>
      <sheetName val="Working PL"/>
      <sheetName val="Working BS"/>
      <sheetName val="Working CF"/>
      <sheetName val="3. working PL"/>
      <sheetName val="4. working BS"/>
      <sheetName val="5. working CF"/>
      <sheetName val="6. Operation"/>
      <sheetName val="Planed Disposal FA"/>
      <sheetName val="F21"/>
      <sheetName val="F22"/>
      <sheetName val="F26"/>
      <sheetName val="F25"/>
      <sheetName val="F31"/>
      <sheetName val="F50"/>
      <sheetName val="F61"/>
      <sheetName val="F60"/>
      <sheetName val="Presentase"/>
      <sheetName val="Alokasi SC"/>
      <sheetName val="Template TB"/>
      <sheetName val="TB June"/>
      <sheetName val="sasles"/>
      <sheetName val="Sales Rekap"/>
      <sheetName val="TB Dept"/>
      <sheetName val="Press 3"/>
      <sheetName val="Stock Alokasi Dec"/>
      <sheetName val="TB Maret"/>
      <sheetName val="TB YTD Mar"/>
      <sheetName val="WP Q1-2017"/>
      <sheetName val="TB QTX YTD 2017"/>
      <sheetName val="FA Update"/>
      <sheetName val="Sales Purchase"/>
      <sheetName val="Penjualan Afliasi - tgr to Qtx"/>
      <sheetName val="rekon AR AP QTX BRNA"/>
      <sheetName val="CF - Leasing rekon"/>
      <sheetName val="FA Komersial2"/>
      <sheetName val="FA Fiskal (2)"/>
      <sheetName val="SALES 2005"/>
      <sheetName val="rev 2 "/>
      <sheetName val="rev selas 2005"/>
      <sheetName val="SALES "/>
      <sheetName val="COMP MAT 2004"/>
      <sheetName val="IMP'03 "/>
      <sheetName val="price down2003 OK"/>
      <sheetName val="price down2004"/>
      <sheetName val="ints.2004"/>
      <sheetName val="Tax Cal."/>
      <sheetName val="ints.2003"/>
      <sheetName val="WSDES03"/>
      <sheetName val="WS jan 2004"/>
      <sheetName val="WS feb 2004 "/>
      <sheetName val="WS mar 2004  "/>
      <sheetName val="WS apr2004   "/>
      <sheetName val="WS may2004 "/>
      <sheetName val="WS jun2004 "/>
      <sheetName val="WS jul2004  "/>
      <sheetName val="WS aug2004"/>
      <sheetName val="WS sep2004 "/>
      <sheetName val="WS okt2004  "/>
      <sheetName val="WS nov2004 "/>
      <sheetName val="WS dec2004 "/>
      <sheetName val="WS SETAHUN 2004 "/>
      <sheetName val="WS december2005"/>
      <sheetName val="WS december2006"/>
      <sheetName val="WS december2007"/>
      <sheetName val="WS december2008"/>
      <sheetName val="ints.2005"/>
      <sheetName val="ints.2006"/>
      <sheetName val="ints.2007"/>
      <sheetName val="ints.2008"/>
      <sheetName val=" GN5"/>
      <sheetName val="KEVF"/>
      <sheetName val=" KEVJ "/>
      <sheetName val="AND"/>
      <sheetName val=" ANF"/>
      <sheetName val="ANFD"/>
      <sheetName val="GF6"/>
      <sheetName val="KHKG"/>
      <sheetName val="KEHGBELUM ACTUAL"/>
      <sheetName val="KCJABELUM ACTUAL"/>
      <sheetName val="S355"/>
      <sheetName val="TS125"/>
      <sheetName val="S327"/>
      <sheetName val="K127"/>
      <sheetName val=" K164Db"/>
      <sheetName val=" K164DR"/>
      <sheetName val="AM2W"/>
      <sheetName val="CMV1.7"/>
      <sheetName val=" CMV2.0"/>
      <sheetName val=" CRV"/>
      <sheetName val=" ST100"/>
      <sheetName val=" CJS-CJM"/>
      <sheetName val=" YD2"/>
      <sheetName val="AERIO SALES KOSOING"/>
      <sheetName val=" X473 -X479"/>
      <sheetName val=" X626-X620"/>
      <sheetName val="AM4W"/>
      <sheetName val="Agus'01"/>
      <sheetName val="Sept'01"/>
      <sheetName val="WS 2008"/>
      <sheetName val="WS 2009"/>
      <sheetName val="Depr Okt06"/>
      <sheetName val="GiaVL"/>
      <sheetName val="9E1.3"/>
      <sheetName val="Quantity"/>
      <sheetName val="Names"/>
      <sheetName val="9K (3.1)"/>
      <sheetName val="HEAD"/>
      <sheetName val="F21 HPPP (RMB)"/>
      <sheetName val="F21 HPPP (RP)"/>
      <sheetName val="WP F 21"/>
      <sheetName val="F25 HPPP (RMB)"/>
      <sheetName val="F25 HPPP (RP)"/>
      <sheetName val="WP F 25"/>
      <sheetName val="F50 HPPP (RMB)"/>
      <sheetName val="F50 HPPP (RP)"/>
      <sheetName val="WP F 50"/>
      <sheetName val="N.B.1.3 Forklift"/>
      <sheetName val="N.B.1.4 BMW"/>
      <sheetName val="N.B.1.5 Truck"/>
      <sheetName val="Risk Analysis"/>
      <sheetName val="Risk Analysis Compare"/>
      <sheetName val="Estimate Realignment"/>
      <sheetName val="Phasing by Month"/>
      <sheetName val="CIIL Overheads VOWP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hsat"/>
      <sheetName val="Pondasi-Apt"/>
      <sheetName val="STR-APRT-WIKA"/>
      <sheetName val="Pintu"/>
      <sheetName val="Plafon"/>
      <sheetName val="Atap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1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Asumsi budget 2014 - pusat"/>
      <sheetName val="Asumsi budget"/>
      <sheetName val="REKAP ASUMSI"/>
      <sheetName val="SO SCK"/>
      <sheetName val="GL SCK 10.2014"/>
      <sheetName val="GL 1 SCK 12.14"/>
      <sheetName val="GL WIP PRY SCK 12.14"/>
      <sheetName val="GL 2 - 9 SCK 12.14"/>
      <sheetName val="SO KLV"/>
      <sheetName val="GL KLV 10.2014"/>
      <sheetName val="GL 1 KLV 12.14"/>
      <sheetName val="GL WIP PRY KLV 12.14"/>
      <sheetName val="GL 2- 9 KLV 12.14"/>
      <sheetName val="SO KSS"/>
      <sheetName val="GL KSS 10.2014"/>
      <sheetName val="GL 1 KSS 12.14"/>
      <sheetName val="GL WIP PRY KSS 12.14"/>
      <sheetName val="GL 2 - 9 KSS 12.14"/>
      <sheetName val="KSS 7-308-00 TELP"/>
      <sheetName val="KSS 7-302-00 CETAKAN"/>
      <sheetName val="GL FA"/>
      <sheetName val="PEMBELIAN FA 2014"/>
      <sheetName val="PEMBELIAN TANAH 2014"/>
      <sheetName val="cluster"/>
      <sheetName val="LA DARWIN"/>
      <sheetName val="LA GRISEA"/>
      <sheetName val="LA CANARY"/>
      <sheetName val="LA STARLING"/>
      <sheetName val="LA AMETHYS"/>
      <sheetName val="LA ARISTOTELES"/>
      <sheetName val="LA PASCAL COMM"/>
      <sheetName val="LA GRAHA BLV COMM"/>
      <sheetName val="LA CRYTAL COMM 3LT"/>
      <sheetName val="LA GOLDEN 8 EXT COMM"/>
      <sheetName val="LA THE SPRINGS BLV COMM"/>
      <sheetName val="LA DALTON COMM"/>
      <sheetName val="LA NEW JASMINE EXT COMM"/>
      <sheetName val="LA SRS 1"/>
      <sheetName val="TOP (PT)"/>
      <sheetName val="TOP (ACC)"/>
      <sheetName val="LA MT RES"/>
      <sheetName val="MT RES A"/>
      <sheetName val="MT RES B"/>
      <sheetName val="MT RES C"/>
      <sheetName val="MT RES D - BLM LAUNCH"/>
      <sheetName val="MT RES E"/>
      <sheetName val="MT RES F"/>
      <sheetName val="LA MT SIGNATURE"/>
      <sheetName val="MT SIGN G"/>
      <sheetName val="MT SIGN H"/>
      <sheetName val="MT SIGN I - BLM LAUNCH"/>
      <sheetName val="MT SIGN J - BLM LAUNCH"/>
      <sheetName val="MAXWELL"/>
      <sheetName val="LA MAXWELL"/>
      <sheetName val="FARADAY"/>
      <sheetName val="LA FARADAY"/>
      <sheetName val="EDISON"/>
      <sheetName val="LA EDISON"/>
      <sheetName val="VOLTA"/>
      <sheetName val="LA VOLTA"/>
      <sheetName val="DARWIN COMM"/>
      <sheetName val="LA DARWIN COMM"/>
      <sheetName val="GOLDFINCH"/>
      <sheetName val="LA GOLD FINCH"/>
      <sheetName val="PELICAN"/>
      <sheetName val="LA PELICAN"/>
      <sheetName val="FLAMINGO"/>
      <sheetName val="LA FLAMINGO"/>
      <sheetName val="SCIENTIA COMM"/>
      <sheetName val="LA Apt SG (SRS)"/>
      <sheetName val="HPP LAIN2"/>
      <sheetName val="STK 12.2014"/>
      <sheetName val="SUBSIDI CLUSTER 12.2014"/>
      <sheetName val="PENJ &amp; HPP"/>
      <sheetName val="PENJ &amp; HPP (pengajuan b ratna)"/>
      <sheetName val="LA SRS"/>
      <sheetName val="Skedule pembayaran SKKI"/>
      <sheetName val="ASUMSI HJ &amp; HPP"/>
      <sheetName val="SUBSIDI CLS - TUNGGU DR ESTATE"/>
      <sheetName val="PERAWATAN KAWASAN"/>
      <sheetName val="B PENJ"/>
      <sheetName val="CORP IMG"/>
      <sheetName val="GL PROMOSI KLV"/>
      <sheetName val="MONITOR PR KLV"/>
      <sheetName val="GL PROMOSI KSS"/>
      <sheetName val="GL BILL DIBYR DIMUKA"/>
      <sheetName val="MONITOR PR KSS"/>
      <sheetName val="GL PJ KSS"/>
      <sheetName val="GL PROMOSI SCK"/>
      <sheetName val="MONITOR PR SCK"/>
      <sheetName val="DAFTAR PENJUALAN"/>
      <sheetName val="GL KOMISI"/>
      <sheetName val="ADM MARKETING"/>
      <sheetName val="HONOR PROF"/>
      <sheetName val="RT KANTOR"/>
      <sheetName val="FA KSO"/>
      <sheetName val="FA SCK"/>
      <sheetName val="GL GAJI &amp; JAMSOSTEK JBC"/>
      <sheetName val="RECON GAJI JBC"/>
      <sheetName val="GL GAJI SCK"/>
      <sheetName val="RECON GAJI SCK"/>
      <sheetName val="GL PPH 21"/>
      <sheetName val="RENTAL SS"/>
      <sheetName val="GL TK LAIN2 KSS"/>
      <sheetName val="GL TK LAIN2 SCK"/>
      <sheetName val="BUA - PEGAWAI"/>
      <sheetName val="PT SA"/>
      <sheetName val="PT SCK"/>
      <sheetName val="TRAINING QAQC"/>
      <sheetName val="IPK ACADEMY"/>
      <sheetName val="Penambahan Karyawan"/>
      <sheetName val="HR+KARY (ORG)"/>
      <sheetName val="HR+KARY (RP)"/>
      <sheetName val="BUA - ADM"/>
      <sheetName val="BUA - UMUM"/>
      <sheetName val="RMH TANGGA"/>
      <sheetName val="BUA - DEPR"/>
      <sheetName val="DEPR SCK"/>
      <sheetName val="DEPR KSO"/>
      <sheetName val="OTH INC"/>
      <sheetName val="PUSAT ONDERDIL"/>
      <sheetName val="BMS"/>
      <sheetName val="OTH EXP"/>
      <sheetName val="GL BUNGA"/>
      <sheetName val="LEASING (2)"/>
      <sheetName val="SCHEDULE BUNGA"/>
      <sheetName val="Pinjaman Bank"/>
      <sheetName val="Pinjaman KMK"/>
      <sheetName val="CAPEX &amp; INVENTARIS"/>
      <sheetName val="DAFTAR CAMERA"/>
      <sheetName val="HT GPS"/>
      <sheetName val="CAPEX ESTATE"/>
      <sheetName val="AR COLL"/>
      <sheetName val="KETENTUAN CARA BAYAR"/>
      <sheetName val="PROYEKSI PENJ 2013 - 2014"/>
      <sheetName val="Cash in from Sales - KSO LV"/>
      <sheetName val="Cash in from Sales - KSO SS"/>
      <sheetName val="Cash in from Sales - SCK"/>
      <sheetName val="Infra Utama - Kawasan Springs"/>
      <sheetName val="PROJECT COST KSO LV"/>
      <sheetName val="Schedule Proyek KSO LV"/>
      <sheetName val="PROJECT COST KSO SS"/>
      <sheetName val="Schedule Proyek KSO SS"/>
      <sheetName val="PROJECT COST SCK"/>
      <sheetName val="Schedule Proyek SCK"/>
      <sheetName val="Schedule Springs Club &amp; SBP 1-2"/>
      <sheetName val="SBP 1"/>
      <sheetName val="SBP 2"/>
      <sheetName val="Infra Utama KSO SS"/>
      <sheetName val="KSO SS - PROFIT SHARING 2012"/>
      <sheetName val="KSO SS- PROFIT SHARING 2013"/>
      <sheetName val="CF SCK"/>
      <sheetName val="CF KSO SS + SCK"/>
      <sheetName val="CF KSO LV"/>
      <sheetName val="KSO LV - PROFIT SHARING 2012"/>
      <sheetName val="KSO LV - PROFIT SHARING 2013"/>
      <sheetName val="Consolpack June06"/>
      <sheetName val="temporary"/>
      <sheetName val="DIFF ON CONV"/>
      <sheetName val="SPART"/>
      <sheetName val="kursBI_MID"/>
      <sheetName val="kursBI"/>
      <sheetName val="purch S'part"/>
      <sheetName val="purch FFB"/>
      <sheetName val="Def-charge"/>
      <sheetName val="OVERHOUL-COST"/>
      <sheetName val="advance-asset"/>
      <sheetName val="Advance Property"/>
      <sheetName val="Detail_CIP"/>
      <sheetName val="All Expense July10 - May11"/>
      <sheetName val="ONP Parking"/>
      <sheetName val="OTH interest"/>
      <sheetName val="ONP space-rental"/>
      <sheetName val="TB_RSIB"/>
      <sheetName val="U-2-3 bunker"/>
      <sheetName val="J-1 docking"/>
      <sheetName val="Flow of FA"/>
      <sheetName val="Schedule leasing"/>
      <sheetName val="R-1 Perhit. def. tax"/>
      <sheetName val="Cut off Rev"/>
      <sheetName val="U-2-1 attach"/>
      <sheetName val="U-4-2 mgt fee"/>
      <sheetName val="U-2-2 sewa cont"/>
      <sheetName val="U-2-1 Sewa kapal"/>
      <sheetName val="Fafiskal01"/>
      <sheetName val="Fiscal for report"/>
      <sheetName val="Piutang &amp; hutang lain-lain"/>
      <sheetName val="CAJE'02"/>
      <sheetName val="PAJE'02"/>
      <sheetName val="PRJE'02"/>
      <sheetName val="bank - USD"/>
      <sheetName val="List piutang '01"/>
      <sheetName val="Hutang-piutang afiliasi"/>
      <sheetName val=" htg usaha'01"/>
      <sheetName val="CAJE Apr"/>
      <sheetName val="CRJE Apr"/>
      <sheetName val="PRJE Apr"/>
      <sheetName val="PAJE Apr"/>
      <sheetName val="PKF"/>
      <sheetName val="WS vS Detail"/>
      <sheetName val="TB New vS Detail"/>
      <sheetName val="WBS 1-GL"/>
      <sheetName val="WBS 1 (2)-TB"/>
      <sheetName val="WBS 2 -GL"/>
      <sheetName val="WBS 2 (1)-TB"/>
      <sheetName val="A_Cash In Bank"/>
      <sheetName val="A-1.1"/>
      <sheetName val="A-2.1"/>
      <sheetName val="B_Piutang"/>
      <sheetName val="D-2_PPn"/>
      <sheetName val="FA_Test"/>
      <sheetName val="Tanggal"/>
      <sheetName val="Renovasi"/>
      <sheetName val="LIST. MESIN"/>
      <sheetName val="MAST.PROD"/>
      <sheetName val="MANFCOST"/>
      <sheetName val="LIS. PAKAI"/>
      <sheetName val="PART &amp; MAINT."/>
      <sheetName val="tbl1"/>
      <sheetName val="DEP&amp;ASR"/>
      <sheetName val="STD. COST"/>
      <sheetName val="LIst Reklas BDD n UM (3)"/>
      <sheetName val="LIst Reklas BDD n UM (2)"/>
      <sheetName val="LIst Reklas BDD n UM"/>
      <sheetName val="Profil"/>
      <sheetName val="HIGKLIGHT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NATUNG PERMATA"/>
      <sheetName val="VINTAGE PERMATA"/>
      <sheetName val="ANABPKB"/>
      <sheetName val="BI"/>
      <sheetName val="Form1"/>
      <sheetName val="Form2"/>
      <sheetName val="Form3"/>
      <sheetName val="Form4"/>
      <sheetName val="Form5"/>
      <sheetName val="Form6"/>
      <sheetName val="1 Th"/>
      <sheetName val="CIT Audit"/>
      <sheetName val="KAT SALES (TAP)"/>
      <sheetName val="Purchase-xxx (USD)"/>
      <sheetName val="Purchase-xxx (IDR)"/>
      <sheetName val="Sources _ Uses"/>
      <sheetName val="Incom"/>
      <sheetName val="Opera"/>
      <sheetName val="Sourc"/>
      <sheetName val="REVENUE BPT "/>
      <sheetName val="REVENUE DKMK"/>
      <sheetName val="PL Konsolidasi Telkom"/>
      <sheetName val="BADDEBT &amp; DEPRESIASI"/>
      <sheetName val="BEBAN KARYAWAN"/>
      <sheetName val="OPERASI &amp; PEMELIHARAAN"/>
      <sheetName val="UMUM &amp; ADMINISTRASI"/>
      <sheetName val="BEBAN PEMASARAN"/>
      <sheetName val="Breakdown biaya"/>
      <sheetName val="komparasi 2007 VS 2008"/>
      <sheetName val="OPEX ADMIN"/>
      <sheetName val="TOTAL CE"/>
      <sheetName val="PRINTING COST - bpt"/>
      <sheetName val="DISTRIBUTION COST - bpt"/>
      <sheetName val="Printing Cost - DKMK"/>
      <sheetName val="Distribusi Cost - DKMK"/>
      <sheetName val="FA &amp; depresiasi"/>
      <sheetName val="DIP COGS SALES'08"/>
      <sheetName val="DIP COGS PUBLISHING'08"/>
      <sheetName val="Div. Penjualan"/>
      <sheetName val="SSM Barat"/>
      <sheetName val="Jkt Utara"/>
      <sheetName val="Jkt Barat"/>
      <sheetName val="Jkt Pussel"/>
      <sheetName val="Jkt Timur"/>
      <sheetName val="SSM Timur"/>
      <sheetName val="Sby Utara"/>
      <sheetName val="Sby Selatan"/>
      <sheetName val="Kalimantan"/>
      <sheetName val="Bali &amp; NT"/>
      <sheetName val="Supama"/>
      <sheetName val="Penagihan Jkt"/>
      <sheetName val="Penagihan Sby"/>
      <sheetName val="BEBAN KARYAWAN SUPPORT"/>
      <sheetName val="Dir Dty"/>
      <sheetName val="Div Perencanaan &amp; Pemasaran"/>
      <sheetName val="Pengembangan &amp; Perenc Prod"/>
      <sheetName val="Promosi &amp; CS"/>
      <sheetName val="Divisi Operasi"/>
      <sheetName val="Performansi Dty"/>
      <sheetName val="Produksi PIB Jkt"/>
      <sheetName val="Produksi PIB grafis Sby"/>
      <sheetName val="Produksi DKMK (rev 30 Oct'07)"/>
      <sheetName val="Y-1"/>
      <sheetName val="RKM"/>
      <sheetName val="RKM Dty"/>
      <sheetName val="RKM Multimedia"/>
      <sheetName val="RKM Konten"/>
      <sheetName val="FA pilar I (ziordplan-up)"/>
      <sheetName val="FA pilar II"/>
      <sheetName val="IO_CC (08)"/>
      <sheetName val="Perangkat"/>
      <sheetName val="Perangkat (2)"/>
      <sheetName val="Alokasi Biaya Awal=Audit"/>
      <sheetName val="Ekualisasi Biaya&gt;Combain"/>
      <sheetName val="Susust"/>
      <sheetName val="Ws Jul_2004"/>
      <sheetName val="B_1"/>
      <sheetName val="G-L FINAL"/>
      <sheetName val="G-L"/>
      <sheetName val="SPBU"/>
      <sheetName val="G-L (2)"/>
      <sheetName val="G-L (3)"/>
      <sheetName val="G-L (4)"/>
      <sheetName val="G-L (5)"/>
      <sheetName val="Catatan Sistem"/>
      <sheetName val="Mat Aktiva Tetap"/>
      <sheetName val="Mat Aktiva lain-lain"/>
      <sheetName val="AT-1"/>
      <sheetName val="AT-2 "/>
      <sheetName val="Ringkas Aktiva 2006_2007"/>
      <sheetName val="STOT AT &amp; A lainnya"/>
      <sheetName val="Detail Aktiva 2006_2007"/>
      <sheetName val="PROLOSS"/>
      <sheetName val="IT related"/>
      <sheetName val="Work Program"/>
      <sheetName val="N1 List of AP Trade"/>
      <sheetName val="N1.1 AP list"/>
      <sheetName val="N4 SUREL"/>
      <sheetName val="L-R RKAP 2009 GAB FL (2)"/>
      <sheetName val="L-R RKAP 2009 GAB FL"/>
      <sheetName val="L-R RKAP 2009"/>
      <sheetName val="GABEXP-2009 (2)"/>
      <sheetName val="EXP-2009 PGK"/>
      <sheetName val="EXP-2009 DJB"/>
      <sheetName val="EXP-2009 TNJ"/>
      <sheetName val="EXP-2009 BTJ"/>
      <sheetName val="EXP-2009 BDO"/>
      <sheetName val="EXP-2009 PDG"/>
      <sheetName val="EXP-2009 PKU"/>
      <sheetName val="EXP-2009 MES"/>
      <sheetName val="EXP-2009 PNK"/>
      <sheetName val="EXP-2009 SMB"/>
      <sheetName val="EXP 2009 HLP"/>
      <sheetName val="EXP-2009 BSH"/>
      <sheetName val="EXP-2009 KPST"/>
      <sheetName val="GABEXP-2009"/>
      <sheetName val="GABEXP-2009 ATS NON ATS"/>
      <sheetName val="GABEXP-2009 Antara"/>
      <sheetName val="Rat audit PLB realis"/>
      <sheetName val="KAS 12 bdr"/>
      <sheetName val="KAS PGK-08"/>
      <sheetName val="KAS DJB-08"/>
      <sheetName val="KASTNJ-08"/>
      <sheetName val="KASBTJ-08"/>
      <sheetName val="KASBDO-08"/>
      <sheetName val="KASPDG-08"/>
      <sheetName val="KASPKU-08"/>
      <sheetName val="KASMES-08"/>
      <sheetName val="KASPNK-08"/>
      <sheetName val="KASSMB-08"/>
      <sheetName val="KASHLP-08"/>
      <sheetName val="KASCGK-08"/>
      <sheetName val="KASKPST-08"/>
      <sheetName val="KASGAB-08 OK"/>
      <sheetName val="KASGAB-08 Inv"/>
      <sheetName val="L-R 12 BANDARA "/>
      <sheetName val="NERACA 0812 CABANG "/>
      <sheetName val="Rat 07 12 BANDARA"/>
      <sheetName val="REKAP BNDING"/>
      <sheetName val="REKAP (9000)"/>
      <sheetName val="REKAP (9200)"/>
      <sheetName val="NERC 11"/>
      <sheetName val="INV-PGK"/>
      <sheetName val="PROD- PGK 11"/>
      <sheetName val="EXP-PGK"/>
      <sheetName val="ALAT PROD PGK-11"/>
      <sheetName val="SDM PGK 12"/>
      <sheetName val="Surat (2)"/>
      <sheetName val="LAMP I-1"/>
      <sheetName val="LAMP I-2"/>
      <sheetName val="LAMP II"/>
      <sheetName val="Jml CF"/>
      <sheetName val="=&gt;ANGGARAN"/>
      <sheetName val="Kode Angg"/>
      <sheetName val="KODE ANGG KAS"/>
      <sheetName val="KONSEP LR"/>
      <sheetName val="lapkas"/>
      <sheetName val="lapekp"/>
      <sheetName val="BB kode ANGG"/>
      <sheetName val="lapnec"/>
      <sheetName val="MEMO KOREKSI"/>
      <sheetName val="jurgab ANGG"/>
      <sheetName val="kpi 1"/>
      <sheetName val="kpi 2"/>
      <sheetName val="bdtu"/>
      <sheetName val="dvtul"/>
      <sheetName val="dvtut"/>
      <sheetName val="dntubu"/>
      <sheetName val="dntupt"/>
      <sheetName val="dntutl"/>
      <sheetName val="Des I"/>
      <sheetName val="Buku Besar Tahunan"/>
      <sheetName val="RKA Prod"/>
      <sheetName val="RKA Eks"/>
      <sheetName val="Akuntansi"/>
      <sheetName val="Peng Biaya"/>
      <sheetName val="Eksploitasi"/>
      <sheetName val="Alat Produksi"/>
      <sheetName val="HARGA JALAN"/>
      <sheetName val="RAB &amp; Rekap Renov"/>
      <sheetName val="ANALISA Print"/>
      <sheetName val="Hitungan Ruang GM"/>
      <sheetName val="hitungan ADM"/>
      <sheetName val="Hitungan Kargo"/>
      <sheetName val="scedul"/>
      <sheetName val="Kuant dan Harga"/>
      <sheetName val="Anl Teknik"/>
      <sheetName val="Daftar Sima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Archchg"/>
      <sheetName val="MEPchg"/>
      <sheetName val="MESpec"/>
      <sheetName val="b1a"/>
      <sheetName val="b1b"/>
      <sheetName val="b1c"/>
      <sheetName val="bl1"/>
      <sheetName val="sp1"/>
      <sheetName val="pa1"/>
      <sheetName val="pw1"/>
      <sheetName val="sp2"/>
      <sheetName val="pa2"/>
      <sheetName val="pw2"/>
      <sheetName val="bp2"/>
      <sheetName val="b3a"/>
      <sheetName val="b3b"/>
      <sheetName val="b3c"/>
      <sheetName val="b3d"/>
      <sheetName val="b3e"/>
      <sheetName val="sp3"/>
      <sheetName val="cd3"/>
      <sheetName val="pa3"/>
      <sheetName val="pw3"/>
      <sheetName val="cf3"/>
      <sheetName val="b4a"/>
      <sheetName val="b4b"/>
      <sheetName val="b4c"/>
      <sheetName val="sp4"/>
      <sheetName val="pa4"/>
      <sheetName val="pw4"/>
      <sheetName val="cf4"/>
      <sheetName val="b5a"/>
      <sheetName val="b5b"/>
      <sheetName val="b5c"/>
      <sheetName val="b5d"/>
      <sheetName val="sp5"/>
      <sheetName val="pa5"/>
      <sheetName val="pw5"/>
      <sheetName val="cf5"/>
      <sheetName val="bt5"/>
      <sheetName val="fp5"/>
      <sheetName val="boh"/>
      <sheetName val="s3"/>
      <sheetName val="bf3"/>
      <sheetName val="s4"/>
      <sheetName val="bale"/>
      <sheetName val="towel"/>
      <sheetName val="pres-suite"/>
      <sheetName val="suite"/>
      <sheetName val="villa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flow k3"/>
      <sheetName val="daftar brg lgs"/>
      <sheetName val="Prosedur Penagnanan K3"/>
      <sheetName val="ITP Material"/>
      <sheetName val="ITP Pekerjaan"/>
      <sheetName val="Daft WI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Pek. Persiapan"/>
      <sheetName val="bhn rab"/>
      <sheetName val="subcon"/>
      <sheetName val="REKAP_STRUKTUR_ALL"/>
      <sheetName val="REKAP_STRUKTUR"/>
      <sheetName val="RAB_PENDAHULUAN"/>
      <sheetName val="RAB_REKTORAT (A.)"/>
      <sheetName val="RAB_MASJID (D)"/>
      <sheetName val="LR ONLY ATS"/>
      <sheetName val="EXP CORP COBA2"/>
      <sheetName val="EXP APS"/>
      <sheetName val="EXP PGK"/>
      <sheetName val="EXP DJB"/>
      <sheetName val="EXP RHF"/>
      <sheetName val="EXP SIM"/>
      <sheetName val="EXP BDO"/>
      <sheetName val="EXP PDG"/>
      <sheetName val="EXP PKU"/>
      <sheetName val="EXP MES"/>
      <sheetName val="EXP PNK"/>
      <sheetName val="EXP SMB"/>
      <sheetName val="EXP HLP"/>
      <sheetName val="EXP BSH"/>
      <sheetName val="EXP PST"/>
      <sheetName val="EXP CORP"/>
      <sheetName val="LR CORP"/>
      <sheetName val="EXP CORP + APS"/>
      <sheetName val="REKAPAN DGN IFRS INDUK"/>
      <sheetName val="REKAPAN DGN IFRS KONSOLIDASI"/>
      <sheetName val="LR CORP + APS"/>
      <sheetName val="LR PST"/>
      <sheetName val="LR BSH"/>
      <sheetName val="LR HLP"/>
      <sheetName val="LR SMB II"/>
      <sheetName val="LR PNK"/>
      <sheetName val="LR MES"/>
      <sheetName val="LR PKU"/>
      <sheetName val="LR PDG"/>
      <sheetName val="LR BDO"/>
      <sheetName val="LR SIM"/>
      <sheetName val="LR RHF"/>
      <sheetName val="LR DJB"/>
      <sheetName val="LR PGK"/>
      <sheetName val="LR APS"/>
      <sheetName val="LR CORP COB"/>
      <sheetName val="LR KONS COB"/>
      <sheetName val="LR TREND CORP"/>
      <sheetName val="SewAlat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labour sched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DRUP (ASLI)"/>
      <sheetName val="Analis"/>
      <sheetName val="H.bh"/>
      <sheetName val="OVH "/>
      <sheetName val="Pasir Koral"/>
      <sheetName val="OVH.Fab"/>
      <sheetName val="Anal. Pabrikasi"/>
      <sheetName val="Re 5"/>
      <sheetName val="Harga Mat "/>
      <sheetName val="IPA.5"/>
      <sheetName val="List.5"/>
      <sheetName val="Re 10"/>
      <sheetName val="List.10"/>
      <sheetName val="Re 20 "/>
      <sheetName val="Re Rev 20 "/>
      <sheetName val="20 Rev ssi gbr"/>
      <sheetName val="IPA.20"/>
      <sheetName val="List.20"/>
      <sheetName val="Re 30"/>
      <sheetName val="List.30"/>
      <sheetName val="Re 40"/>
      <sheetName val="Re 50"/>
      <sheetName val="Mobile Puslitbang"/>
      <sheetName val="Las"/>
      <sheetName val="Anal.Fbrks"/>
      <sheetName val="HSD Fbrk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h-013211-2"/>
      <sheetName val="작성기준"/>
      <sheetName val="RAB KONS"/>
      <sheetName val="HRG UP.BHN"/>
      <sheetName val="DIV. 3"/>
      <sheetName val="DIV.10"/>
      <sheetName val="Daftar stn qty "/>
      <sheetName val="REKAP BAHAN REALISASI"/>
      <sheetName val="REKAP BAHAN BOW"/>
      <sheetName val="Bahan upah"/>
      <sheetName val="analisaRAB"/>
      <sheetName val="PRELI_CAP"/>
      <sheetName val="BoQA"/>
      <sheetName val="APPEND4"/>
      <sheetName val="APPEND4a"/>
      <sheetName val="sublist"/>
      <sheetName val="onsite"/>
      <sheetName val="APPENDIX7"/>
      <sheetName val="bekisting"/>
      <sheetName val="Tenaga"/>
      <sheetName val="GNL"/>
      <sheetName val="An price"/>
      <sheetName val="Scp"/>
      <sheetName val="ubas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DIV 10"/>
      <sheetName val="Aggregate"/>
      <sheetName val=" Alat Inves &amp; Susut"/>
      <sheetName val="General schdl"/>
      <sheetName val="ANRAB1"/>
      <sheetName val="Analisa Crusher"/>
      <sheetName val="sub-kon"/>
      <sheetName val="U-P-A"/>
      <sheetName val="ANALYSIS_U.P"/>
      <sheetName val="An_Gen"/>
      <sheetName val="BASE CAMP"/>
      <sheetName val="An_Sb"/>
      <sheetName val="An_Ag"/>
      <sheetName val="An_Pc"/>
      <sheetName val="An_Cp"/>
      <sheetName val="An_Eq"/>
      <sheetName val="An_Eqn"/>
      <sheetName val="Cecklist"/>
      <sheetName val="BQ-RAB"/>
      <sheetName val="basa"/>
      <sheetName val="an stndr1"/>
      <sheetName val="an stndr2"/>
      <sheetName val="analisa manual"/>
      <sheetName val="C-flow"/>
      <sheetName val="Sec I ML"/>
      <sheetName val="LOKASI RIG Litbang"/>
      <sheetName val="Harga Jadi"/>
      <sheetName val="Analisa Pekerjaan"/>
      <sheetName val="Daywork "/>
      <sheetName val="Bahan Alat"/>
      <sheetName val="Sub Kontraktor"/>
      <sheetName val="CHECK (2)"/>
      <sheetName val="Boq(p'arsad)"/>
      <sheetName val="panduan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Daf-12"/>
      <sheetName val="Cover 13"/>
      <sheetName val="Daf-13"/>
      <sheetName val="Cover 14"/>
      <sheetName val="Daf-14"/>
      <sheetName val="Cover 15"/>
      <sheetName val="DAF-15"/>
      <sheetName val="analisac"/>
      <sheetName val="An-List"/>
      <sheetName val="An-Pipa"/>
      <sheetName val="aspal"/>
      <sheetName val="RGaji"/>
      <sheetName val="Unit Price M"/>
      <sheetName val="Performance"/>
      <sheetName val="T.18"/>
      <sheetName val="action"/>
      <sheetName val="On Time"/>
      <sheetName val="Curup"/>
      <sheetName val="Prabu"/>
      <sheetName val="Telkomsel"/>
      <sheetName val="PESANTREN"/>
      <sheetName val="bq-kon"/>
      <sheetName val="Trans Mat"/>
      <sheetName val="Label"/>
      <sheetName val="Ap.4a"/>
      <sheetName val="Ap.4b"/>
      <sheetName val="Ap.5"/>
      <sheetName val="App.6"/>
      <sheetName val="Ap.7"/>
      <sheetName val="Sch.tba"/>
      <sheetName val="Div-1"/>
      <sheetName val="Div-2"/>
      <sheetName val="Div-3"/>
      <sheetName val="Div-4"/>
      <sheetName val="Div-5"/>
      <sheetName val="Div-6a"/>
      <sheetName val="Div-7a"/>
      <sheetName val="An-quarry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UNIT PRICE ANALISYS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Upah RAB"/>
      <sheetName val="BQ-ME"/>
      <sheetName val="TD"/>
      <sheetName val="TDG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Sat Alat"/>
      <sheetName val="bq bsm_1"/>
      <sheetName val="bq bsm_2"/>
      <sheetName val="bq bsm_3"/>
      <sheetName val="Harga Material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An.Ars"/>
      <sheetName val="Material List"/>
      <sheetName val="An Pipa"/>
      <sheetName val="An Duct"/>
      <sheetName val="Bill.1.VAC-Supply-A"/>
      <sheetName val="Bill.2.VAC-Install-A"/>
      <sheetName val="Bill.3.VAC-Supply-B"/>
      <sheetName val="Bill.4.VAC-Install-B 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Rekap Upah"/>
      <sheetName val="Statement Pengadaan Bahan"/>
      <sheetName val="Proses Pengaadaan Subkon"/>
      <sheetName val="Biaya Pegawai"/>
      <sheetName val="Sqce.Sahid"/>
      <sheetName val="Str org.sahid"/>
      <sheetName val="equip.Sahid.1"/>
      <sheetName val="equip.Sahid.2"/>
      <sheetName val="SPP.Sahid"/>
      <sheetName val="Unit Price Project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Plumb"/>
      <sheetName val="Fire"/>
      <sheetName val="par"/>
      <sheetName val="Plumb (2)"/>
      <sheetName val="CH"/>
      <sheetName val="Ana. PU"/>
      <sheetName val="ANA Mob"/>
      <sheetName val="ANA Rutin"/>
      <sheetName val="Confirm"/>
      <sheetName val="DPU"/>
      <sheetName val="HSD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COVER VERSI-2"/>
      <sheetName val="COVER VERSI-1"/>
      <sheetName val="JUMLAH BIAYA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Expantion Joint"/>
      <sheetName val="MU1"/>
      <sheetName val="BQ gab"/>
      <sheetName val="MEP"/>
      <sheetName val="(Alat)"/>
      <sheetName val="COVER BAB"/>
      <sheetName val="VOLUME (TDK DIPAKAI)"/>
      <sheetName val="DIV10"/>
      <sheetName val="QUARY (TDK DIPAKAI)"/>
      <sheetName val="ALAT1"/>
      <sheetName val="ALAT2 (TDK DIPAKAI)"/>
      <sheetName val="AGGREGAT"/>
      <sheetName val="Klas B0"/>
      <sheetName val="R.Tunai"/>
      <sheetName val="REKAP JULI R2"/>
      <sheetName val="JULI R2"/>
      <sheetName val="REKAP JULI R0"/>
      <sheetName val="29 JULI 2008"/>
      <sheetName val="PENGELUARAN"/>
      <sheetName val="29JULI 2008"/>
      <sheetName val="S-CURVE 1"/>
      <sheetName val="B.Umum"/>
      <sheetName val="B.Bahan"/>
      <sheetName val="B.Alat"/>
      <sheetName val="OE"/>
      <sheetName val="Org"/>
      <sheetName val="CFlow"/>
      <sheetName val="Sched Bahan"/>
      <sheetName val="bahan alat rap"/>
      <sheetName val="anal rap dasar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Break Down Baru"/>
      <sheetName val="Rekap OK (2)"/>
      <sheetName val="Rekap OK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analisa harga "/>
      <sheetName val="KURVA&quot;S&quot;"/>
      <sheetName val="Met-PU-3.2 (2)"/>
      <sheetName val="Met-PU-5.1 (1)"/>
      <sheetName val="Met-PU-5.1 (2)"/>
      <sheetName val="Met-PU-7.10 (3)"/>
      <sheetName val="LP-3"/>
      <sheetName val="Daftar Upah"/>
      <sheetName val="Rekap Analisa"/>
      <sheetName val="analisa nuansa"/>
      <sheetName val="Tbh-Krg"/>
      <sheetName val="Rek_Total "/>
      <sheetName val="Penunjang"/>
      <sheetName val="rate asli"/>
      <sheetName val="material-upah"/>
      <sheetName val="Rek_Total-alt"/>
      <sheetName val="Str-alt"/>
      <sheetName val="BQ - Mushola"/>
      <sheetName val="Bahan _2_"/>
      <sheetName val="index _2_"/>
      <sheetName val="RAB GENDUT"/>
      <sheetName val="Harga UPAH"/>
      <sheetName val="Harga Material "/>
      <sheetName val="ADD Harga"/>
      <sheetName val="bi-pp"/>
      <sheetName val="Fin-Report (2)"/>
      <sheetName val="faktur"/>
      <sheetName val="Fin-Report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Rek RAB"/>
      <sheetName val="STRUtm"/>
      <sheetName val="STRPjg"/>
      <sheetName val="ARSUtM "/>
      <sheetName val="Tbh-01"/>
      <sheetName val="Tbh-2"/>
      <sheetName val="Marktng"/>
      <sheetName val="Ev-MU"/>
      <sheetName val="struktur(BQ)"/>
      <sheetName val="Arsitektur ( BQ )"/>
      <sheetName val="RekapBTL"/>
      <sheetName val="Rupa"/>
      <sheetName val="DaftSub"/>
      <sheetName val="Daftmat"/>
      <sheetName val="dash"/>
      <sheetName val="BILL OF QU-ARS"/>
      <sheetName val="BILL OF QU-STR"/>
      <sheetName val="RAP-STR"/>
      <sheetName val="RAP-ARS"/>
      <sheetName val="krifikasi gambar &amp; bq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LT&amp;Plafond"/>
      <sheetName val="ANKusen"/>
      <sheetName val="Sch-Kusen"/>
      <sheetName val="QTY-Kusen"/>
      <sheetName val="Pilecaps"/>
      <sheetName val="ANPrelim"/>
      <sheetName val="Lain-2"/>
      <sheetName val="BOQ KJ-D &amp; KJ-E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Home"/>
      <sheetName val="Analisa -Baku"/>
      <sheetName val="An-tampil"/>
      <sheetName val="An-Grnd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Man Power-Rev-lam"/>
      <sheetName val="BU-rev-lam"/>
      <sheetName val="kon-final"/>
      <sheetName val="prs"/>
      <sheetName val="ars-vol"/>
      <sheetName val="FH-UNPADSTR2"/>
      <sheetName val="FH-UNPADSTR"/>
      <sheetName val="anl-rc"/>
      <sheetName val="An. Beton"/>
      <sheetName val="FH-konven"/>
      <sheetName val="anl-prelim"/>
      <sheetName val="Cover.1"/>
      <sheetName val="Cover-2"/>
      <sheetName val="Cover-3"/>
      <sheetName val="Cover-4"/>
      <sheetName val="Cover5"/>
      <sheetName val="Cover-6"/>
      <sheetName val="RC-ANL"/>
      <sheetName val="PROPOSAL"/>
      <sheetName val="SUB K"/>
      <sheetName val="STUGAS"/>
      <sheetName val="PROCESSPLAN"/>
      <sheetName val="TELUSUR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RKP (2)"/>
      <sheetName val="Cover 12.1"/>
      <sheetName val="Cover 12.2"/>
      <sheetName val="Cover 12.3"/>
      <sheetName val="Cover 12.4"/>
      <sheetName val="Cover 13.1 "/>
      <sheetName val="Cover 13.2 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M.E."/>
      <sheetName val="analisa el"/>
      <sheetName val="analisa mek"/>
      <sheetName val="MASTER SCADULLE "/>
      <sheetName val="NSC( KOORDINASI)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Condotel"/>
      <sheetName val="F0"/>
      <sheetName val="SC"/>
      <sheetName val="Upah_Bahan"/>
      <sheetName val="UMM2"/>
      <sheetName val="BASC"/>
      <sheetName val="HSPK DINAS"/>
      <sheetName val="HRG ALT PU"/>
      <sheetName val="ANLS PU 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lis Kusen Kosongan"/>
      <sheetName val="Form Back up STR K.UTM"/>
      <sheetName val="Form Back up ARS K.UTM"/>
      <sheetName val="BU_PLB_KANTOR &amp;R. TUNGGU"/>
      <sheetName val="BU_STR_R.TGG KBRNGKTN _ANGDES"/>
      <sheetName val="Harsat Bahan"/>
      <sheetName val="Harsat Upah"/>
      <sheetName val="Mark-up"/>
      <sheetName val="Bill of Qty MEP"/>
      <sheetName val="Analisa Upah &amp; Bahan Plum"/>
      <sheetName val="Daf Harga"/>
      <sheetName val="An_ Harga"/>
      <sheetName val="DPK-ANT"/>
      <sheetName val="PULAU"/>
      <sheetName val="ANSTRUK-1"/>
      <sheetName val="ANSTRUK-2"/>
      <sheetName val="platpracetak"/>
      <sheetName val="sal"/>
      <sheetName val="HS-2"/>
      <sheetName val="UM32"/>
      <sheetName val="Real(1)"/>
      <sheetName val="RKAP 2012 Per Sep R0"/>
      <sheetName val="RKAP 220"/>
      <sheetName val="Prog Per Maret"/>
      <sheetName val="Prog Per Juni"/>
      <sheetName val="Proy Per Sep"/>
      <sheetName val="RKAP 2013"/>
      <sheetName val="Proy Optimis"/>
      <sheetName val="Real(3)"/>
      <sheetName val="Real(4)"/>
      <sheetName val="Rek Renc Sisa"/>
      <sheetName val="Kont&gt;50"/>
      <sheetName val="Prog Per Sep"/>
      <sheetName val="Prog&gt;&lt;Prog"/>
      <sheetName val="LRSep"/>
      <sheetName val="LR2013"/>
      <sheetName val="Growth"/>
      <sheetName val="Renc Bul 2012"/>
      <sheetName val="Renc sd Bul 2012"/>
      <sheetName val="Rek CF Dir 1 Rev"/>
      <sheetName val="Rek CF Dir 2 Rev"/>
      <sheetName val="Rek CF Dir 3 Rev"/>
      <sheetName val="DK1"/>
      <sheetName val="DK2"/>
      <sheetName val="DK3"/>
      <sheetName val="DK4"/>
      <sheetName val="DK5"/>
      <sheetName val="DK6"/>
      <sheetName val="EPC"/>
      <sheetName val="INTL"/>
      <sheetName val="Rek CF Dir 1 Asli"/>
      <sheetName val="Rek CF Dir 2 Asli"/>
      <sheetName val="Rek CF Dir 3 Asli"/>
      <sheetName val="CF Dir 1"/>
      <sheetName val="CF Dir 2"/>
      <sheetName val="CF Dir 3"/>
      <sheetName val="Data Prod"/>
      <sheetName val="Pers umum"/>
      <sheetName val="JP+JU"/>
      <sheetName val="BBU"/>
      <sheetName val="AT Short by Purchase"/>
      <sheetName val="AT Per Short by Location"/>
      <sheetName val="Lamp Biaya HGU"/>
      <sheetName val="Lamp Aktiva Lain-lain"/>
      <sheetName val="Hutang Kontraktor"/>
      <sheetName val="Kewajiban dan Ekuitas"/>
      <sheetName val="Cat Neraca"/>
      <sheetName val="Cat Laba Rugi"/>
      <sheetName val="Hpp TBS Kebun inti"/>
      <sheetName val="BBU+JP"/>
      <sheetName val="spm jan"/>
      <sheetName val="apr05"/>
      <sheetName val="mei05 ok"/>
      <sheetName val="juni05 ok"/>
      <sheetName val="jul05 ok"/>
      <sheetName val="aug05 ok"/>
      <sheetName val="sept 05 dd"/>
      <sheetName val="okt s"/>
      <sheetName val="nop s"/>
      <sheetName val="summ (2)"/>
      <sheetName val="dec f"/>
      <sheetName val="dec rev2"/>
      <sheetName val="not yet 04"/>
      <sheetName val="not yet"/>
      <sheetName val="nonpcs"/>
      <sheetName val="G.1.1 Adv. Sup&amp;Con"/>
      <sheetName val="G.1.2 Adv. Travel"/>
      <sheetName val="G.1.3 Adv. Other"/>
      <sheetName val="G.2.1 Prepaid Insurance"/>
      <sheetName val="G.2.1.1 Prep. Ins.-Factory B&amp;P"/>
      <sheetName val="G.2.1.2 Prep. Ins.-Vehicle B&amp;P"/>
      <sheetName val="G.2.1.3 Prep. Ins. Premix"/>
      <sheetName val="G.2.2 Prepaid Rent"/>
      <sheetName val="G.2.2.1 SUP"/>
      <sheetName val="G.2.2.2 EBS"/>
      <sheetName val="G.2.2.3 DWS"/>
      <sheetName val="G.2.3 Prep Sal.&amp;Emp.Benefit"/>
      <sheetName val="G.2.3.1.1 Prep. THR B&amp;P"/>
      <sheetName val="G.2.3.1.2 Prep. UPT B&amp;P"/>
      <sheetName val="G.2.3.2.1 Prep.THR Premix"/>
      <sheetName val="G.2.3.2.2 Prep. UPT Premix"/>
      <sheetName val="G.2.4.1 Prep. Others B&amp;P"/>
      <sheetName val="G.2.4.1.1 Prep. SAP B&amp;P"/>
      <sheetName val="G.2.4.2.1 Prep.SAP Premix"/>
      <sheetName val="G.2.4.2.2 Prep. Overhaul Premix"/>
      <sheetName val="G.3.1 Rekap PPN B&amp;P"/>
      <sheetName val="G.3.1.1 Rekon PPN B&amp;P"/>
      <sheetName val="G.3.1.2 Rekon Sales B&amp;P"/>
      <sheetName val="G.3.2 Rekap PPN Premix"/>
      <sheetName val="G.3.2.1 Rekon PPN In Premix"/>
      <sheetName val="G.3.2.2 Rekon PPN Out Premix"/>
      <sheetName val="G.3.3 Rekap PPh 22"/>
      <sheetName val="Profit_loss"/>
      <sheetName val="Balance_sheet"/>
      <sheetName val="statistic excl.dsu"/>
      <sheetName val="Statistics"/>
      <sheetName val="Trade Analysis"/>
      <sheetName val="Perf Rep"/>
      <sheetName val="exchange_rate"/>
      <sheetName val="wc excl.dsu"/>
      <sheetName val="working capital"/>
      <sheetName val="SUM_IN"/>
      <sheetName val="I-Lead"/>
      <sheetName val="I Memo"/>
      <sheetName val="I.5"/>
      <sheetName val="I.5.1"/>
      <sheetName val="I.6"/>
      <sheetName val="I.6.1"/>
      <sheetName val="I.7 ICA Conf"/>
      <sheetName val="I.7.1 ICAC (in)"/>
      <sheetName val="I.7.2 ICAS (in)"/>
      <sheetName val="I.7.3 ICAB (in)"/>
      <sheetName val="I.7.4 ICAX (in)"/>
      <sheetName val="I.7.5 ICRJ (in)"/>
      <sheetName val="I.7.6 Total (in)"/>
      <sheetName val="I.8"/>
      <sheetName val="I.9"/>
      <sheetName val="I.9.1"/>
      <sheetName val="Setup Data"/>
      <sheetName val="CALCULATION SHEET"/>
      <sheetName val="PROV RETIREMENT"/>
      <sheetName val="DRILTECH SALARY HISTORY"/>
      <sheetName val="New COA Grouping"/>
      <sheetName val="Budget 2006 V01.4"/>
      <sheetName val="DETAIL Off Serv-6040254"/>
      <sheetName val="DETAIL ATM-6040108"/>
      <sheetName val="DETAIL ATM-6040134"/>
      <sheetName val="DETAIL HW-6040131"/>
      <sheetName val="DETAIL SW-6040131"/>
      <sheetName val="Danamon est."/>
      <sheetName val="Adira est."/>
      <sheetName val="section1"/>
      <sheetName val="Div Discount Model"/>
      <sheetName val="section2"/>
      <sheetName val="Pres"/>
      <sheetName val="Non-Int exp"/>
      <sheetName val="Other P&amp;L"/>
      <sheetName val="section3"/>
      <sheetName val="Deposits"/>
      <sheetName val="Residual Allocation Assumptions"/>
      <sheetName val="Reserve Requirements"/>
      <sheetName val="Other BS"/>
      <sheetName val="Section4"/>
      <sheetName val="ADIRA Forecasts"/>
      <sheetName val="Key Ratios"/>
      <sheetName val="Danamon Quarterly Detail"/>
      <sheetName val="Danamon Quarterly Summary"/>
      <sheetName val="ADIRA Quarterly"/>
      <sheetName val="House Rental"/>
      <sheetName val="Software &amp; Hardware Maintenance"/>
      <sheetName val="Professional Service"/>
      <sheetName val="ATM Location Rental"/>
      <sheetName val="Communication"/>
      <sheetName val="Office &amp; Building Rental"/>
      <sheetName val="_ContractInput"/>
      <sheetName val="_CCName"/>
      <sheetName val="ANnexControl"/>
      <sheetName val="H-1-A"/>
      <sheetName val="H-1-B"/>
      <sheetName val="H-5"/>
      <sheetName val="H-6"/>
      <sheetName val="H-7"/>
      <sheetName val="H-8"/>
      <sheetName val="H-9"/>
      <sheetName val="H-10"/>
      <sheetName val="H-11"/>
      <sheetName val="H-12"/>
      <sheetName val="H-13"/>
      <sheetName val="H-14"/>
      <sheetName val="H-15"/>
      <sheetName val="H-16"/>
      <sheetName val="H-17"/>
      <sheetName val="H-18"/>
      <sheetName val="H-19"/>
      <sheetName val="H-20"/>
      <sheetName val="H-21"/>
      <sheetName val="H-22"/>
      <sheetName val="H-23"/>
      <sheetName val="H-24"/>
      <sheetName val="H-25"/>
      <sheetName val="H-26"/>
      <sheetName val="H-27"/>
      <sheetName val="New"/>
      <sheetName val="New (2)"/>
      <sheetName val="New2"/>
      <sheetName val="Index-A"/>
      <sheetName val="A-13"/>
      <sheetName val="A-14"/>
      <sheetName val="A-15"/>
      <sheetName val="A-16"/>
      <sheetName val="A-17-I"/>
      <sheetName val="A-17-II"/>
      <sheetName val="A-18"/>
      <sheetName val="A-19"/>
      <sheetName val="A-20"/>
      <sheetName val="A-21"/>
      <sheetName val="A-23"/>
      <sheetName val="A-24"/>
      <sheetName val="A-25"/>
      <sheetName val="A-26"/>
      <sheetName val="A-27"/>
      <sheetName val="A-28"/>
      <sheetName val="A-29"/>
      <sheetName val="A-30 "/>
      <sheetName val="A-31"/>
      <sheetName val="A-32"/>
      <sheetName val="A-33"/>
      <sheetName val="A-34"/>
      <sheetName val="A-35"/>
      <sheetName val="A-36"/>
      <sheetName val="A-37"/>
      <sheetName val="A-38"/>
      <sheetName val="A-39"/>
      <sheetName val="A-40"/>
      <sheetName val="A-41"/>
      <sheetName val="A-42"/>
      <sheetName val="A-43"/>
      <sheetName val="A-44"/>
      <sheetName val="A-45"/>
      <sheetName val="A-46"/>
      <sheetName val="A-47"/>
      <sheetName val="A-48-Deleted"/>
      <sheetName val="A-49"/>
      <sheetName val="A-50"/>
      <sheetName val="A-51"/>
      <sheetName val="Appendix 1"/>
      <sheetName val="Appendix 2"/>
      <sheetName val="Appendix 3"/>
      <sheetName val="Index-B"/>
      <sheetName val="Index-C"/>
      <sheetName val="C-6"/>
      <sheetName val="C-7"/>
      <sheetName val="Index-D-J"/>
      <sheetName val="G-7"/>
      <sheetName val="G-8"/>
      <sheetName val="G-9"/>
      <sheetName val="G-10"/>
      <sheetName val="G-11"/>
      <sheetName val="G-12"/>
      <sheetName val="G-13"/>
      <sheetName val="G-14"/>
      <sheetName val="G-15"/>
      <sheetName val="G-16"/>
      <sheetName val="G-17"/>
      <sheetName val="G-18"/>
      <sheetName val="G-19"/>
      <sheetName val="G-20"/>
      <sheetName val="H-8 "/>
      <sheetName val="H-16 "/>
      <sheetName val=" I-2"/>
      <sheetName val="I-3"/>
      <sheetName val="I-4"/>
      <sheetName val="I-5"/>
      <sheetName val="I-6"/>
      <sheetName val="I-7"/>
      <sheetName val="J-4 "/>
      <sheetName val="J-9"/>
      <sheetName val="J-10"/>
      <sheetName val="J-11"/>
      <sheetName val=" J-12"/>
      <sheetName val="L-14"/>
      <sheetName val="L-15"/>
      <sheetName val="L-16"/>
      <sheetName val="L-17"/>
      <sheetName val="L-18"/>
      <sheetName val="M-5"/>
      <sheetName val=" M-7"/>
      <sheetName val="M-16"/>
      <sheetName val="M-17"/>
      <sheetName val="M-18"/>
      <sheetName val="M-19"/>
      <sheetName val="M-20"/>
      <sheetName val="M-21"/>
      <sheetName val="N-5"/>
      <sheetName val="N-7 - I"/>
      <sheetName val="N-7 - II"/>
      <sheetName val="N-8"/>
      <sheetName val="N-9"/>
      <sheetName val="O-7"/>
      <sheetName val="O-8"/>
      <sheetName val="O-9"/>
      <sheetName val="Old Code"/>
      <sheetName val="M-22"/>
      <sheetName val="M-23"/>
      <sheetName val="M-24"/>
      <sheetName val="M-25"/>
      <sheetName val="M-26"/>
      <sheetName val="P-4"/>
      <sheetName val="M-6-Deleted"/>
      <sheetName val="PAGE-3 A"/>
      <sheetName val="Q-4"/>
      <sheetName val="D-5"/>
      <sheetName val="D-6"/>
      <sheetName val="E-5 Del"/>
      <sheetName val="Deposits---&gt;"/>
      <sheetName val="D-7"/>
      <sheetName val="D-8"/>
      <sheetName val="D-9"/>
      <sheetName val="D-10"/>
      <sheetName val="D-11"/>
      <sheetName val="D-12"/>
      <sheetName val="D-13"/>
      <sheetName val="Zakat---&gt;"/>
      <sheetName val="cash---&gt;"/>
      <sheetName val="Efficiency---&gt;"/>
      <sheetName val="E-9"/>
      <sheetName val="E-10"/>
      <sheetName val="E-11"/>
      <sheetName val="E-11(2)"/>
      <sheetName val="E-12"/>
      <sheetName val="witholding tax---&gt;"/>
      <sheetName val="IBR---&gt;"/>
      <sheetName val="Commission---&gt;"/>
      <sheetName val="B-11"/>
      <sheetName val="Queries"/>
      <sheetName val="sl balance"/>
      <sheetName val="OVS. RW. TB. DEC-07"/>
      <sheetName val="sl check FC"/>
      <sheetName val="gl check FC "/>
      <sheetName val="gl check PKR"/>
      <sheetName val="sl check PKR"/>
      <sheetName val="Month End"/>
      <sheetName val="Currency Rates"/>
      <sheetName val="FORM 1A"/>
      <sheetName val="FORM 1 7"/>
      <sheetName val="FORM 2"/>
      <sheetName val="FORM 3"/>
      <sheetName val="Govt. Advances"/>
      <sheetName val="DIFFERENCES SUMMARY"/>
      <sheetName val="FORM 4"/>
      <sheetName val="Advances-Cash Margin"/>
      <sheetName val="Advances-Deposits under lien"/>
      <sheetName val="Advances-Govt-Securities"/>
      <sheetName val="Advances-Res-Comm-Propertie KP"/>
      <sheetName val="FORM 5"/>
      <sheetName val="FORM 7"/>
      <sheetName val="FORM 8"/>
      <sheetName val="FORM 9"/>
      <sheetName val="FORM 10"/>
      <sheetName val="FORM 11"/>
      <sheetName val="FORM 12"/>
      <sheetName val="regionwise gov.parties -deposit"/>
      <sheetName val="depost govt. parites"/>
      <sheetName val="FORM 13"/>
      <sheetName val="FORM 14 TOTAL "/>
      <sheetName val="FORM 14A USD"/>
      <sheetName val="FORM 14B EURO"/>
      <sheetName val="FORM 14C GBP"/>
      <sheetName val="FORM 14D YEN"/>
      <sheetName val="FORM 14E ALL OTHER"/>
      <sheetName val="FORM 16 "/>
      <sheetName val="FORM 15 06-07"/>
      <sheetName val="FORM 18"/>
      <sheetName val="Advances"/>
      <sheetName val="Investments &amp; others "/>
      <sheetName val="FORM 1 9"/>
      <sheetName val="FORM 20"/>
      <sheetName val="FORM 21"/>
      <sheetName val="FORM 22"/>
      <sheetName val="FORM 23"/>
      <sheetName val="FORM 24"/>
      <sheetName val="FORM 25"/>
      <sheetName val="Form 26"/>
      <sheetName val="From 27"/>
      <sheetName val="FORM 18 (revised)"/>
      <sheetName val="Output 1 (299 AE)"/>
      <sheetName val="Output 1 (299 BH)"/>
      <sheetName val="Output 1 (299 YN)"/>
      <sheetName val="Output 1 (299 QT)"/>
      <sheetName val="Output 1 (299 NY)"/>
      <sheetName val="Output 1 (299 EZ)"/>
      <sheetName val="Output 1 (299 AO)"/>
      <sheetName val="A-53"/>
      <sheetName val="A-88"/>
      <sheetName val="N7"/>
      <sheetName val="Def. Tax "/>
      <sheetName val="Inc-JUNE 06"/>
      <sheetName val="Exp June 06"/>
      <sheetName val="p&amp;l-FINAL"/>
      <sheetName val="ASSETS JUNE 06"/>
      <sheetName val="Assets 2005"/>
      <sheetName val="ADJUST"/>
      <sheetName val="Liabiliteis 2005"/>
      <sheetName val="laibi-June 06"/>
      <sheetName val="YOUSUF ADIL ADJUST"/>
      <sheetName val="Defeered Working (2)"/>
      <sheetName val="Tax "/>
      <sheetName val="Cash flow working"/>
      <sheetName val="Equity fin"/>
      <sheetName val="Note 1-4"/>
      <sheetName val="Note5-7"/>
      <sheetName val="Note8-8.1"/>
      <sheetName val="Note 8.2"/>
      <sheetName val="Notes 9-9.3.1"/>
      <sheetName val="9.4-11.1"/>
      <sheetName val="Note12.3-14.1"/>
      <sheetName val="Note15-17"/>
      <sheetName val="Note 18-18.7"/>
      <sheetName val="Notes19-22"/>
      <sheetName val="Notes23-26"/>
      <sheetName val="note 27"/>
      <sheetName val="Cashflow working final"/>
      <sheetName val="Note 9.6-9.9 (2)"/>
      <sheetName val="Note 9.7-9.10"/>
      <sheetName val="Note 12 "/>
      <sheetName val="Notes33-34"/>
      <sheetName val="Notes35-36"/>
      <sheetName val="Notes37"/>
      <sheetName val="Notes38-42.1 (3)"/>
      <sheetName val="note 39"/>
      <sheetName val="currency expo - June 2006"/>
      <sheetName val="Fin Summary"/>
      <sheetName val="Currency-expo (2)"/>
      <sheetName val="Currency-expo"/>
      <sheetName val="Balance Sheet (2)"/>
      <sheetName val="Profit&amp;Loss-Rev"/>
      <sheetName val="form 11 revised"/>
      <sheetName val="TOTAL NPLs"/>
      <sheetName val="NPL, II"/>
      <sheetName val="Part-A"/>
      <sheetName val="Part-B"/>
      <sheetName val="Part-C"/>
      <sheetName val="Part-D"/>
      <sheetName val="Part - D1(a)"/>
      <sheetName val="Part - D 1 (B)"/>
      <sheetName val="Part D - 2"/>
      <sheetName val="Part D-3 (2)"/>
      <sheetName val="part D-4"/>
      <sheetName val="working"/>
      <sheetName val="Annex A"/>
      <sheetName val="Annex B"/>
      <sheetName val="annex b1"/>
      <sheetName val="Annex c"/>
      <sheetName val="Annex d"/>
      <sheetName val="Part - D1(B) tbu"/>
      <sheetName val="CASH LC"/>
      <sheetName val="INLAND LC"/>
      <sheetName val="CREDIT DA"/>
      <sheetName val="AIDS LOANS"/>
      <sheetName val="Annex-1"/>
      <sheetName val="annex a1"/>
      <sheetName val="CON - FINCON"/>
      <sheetName val="Int Yield- Dom- FIN"/>
      <sheetName val="Int Yield -OS"/>
      <sheetName val="DOM IY - TRY"/>
      <sheetName val="Deposits - TRY"/>
      <sheetName val="OFF Bal -TRY"/>
      <sheetName val="Maturity Investments"/>
      <sheetName val="Maturity of sub debt -FINCON"/>
      <sheetName val="Other Assets- Fin con  "/>
      <sheetName val="Other Liabilities -FINCON"/>
      <sheetName val="Rate Input"/>
      <sheetName val="FRA001"/>
      <sheetName val="customer sheet"/>
      <sheetName val="A-17"/>
      <sheetName val="A-29 "/>
      <sheetName val="A-30"/>
      <sheetName val="A-48"/>
      <sheetName val="B-16a"/>
      <sheetName val="balances"/>
      <sheetName val="A-28 "/>
      <sheetName val="A-52"/>
      <sheetName val="A-54"/>
      <sheetName val="A-55"/>
      <sheetName val="A-56"/>
      <sheetName val="A-57"/>
      <sheetName val="A-58"/>
      <sheetName val="A-59"/>
      <sheetName val="A-60"/>
      <sheetName val="A-61"/>
      <sheetName val="A-62"/>
      <sheetName val="A-63"/>
      <sheetName val="A-64"/>
      <sheetName val="Cont with SBP"/>
      <sheetName val="EXP-FBPS"/>
      <sheetName val="I-B"/>
      <sheetName val="I-BR"/>
      <sheetName val="15 Feb 2007"/>
      <sheetName val="Outstanding items"/>
      <sheetName val="SUD "/>
      <sheetName val="ICR"/>
      <sheetName val="a. Cash on hand and in banks"/>
      <sheetName val="b. Accounts receivable"/>
      <sheetName val="c. Other Receivable"/>
      <sheetName val="d. Inventories"/>
      <sheetName val="e. Advance,Prep taxes &amp;Prep Exp"/>
      <sheetName val="A.R Related Parties"/>
      <sheetName val="f. Plasma receivables"/>
      <sheetName val="g. Plantation Assets"/>
      <sheetName val="h. Fixed Assets"/>
      <sheetName val="i. Investment"/>
      <sheetName val="j. Def charges for landrigh"/>
      <sheetName val="k. Other assets"/>
      <sheetName val="Deferred tax asset"/>
      <sheetName val="l. AP trade"/>
      <sheetName val="m. Sales Advance"/>
      <sheetName val="m. Taxes payable"/>
      <sheetName val="n. Accrued expense"/>
      <sheetName val="o. Bank Loan"/>
      <sheetName val="p. Deferred tax liabilities"/>
      <sheetName val="q. Pension Fund"/>
      <sheetName val="r. Sales"/>
      <sheetName val="s. COGS"/>
      <sheetName val="t. Opex"/>
      <sheetName val="u. Other Exp ( income)"/>
      <sheetName val="v. Interest Income"/>
      <sheetName val="w.  Interest &amp; Finance charges"/>
      <sheetName val="i. Def charges for landrigh"/>
      <sheetName val="k. AP trade"/>
      <sheetName val="l. Sales Advance"/>
      <sheetName val="c. Inventories"/>
      <sheetName val="d. Advance,Prep taxes &amp;Prep Exp"/>
      <sheetName val="e. A.R Related Parties"/>
      <sheetName val="j. AP trade"/>
      <sheetName val="k. Sales Advance"/>
      <sheetName val="l. Taxes payable"/>
      <sheetName val="m. Accrued expense"/>
      <sheetName val="n. Bank Loan"/>
      <sheetName val="o. Deferred tax liabilities"/>
      <sheetName val="p. Pension Fund"/>
      <sheetName val="q. Sales"/>
      <sheetName val="r. COGS"/>
      <sheetName val="s. Opex"/>
      <sheetName val="t. Other Exp ( income)"/>
      <sheetName val="u. Interest Income"/>
      <sheetName val="v.  Interest &amp; Finance charges"/>
      <sheetName val="P&amp;L CL"/>
      <sheetName val="Notes &amp; KPIs"/>
      <sheetName val="ASSET TYPE"/>
      <sheetName val="Mvmt. Tables &amp; Notes Attr."/>
      <sheetName val="BS PL Other Attr."/>
      <sheetName val="FUNCTIONS Corporate"/>
      <sheetName val="CALC. KPIs"/>
      <sheetName val="UNITS OF MEASURE"/>
      <sheetName val="ADJ. TYPES"/>
      <sheetName val="FUNCTIONS Corp. Division"/>
      <sheetName val="ALT-HIER A&amp;O"/>
      <sheetName val="RESTRUCTURING INTEGRATION"/>
      <sheetName val="Proposal for notes accounts"/>
      <sheetName val="cc-129-0399"/>
      <sheetName val="PLHALF1X_05_2002"/>
      <sheetName val="summary-final"/>
      <sheetName val="MAX9-P&amp;L"/>
      <sheetName val="summ-est ($)"/>
      <sheetName val="8Mar02"/>
      <sheetName val="pre-flash"/>
      <sheetName val="YEE"/>
      <sheetName val="Mapping Selling"/>
      <sheetName val="prefluc"/>
      <sheetName val="RE07"/>
      <sheetName val="PRODUCTION COST"/>
      <sheetName val="mutasi HPP oct"/>
      <sheetName val="maping"/>
      <sheetName val="S&amp;M"/>
      <sheetName val="Cash flow supp"/>
      <sheetName val="BS Dec"/>
      <sheetName val="Apr2"/>
      <sheetName val="May2"/>
      <sheetName val="Jun2"/>
      <sheetName val="Jul2"/>
      <sheetName val="Aug2"/>
      <sheetName val="Sep2"/>
      <sheetName val="Data Entry"/>
      <sheetName val="Summary of Claim"/>
      <sheetName val="MPAGC"/>
      <sheetName val="Anuitet"/>
      <sheetName val="CALCULATOR"/>
      <sheetName val="Advis Debet"/>
      <sheetName val="Adv.Dbt.BG.Terbit"/>
      <sheetName val="Advis Kredit"/>
      <sheetName val="Adv.Dbt.BG.Terbit (2)"/>
      <sheetName val="Advis Kredit "/>
      <sheetName val="Advis Kredit  (3)"/>
      <sheetName val="Advis Kredit  (2)"/>
      <sheetName val="Nota Intern"/>
      <sheetName val="Nota Intern (2)"/>
      <sheetName val="Nota Intern (3)"/>
      <sheetName val="Nota Intern (4)"/>
      <sheetName val="Advis Kredit B"/>
      <sheetName val="Advis Kredit (2)"/>
      <sheetName val="KonfDebt"/>
      <sheetName val="Konf.Kredit"/>
      <sheetName val="GB-Terbit-Set-Jam"/>
      <sheetName val="Buku-Tambahan"/>
      <sheetName val="Anuitet Mr. Arfani"/>
      <sheetName val="Konfdb"/>
      <sheetName val="Advis Debet (2)"/>
      <sheetName val="Data BG&amp;BGVA Utk. LBU"/>
      <sheetName val="Anuitet Angsuran"/>
      <sheetName val="Anuitet Maks. Kredit"/>
      <sheetName val="TB PT.MOELADI"/>
      <sheetName val="PT. Sparindo Utama"/>
      <sheetName val="Bng. PT. ABB"/>
      <sheetName val="Bng. PT. SOT"/>
      <sheetName val="Bng. PT. Panca Meta"/>
      <sheetName val="Bng. PT. Smart Corp."/>
      <sheetName val="Bng. PT. Smart Corp. (2)"/>
      <sheetName val="Bng. PT. Unitra Adhijaya"/>
      <sheetName val="Bng. PT. Ramacraft"/>
      <sheetName val="Bng. PT. Baramulti SS"/>
      <sheetName val="Bng. Primkopti"/>
      <sheetName val="Bng. PT. Kertas K A "/>
      <sheetName val="KUK-KPR"/>
      <sheetName val="Bng. Staco 3 Berlian"/>
      <sheetName val="HUB BDN THAMRIN"/>
      <sheetName val="Data Prod &amp; Ekspor"/>
      <sheetName val="Vix Far Feb"/>
      <sheetName val="Febb"/>
      <sheetName val="Mret"/>
      <sheetName val="Aprill"/>
      <sheetName val="Meii"/>
      <sheetName val="Junii"/>
      <sheetName val="Prss"/>
      <sheetName val="reore&amp;feni"/>
      <sheetName val="Antar"/>
      <sheetName val="FRN"/>
      <sheetName val="R.2_Actuaries Calc"/>
      <sheetName val="Penjelasan Pos Neraca"/>
      <sheetName val="EXP02SEL"/>
      <sheetName val="EXP01"/>
      <sheetName val="EXP02PRO-DL"/>
      <sheetName val="EXP03PRO-DL"/>
      <sheetName val="EXP02PRO-FOH"/>
      <sheetName val="EXP03PRO-FOH"/>
      <sheetName val="EXP03SEL"/>
      <sheetName val="EXP02ADM"/>
      <sheetName val="EXP03ADM"/>
      <sheetName val="STC Master"/>
      <sheetName val="Updates"/>
      <sheetName val="Opco"/>
      <sheetName val="J_ Penyesuaian"/>
      <sheetName val="Saldo menurun_SIP"/>
      <sheetName val="Biaya Telp"/>
      <sheetName val="Jurnal SIP"/>
      <sheetName val="Kredit Pajak PPh25"/>
      <sheetName val="Kredit Pajak PPh 23"/>
      <sheetName val="Rekon Penjualan"/>
      <sheetName val="Comp_demand"/>
      <sheetName val="QAF-Rest"/>
      <sheetName val="QAF-Guide pipe"/>
      <sheetName val="QAF-Guide Head"/>
      <sheetName val="QAF-Dist Trio"/>
      <sheetName val="QAF-Dist Dual"/>
      <sheetName val="DEA'96"/>
      <sheetName val="Investment Proposal Procedure"/>
      <sheetName val="Basic Info"/>
      <sheetName val="Sales &amp; Direct Expense"/>
      <sheetName val="Financials (A)"/>
      <sheetName val="Amortization Table (A)"/>
      <sheetName val="Financials-Compare A vs B"/>
      <sheetName val="Amortization Table (B)"/>
      <sheetName val="Financials-Compare A vs B (PN)"/>
      <sheetName val="Amortization Table"/>
      <sheetName val="Amortization Table (2)"/>
      <sheetName val="Basic Info (2)"/>
      <sheetName val="Sales &amp; Direct Expense (2)"/>
      <sheetName val="Leasing Calculator"/>
      <sheetName val="Revised Budget 2003 Pkg"/>
      <sheetName val="Ball Tap Valve Seat"/>
      <sheetName val="Ball Tap Body"/>
      <sheetName val="Approval Sheet"/>
      <sheetName val="75 mil"/>
      <sheetName val="85 mil"/>
      <sheetName val="95 mil"/>
      <sheetName val="105 mil"/>
      <sheetName val="TSH Hand Shower"/>
      <sheetName val="Capacity"/>
      <sheetName val="Injection"/>
      <sheetName val="QAF-Hand Shower"/>
      <sheetName val="Import Freight"/>
      <sheetName val="Hand Shower (Inj)"/>
      <sheetName val="Hand Shower (Chrome)"/>
      <sheetName val="MC Rate"/>
      <sheetName val="Area Layout 1"/>
      <sheetName val="Drawing 3 (2)"/>
      <sheetName val="Cost Drawing3 "/>
      <sheetName val="WT_MO"/>
      <sheetName val="Quotation"/>
      <sheetName val="DataInput1"/>
      <sheetName val="Frontend"/>
      <sheetName val="S2(USD$)"/>
      <sheetName val="S2(A$)"/>
      <sheetName val="S2 Chart"/>
      <sheetName val="S3(USD$)"/>
      <sheetName val="S3a(USD$)"/>
      <sheetName val="S3(A$)"/>
      <sheetName val="S3a(A$)"/>
      <sheetName val="S4(USD$)"/>
      <sheetName val="S4(A$)"/>
      <sheetName val="S5(USD$)"/>
      <sheetName val="S5(USD$) Chart"/>
      <sheetName val="S5(Baht)"/>
      <sheetName val="S5(Baht) Chart"/>
      <sheetName val="S5(A$)"/>
      <sheetName val="S5(A$) Chart"/>
      <sheetName val="S6"/>
      <sheetName val="S7"/>
      <sheetName val="S8"/>
      <sheetName val="S9(USD$)"/>
      <sheetName val="S9(A$)"/>
      <sheetName val="K1-per(USD$)"/>
      <sheetName val="KPICharts1(USD$)"/>
      <sheetName val="KPICharts2(USD$)"/>
      <sheetName val="AP Example"/>
      <sheetName val="F1(A$)"/>
      <sheetName val="F1(USD$)"/>
      <sheetName val="F2(A$)"/>
      <sheetName val="F2(USD$)"/>
      <sheetName val="F3(USD$)"/>
      <sheetName val="F3(A$)"/>
      <sheetName val="F3a(USD$)"/>
      <sheetName val="F3a(A$)"/>
      <sheetName val="F4(USD$)"/>
      <sheetName val="F4(A$)"/>
      <sheetName val="F4(Baht)"/>
      <sheetName val="ต้นฉบับ"/>
      <sheetName val="สำเนา1"/>
      <sheetName val="ใหม่"/>
      <sheetName val="AR settle"/>
      <sheetName val="182100"/>
      <sheetName val="pay 19bis"/>
      <sheetName val="Ex.rate"/>
      <sheetName val="Chk AP"/>
      <sheetName val="Total Data 0110"/>
      <sheetName val="PL_Total"/>
      <sheetName val="PL_1000"/>
      <sheetName val="PL_2000"/>
      <sheetName val="PL_5000"/>
      <sheetName val="PL_6000"/>
      <sheetName val="PL_3000"/>
      <sheetName val="PL_7000"/>
      <sheetName val="PL_8000"/>
      <sheetName val="WIP_0107"/>
      <sheetName val="LJ"/>
      <sheetName val="CFT"/>
      <sheetName val="PU-LKL"/>
      <sheetName val="PU-LK"/>
      <sheetName val="PU-LP"/>
      <sheetName val="SED"/>
      <sheetName val="PB-DD"/>
      <sheetName val="PY"/>
      <sheetName val="WB"/>
      <sheetName val="UU"/>
      <sheetName val="UMJ"/>
      <sheetName val="PENYESUAIAN SO.AWAL"/>
      <sheetName val="LR AWAL"/>
      <sheetName val="PR AWAL"/>
      <sheetName val="bdrl_usg"/>
      <sheetName val="PDEX"/>
      <sheetName val="C.01 PNB USD"/>
      <sheetName val="C.02 PNB Peso"/>
      <sheetName val="C.03 BPI USD"/>
      <sheetName val="C.04 BPI Peso"/>
      <sheetName val="C.05 Cash-Other"/>
      <sheetName val="E.01 Misc Rec Others"/>
      <sheetName val="G.01 Other Current Assets"/>
      <sheetName val="G.02 Current Def Costs "/>
      <sheetName val="G.03 Input VAT"/>
      <sheetName val="K.03 FA Clearing"/>
      <sheetName val="K.04 Artwork"/>
      <sheetName val="K.05 F&amp;F"/>
      <sheetName val="K.06 LHI"/>
      <sheetName val="K.07 Transportation Equipment"/>
      <sheetName val="K.01 Rollforward"/>
      <sheetName val=" K.02 TOR"/>
      <sheetName val="K.08 Computer Equipment"/>
      <sheetName val="K.09 Communications Equipment"/>
      <sheetName val="K.10 Technical Equipment"/>
      <sheetName val="K.11 Building"/>
      <sheetName val="K.11.001 Building supported"/>
      <sheetName val="K.12 Land"/>
      <sheetName val="N.01 AP-Suppliers"/>
      <sheetName val="N.02 Misc AP Other"/>
      <sheetName val="N.03 Withholdng Tax"/>
      <sheetName val="N.04 Accrued Office Expense "/>
      <sheetName val="N.05 Special Payment"/>
      <sheetName val="N.06 Allotment"/>
      <sheetName val="N.07 SSS"/>
      <sheetName val="N.08 Philhealth"/>
      <sheetName val="N.09 Union Dues"/>
      <sheetName val="N.10 Pag-ibig"/>
      <sheetName val="N.11 Provident Fund"/>
      <sheetName val="N.12 Search for Unrecorded Liab"/>
      <sheetName val="UA.01"/>
      <sheetName val="VA.01 Salaries"/>
      <sheetName val="VA.01.001 Salaries"/>
      <sheetName val="VA.02 Bonus"/>
      <sheetName val="VA.03 Fringe Benefits Others"/>
      <sheetName val="VA.03.001 EY Random"/>
      <sheetName val="VA.04 SSS-Others"/>
      <sheetName val="VA.05 Travel-Others"/>
      <sheetName val="UB.01 Misc Int Exp96400001"/>
      <sheetName val="UB.02 Miscellaneous Inc-Other"/>
      <sheetName val="UB.03 Interest Income-Other"/>
      <sheetName val="TB 2007"/>
      <sheetName val="C - Cash"/>
      <sheetName val="I .01- OSG Intl."/>
      <sheetName val="I.02 - OSG UK"/>
      <sheetName val="I.03 - OSG NNA"/>
      <sheetName val="J.01"/>
      <sheetName val="J.02"/>
      <sheetName val="K.01 - F&amp;F"/>
      <sheetName val="K.02 - Transpo"/>
      <sheetName val="K.03 - Computer"/>
      <sheetName val="K.04 Land"/>
      <sheetName val="K.05 Building"/>
      <sheetName val="N.01 Accrued Office"/>
      <sheetName val="N.02 Accrued Wages"/>
      <sheetName val="O.01"/>
      <sheetName val="O.01a"/>
      <sheetName val="O.01b"/>
      <sheetName val="VA.01"/>
      <sheetName val="VA.02"/>
      <sheetName val="VA.03"/>
      <sheetName val="VA.04"/>
      <sheetName val="VD.01 "/>
      <sheetName val="VD.02"/>
      <sheetName val="VD.03"/>
      <sheetName val="VD.04"/>
      <sheetName val="VD.05"/>
      <sheetName val="VD.06"/>
      <sheetName val="VD.07"/>
      <sheetName val="VD.08"/>
      <sheetName val="VD.09"/>
      <sheetName val="Input Tax support 2007"/>
      <sheetName val="VD.10"/>
      <sheetName val="VD.11"/>
      <sheetName val="VD.12"/>
      <sheetName val="VD.13"/>
      <sheetName val="VD.14"/>
      <sheetName val="VD.15"/>
      <sheetName val="VD.16"/>
      <sheetName val="VD.17"/>
      <sheetName val="VD.18"/>
      <sheetName val="VD.19"/>
      <sheetName val="VD.20"/>
      <sheetName val="VD.21"/>
      <sheetName val="VD.22"/>
      <sheetName val="VD.23"/>
      <sheetName val="VD.24"/>
      <sheetName val="VD.25"/>
      <sheetName val="VD.26"/>
      <sheetName val="VD.27"/>
      <sheetName val="VD.28 Retirement"/>
      <sheetName val="UB.01"/>
      <sheetName val="UB.02"/>
      <sheetName val="UB.04"/>
      <sheetName val="O.03 Deferred Tax"/>
      <sheetName val="A4.1 BS"/>
      <sheetName val="A8"/>
      <sheetName val="O.02 ITR"/>
      <sheetName val="A4.3 CFSupport"/>
      <sheetName val="A4.3.1"/>
      <sheetName val="A4.3aa"/>
      <sheetName val="A4.3.1.001 (2007)"/>
      <sheetName val="O.04 Unrecorded 2007 VAT"/>
      <sheetName val="PSC Amortization"/>
      <sheetName val="Restatements"/>
      <sheetName val="VD.21 Retirement Rollforward"/>
      <sheetName val="Retirement Rollforward NNA"/>
      <sheetName val="CF_issa"/>
      <sheetName val="CFSupport_issa"/>
      <sheetName val="A4.3 CF-for I"/>
      <sheetName val="VD.22 Retirement Rollforward"/>
      <sheetName val="Movement in RE beginning FS"/>
      <sheetName val="Trial Balance Co640 OSG Manila"/>
      <sheetName val="cashflow-for I"/>
      <sheetName val="N.12 Purchases Cut-Off"/>
      <sheetName val="A4.3.2 (2007)"/>
      <sheetName val="O.01Tax Computation"/>
      <sheetName val="VD.12 Computer Exp Software"/>
      <sheetName val="VA.04.001 EY Random SSS-Others"/>
      <sheetName val="VD.09 Taxes Others"/>
      <sheetName val="G.03 Input VAT "/>
      <sheetName val="VD.19 Rent Other"/>
      <sheetName val="VD.18.001 EY Random"/>
      <sheetName val="VD.18 Miscellaneous - Coffee"/>
      <sheetName val="VD.17.002 EY Random Comm"/>
      <sheetName val="VD.17.001 TOR Communication"/>
      <sheetName val="VD.17 Communication"/>
      <sheetName val="VD.16 Security Expense"/>
      <sheetName val="VD.15 Gifts &amp; Gratuities"/>
      <sheetName val="VD.14 Insurance"/>
      <sheetName val="VD.13 FB Special &amp; Sp Events"/>
      <sheetName val="VD.12 Misc Office Exp Gen&amp;Other"/>
      <sheetName val="VD.11 Charitable"/>
      <sheetName val="VD.10 Maintenance &amp; Cleaning"/>
      <sheetName val="VD.08 Entertainment "/>
      <sheetName val="VD.07 D&amp;S Dues"/>
      <sheetName val="VD.06 Office Supplies"/>
      <sheetName val="VD.05.001 EY Random"/>
      <sheetName val="VD.05 Utilities"/>
      <sheetName val="VD.04 Consultant Fees"/>
      <sheetName val="VD.03 Acctg Fees"/>
      <sheetName val="VD.02 Training"/>
      <sheetName val="VD.01 Legal Fees"/>
      <sheetName val="U1.1 Sales Analysis"/>
      <sheetName val="U1.2.1 Sales per Cust. B&amp;P"/>
      <sheetName val="U1.2.2 Sales per Cust. Premix"/>
      <sheetName val="U1.3.1 TO B&amp;P"/>
      <sheetName val="U1.3.2 TO Premix"/>
      <sheetName val="U1.4.1 Budget Analysis B&amp;P"/>
      <sheetName val="U1.4.2 Budget Analysis Premix"/>
      <sheetName val="Sheet11 (2)"/>
      <sheetName val="dBase (3)"/>
      <sheetName val="REK PPh 21"/>
      <sheetName val="REK PPh 23"/>
      <sheetName val="REK PPh 23 Final"/>
      <sheetName val="REK PPh 22"/>
      <sheetName val="REK PPN IN"/>
      <sheetName val="REK PPN OUT"/>
      <sheetName val="VC_4"/>
      <sheetName val="A Grade Hiten - Local"/>
      <sheetName val="G_3_2_1 Rekon PPN In Premix"/>
      <sheetName val="Jan_07"/>
      <sheetName val="GP per order OK"/>
      <sheetName val="Production_OK"/>
      <sheetName val="AR_OK"/>
      <sheetName val="Loans_OK"/>
      <sheetName val="test 2"/>
      <sheetName val="Data 1-15"/>
      <sheetName val="dBase (2)"/>
      <sheetName val="U2.4 GM Analysis"/>
      <sheetName val="Cost STR20 "/>
      <sheetName val="SK"/>
      <sheetName val="Plastic June"/>
      <sheetName val="Rubber June"/>
      <sheetName val="Summarize"/>
      <sheetName val="RSS9801"/>
      <sheetName val="D_Vol"/>
      <sheetName val="A_01"/>
      <sheetName val="A_02"/>
      <sheetName val="A_03"/>
      <sheetName val="A_04"/>
      <sheetName val="A_05"/>
      <sheetName val="A_06"/>
      <sheetName val="LTX"/>
      <sheetName val="PRSSC2"/>
      <sheetName val="Repair&amp;Maint-PRSSC2"/>
      <sheetName val="4.2 Productivity-PRSSC2"/>
      <sheetName val="Man-Power"/>
      <sheetName val="organize"/>
      <sheetName val="Detail_FA"/>
      <sheetName val="Read This!!"/>
      <sheetName val="9C.1"/>
      <sheetName val="9C.2"/>
      <sheetName val="9C.3"/>
      <sheetName val="9C.4"/>
      <sheetName val="9C.5"/>
      <sheetName val="9C.6"/>
      <sheetName val="9C.7"/>
      <sheetName val="9C.8"/>
      <sheetName val="9C.9"/>
      <sheetName val="9C.10"/>
      <sheetName val="9C.11"/>
      <sheetName val="9A4"/>
      <sheetName val="9M-Lead"/>
      <sheetName val="ID40 12-DEC05"/>
      <sheetName val="Compare COA"/>
      <sheetName val="9AJE"/>
      <sheetName val="9E1-Lead"/>
      <sheetName val="9E1.1"/>
      <sheetName val="9E1.2"/>
      <sheetName val="9E2-Lead"/>
      <sheetName val="9E2.2"/>
      <sheetName val="9F.3"/>
      <sheetName val="9F.4"/>
      <sheetName val="9F4.1"/>
      <sheetName val="9F.5"/>
      <sheetName val="9F.6"/>
      <sheetName val="9F.7"/>
      <sheetName val="9H.1"/>
      <sheetName val="9H.2"/>
      <sheetName val="9K.2"/>
      <sheetName val="9M.1"/>
      <sheetName val="9N1-Lead"/>
      <sheetName val="9N1.1"/>
      <sheetName val="9N2-Lead"/>
      <sheetName val="9N2.1"/>
      <sheetName val="9N2.1.1"/>
      <sheetName val="9N2.1.2"/>
      <sheetName val="9T-Lead"/>
      <sheetName val="9U2.1.1"/>
      <sheetName val="9U2.1.2"/>
      <sheetName val="9U2.2"/>
      <sheetName val="001 (2)"/>
      <sheetName val="9U3-Lead"/>
      <sheetName val="9U3.1"/>
      <sheetName val="9U5-Lead"/>
      <sheetName val="9U5.1"/>
      <sheetName val="9M Lead"/>
      <sheetName val="9MM1"/>
      <sheetName val="9MM2"/>
      <sheetName val="9M.2"/>
      <sheetName val="9M.3"/>
      <sheetName val="9M.4"/>
      <sheetName val="9M.5"/>
      <sheetName val="9M.6"/>
      <sheetName val="9M.7"/>
      <sheetName val="9M.8"/>
      <sheetName val="9M.9"/>
      <sheetName val="9M.10"/>
      <sheetName val="9M.11"/>
      <sheetName val="9MM"/>
      <sheetName val="PSP - G"/>
      <sheetName val="G.1 Lead"/>
      <sheetName val="G.1.2 Art.22"/>
      <sheetName val="G.1.3 Art. 25 "/>
      <sheetName val="G.1.4 Fiskal"/>
      <sheetName val="G.1.5 Prepaid Expense"/>
      <sheetName val="PPN 2005"/>
      <sheetName val="PPN 2004"/>
      <sheetName val="Recon Request 2004"/>
      <sheetName val="P1 Other accrued expense"/>
      <sheetName val="P2 Other accrued S&amp;M"/>
      <sheetName val="24000095 &amp; 24000098"/>
      <sheetName val="DODO"/>
      <sheetName val="Frenki"/>
      <sheetName val="Rizky"/>
      <sheetName val="F.8.1 Details B&amp;P"/>
      <sheetName val="F.8.2 Details Premix"/>
      <sheetName val="F_8_2 Details Premix"/>
      <sheetName val="SALES JAN07"/>
      <sheetName val="SALES FEB07"/>
      <sheetName val="SALES MAR07"/>
      <sheetName val="SALES APR07"/>
      <sheetName val="SALES MEI07"/>
      <sheetName val="SALES JUN07"/>
      <sheetName val="P3.5"/>
      <sheetName val="INPUT 2012"/>
      <sheetName val="INPUT PPH"/>
      <sheetName val="OFF 2012"/>
      <sheetName val="MARIA MBI"/>
      <sheetName val="DANA MBI"/>
      <sheetName val="Rekap Ke P'Yama"/>
      <sheetName val="payment2"/>
      <sheetName val="Batt &amp; Rect PO Union"/>
      <sheetName val="Journal Entries"/>
      <sheetName val="FSC Backup"/>
      <sheetName val="PGCOM"/>
      <sheetName val="TOA GALVA"/>
      <sheetName val="GENTO"/>
      <sheetName val="OTHERS (EXP)"/>
      <sheetName val="MATSUSHITA"/>
      <sheetName val="SFC SPEAKER"/>
      <sheetName val="FOSTER(S)"/>
      <sheetName val="SINCOM"/>
      <sheetName val="SANYO"/>
      <sheetName val="SPS"/>
      <sheetName val="PSSA"/>
      <sheetName val="SQUARE"/>
      <sheetName val="ARC_SEGMENT"/>
      <sheetName val="ARC-DELIVERY"/>
      <sheetName val="Press Vac Test"/>
      <sheetName val="Press Normal"/>
      <sheetName val="Grinding"/>
      <sheetName val="UW"/>
      <sheetName val="CT Press"/>
      <sheetName val="Grind Std"/>
      <sheetName val="wSheet 06"/>
      <sheetName val="WSheet 07"/>
      <sheetName val="Client adj"/>
      <sheetName val="Lead Exp"/>
      <sheetName val="Lead Exp (2)"/>
      <sheetName val="GLassetliab"/>
      <sheetName val="GLP&amp;L"/>
      <sheetName val="Sheet2 PLT"/>
      <sheetName val="preop"/>
      <sheetName val="PENGANTAR"/>
      <sheetName val="LIST VALIDASI"/>
      <sheetName val="kab2"/>
      <sheetName val="Aging Advance analysis"/>
      <sheetName val="GL carry over"/>
      <sheetName val="KAB"/>
      <sheetName val="Buku Harian Maret 2010"/>
      <sheetName val="Buku Harian Februari 2010"/>
      <sheetName val="EXPIRE OF ADV"/>
      <sheetName val="CASH BOOK"/>
      <sheetName val="IDR MANDIRI"/>
      <sheetName val="SUF Rp"/>
      <sheetName val="IDR STANCHART"/>
      <sheetName val="USD STANCHART"/>
      <sheetName val="SUF national"/>
      <sheetName val="COA 10 JUNI"/>
      <sheetName val="USD STANCHART (3)"/>
      <sheetName val="list validation"/>
      <sheetName val="summary of request "/>
      <sheetName val="recap as of actv"/>
      <sheetName val="by detail"/>
      <sheetName val="by detail rev"/>
      <sheetName val="detail sr 3months"/>
      <sheetName val="detail sr 3months rev "/>
      <sheetName val="detail sr 3months for CCM"/>
      <sheetName val="detail sr"/>
      <sheetName val="pusat P3 (2)"/>
      <sheetName val="pusat P4  (2)"/>
      <sheetName val="Province P2 "/>
      <sheetName val="Province P4  (3)"/>
      <sheetName val="&quot;Province P4  (3)"/>
      <sheetName val="Summary budget"/>
      <sheetName val="listVal"/>
      <sheetName val="lr per type"/>
      <sheetName val="volume penjualan"/>
      <sheetName val="GLCF2222"/>
      <sheetName val="ant cab"/>
      <sheetName val="lr cabang"/>
      <sheetName val="komisi dan bonus"/>
      <sheetName val="lr per type  dipake"/>
      <sheetName val="A1. Income Statement Projection"/>
      <sheetName val="lr per type "/>
      <sheetName val="HSO"/>
      <sheetName val="GLCF (juni)"/>
      <sheetName val="ant cab (juni)"/>
      <sheetName val="lr cabang (JUNI)"/>
      <sheetName val="komisi dan bonus (juni)"/>
      <sheetName val="TB MPMA Juni'14"/>
      <sheetName val="LK Juni'14"/>
      <sheetName val="TB COGNOS MPMA "/>
      <sheetName val="TB_HO"/>
      <sheetName val="TB_GSO"/>
      <sheetName val="TB_ALSUT"/>
      <sheetName val="TB_PRIOK"/>
      <sheetName val="TB_PLUIT"/>
      <sheetName val="TB_CILACAP"/>
      <sheetName val="TB_TAMBUN"/>
      <sheetName val="MATCOST-AUG14"/>
      <sheetName val="Laba Rugi Fiskal "/>
      <sheetName val="1771$"/>
      <sheetName val="1771$-I"/>
      <sheetName val="1771$-II"/>
      <sheetName val="1771$-III"/>
      <sheetName val="1771$-IV"/>
      <sheetName val="1771$-V"/>
      <sheetName val="1771$-VI"/>
      <sheetName val="Lamp Khu 1B-Daft Peny $"/>
      <sheetName val="Lamp Khu 2B-Komp Rugi $"/>
      <sheetName val="Lamp Khu 3B-Trans Ist $"/>
      <sheetName val="Lamp Khu 4B-Pnnmn Mdl $"/>
      <sheetName val="Lamp Khu 5B-Daft Cab Utm $"/>
      <sheetName val="Lamp Khu 6B-Psl 26(4) $"/>
      <sheetName val="Lamp Khu 7B-Kred Pjk LN"/>
      <sheetName val="Fiscal Adj FY05"/>
      <sheetName val="Prepaid Tax art.25"/>
      <sheetName val="PPh 28&amp;29"/>
      <sheetName val="PPH 25 FY06"/>
      <sheetName val="Nom List Ent"/>
      <sheetName val="Fluctuation"/>
      <sheetName val="1410.90"/>
      <sheetName val="1433"/>
      <sheetName val="1442"/>
      <sheetName val="1450"/>
      <sheetName val="1491"/>
      <sheetName val="1494"/>
      <sheetName val="1495"/>
      <sheetName val="Aging "/>
      <sheetName val="AR 3rd Parties"/>
      <sheetName val="2_Mesin"/>
      <sheetName val="Khl Panen"/>
      <sheetName val="KHT"/>
      <sheetName val="KHL Perawatan"/>
      <sheetName val="kutib kht"/>
      <sheetName val="Kutip KHL"/>
      <sheetName val="borongan"/>
      <sheetName val="DATA LTW"/>
      <sheetName val="FIXED"/>
      <sheetName val="PKRAWAT"/>
      <sheetName val="PORAWAT"/>
      <sheetName val="PO RM KEBUN"/>
      <sheetName val="TRANSPOR"/>
      <sheetName val="PO OLAH"/>
      <sheetName val="PK RM PAB"/>
      <sheetName val="PO RM PABR"/>
      <sheetName val="PK O"/>
      <sheetName val="PO O"/>
      <sheetName val="PO RM PAB"/>
      <sheetName val="S-1"/>
      <sheetName val="S-2"/>
      <sheetName val="Add-trans"/>
      <sheetName val="Tranponder"/>
      <sheetName val="Add-rev"/>
      <sheetName val="Pro-Base"/>
      <sheetName val="IS-CF-BS"/>
      <sheetName val="Procentage"/>
      <sheetName val="Sensitif"/>
      <sheetName val="Luas &amp; TT"/>
      <sheetName val="Data Harga"/>
      <sheetName val="Yield Sawit"/>
      <sheetName val="Prod Marihat Eks"/>
      <sheetName val="Prod Socfind Eks"/>
      <sheetName val="Panen Eks"/>
      <sheetName val="Harga TBS Eks"/>
      <sheetName val="Penarikan Eks"/>
      <sheetName val="RJP Rekap Eks"/>
      <sheetName val="Keuangan Eks"/>
      <sheetName val="Prod Socfind Plan"/>
      <sheetName val="Panen Plan"/>
      <sheetName val="Harga TBS Plan"/>
      <sheetName val="Penarikan Planning"/>
      <sheetName val="RJP Rekap Plan"/>
      <sheetName val="Keuangan Plan"/>
      <sheetName val="STD_BBM_2011"/>
      <sheetName val="STD_COST11"/>
      <sheetName val="STD FUEL_KM_2011"/>
      <sheetName val="STD FUEL_HM_2011"/>
      <sheetName val="Januari BLC"/>
      <sheetName val="Februari BLC"/>
      <sheetName val="Maret BLC"/>
      <sheetName val="April BLC"/>
      <sheetName val="Radio"/>
      <sheetName val="RP"/>
      <sheetName val="RKP Rp"/>
      <sheetName val="RKP MOP"/>
      <sheetName val="Dol"/>
      <sheetName val="RKP DOL"/>
      <sheetName val="HGFB"/>
      <sheetName val="RKP HGFB"/>
      <sheetName val="NPK 12"/>
      <sheetName val="RKP NPK"/>
      <sheetName val="ZnSo4"/>
      <sheetName val="RKP ZnSO4"/>
      <sheetName val="CuSO4"/>
      <sheetName val="RKP CuSO4"/>
      <sheetName val="Rkp All"/>
      <sheetName val="Rkp Bulan"/>
      <sheetName val="Afd"/>
      <sheetName val="Dosis dan rekap"/>
      <sheetName val="STD_BBM_BP2011"/>
      <sheetName val="PBG_5"/>
      <sheetName val="Areal St"/>
      <sheetName val="Sebaran TB"/>
      <sheetName val="Sebaran TB "/>
      <sheetName val="Produksi (2) BY BLOK"/>
      <sheetName val="Sebaran Produksi"/>
      <sheetName val="Analisa Prod Blok"/>
      <sheetName val="Kapital"/>
      <sheetName val="Field-Rekap"/>
      <sheetName val="kud"/>
      <sheetName val="Peta Areal Statement"/>
      <sheetName val="Data Populasi (2)"/>
      <sheetName val="Status Tahun Tanam"/>
      <sheetName val="Rekap TB"/>
      <sheetName val="Rekap Sisip"/>
      <sheetName val="as (2)"/>
      <sheetName val="as per koprasi"/>
      <sheetName val="grafik CurHuj (2)"/>
      <sheetName val="RKK Peta TNM"/>
      <sheetName val="RKK Peta Inti-Mitra"/>
      <sheetName val="RKK Peta Infrasrk"/>
      <sheetName val="parit cacing"/>
      <sheetName val="peta klaim"/>
      <sheetName val="RKK Peta Infrasrk (2)"/>
      <sheetName val="prod rkk"/>
      <sheetName val="prod.1"/>
      <sheetName val="prod.1 (2)"/>
      <sheetName val="grfk prod"/>
      <sheetName val="grfk prod (2)"/>
      <sheetName val="historis"/>
      <sheetName val="peta rotasi panen"/>
      <sheetName val="By PN"/>
      <sheetName val="Rekap pupuk"/>
      <sheetName val="PEML TM"/>
      <sheetName val="PEML TBM"/>
      <sheetName val="sisip (2)"/>
      <sheetName val="ALAT BRT"/>
      <sheetName val="bangunan 1"/>
      <sheetName val="bgnn"/>
      <sheetName val="banguanan revisi"/>
      <sheetName val="PT mki"/>
      <sheetName val="PT phl"/>
      <sheetName val="cost mng"/>
      <sheetName val="term sheet"/>
      <sheetName val="Advance &amp; prepaid"/>
      <sheetName val="ws consol lama"/>
      <sheetName val="sv net"/>
      <sheetName val="ws consol Baru"/>
      <sheetName val="Analisa Proyek"/>
      <sheetName val="TON  per Jam"/>
      <sheetName val="TAXREAL"/>
      <sheetName val="BREAK DOWN"/>
      <sheetName val="GRD LTW"/>
      <sheetName val="GRD LTT"/>
      <sheetName val="GRD MMG"/>
      <sheetName val="FFA per jam"/>
      <sheetName val="CPO per PT "/>
      <sheetName val="Karung"/>
      <sheetName val="Ton per jam"/>
      <sheetName val="GRAD"/>
      <sheetName val="% OT"/>
      <sheetName val="Grafik loading"/>
      <sheetName val="Ton Jam  kanban"/>
      <sheetName val="Monitor problem"/>
      <sheetName val="Loading"/>
      <sheetName val="RESUME.INTI"/>
      <sheetName val="Penilaian TBM "/>
      <sheetName val="Harga Bibit"/>
      <sheetName val="building REV"/>
      <sheetName val="Kendaraan Dan Alat Berat Rev"/>
      <sheetName val="Master Discount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Historical"/>
      <sheetName val="Data Harga TBS &amp; CPO"/>
      <sheetName val="KebunInti"/>
      <sheetName val="KebunPlasmaBTS"/>
      <sheetName val="KebunPlasmaKKSR"/>
      <sheetName val="KebunPlasmaMandiri"/>
      <sheetName val="Depresiasi Aktiva Tetap (PRIN)"/>
      <sheetName val="Depresiasi Aktiva Tetap"/>
      <sheetName val="Biaya "/>
      <sheetName val="Biaya Pemeliharaan TM"/>
      <sheetName val="HargaTBS"/>
      <sheetName val="Renc. Invest"/>
      <sheetName val="Susut Baru"/>
      <sheetName val="Susut Lama"/>
      <sheetName val="Proyeksi Rugi Laba"/>
      <sheetName val="Proyeksi Neraca"/>
      <sheetName val="Proyeksi Arus Kas"/>
      <sheetName val="Penilaian"/>
      <sheetName val="SWK"/>
      <sheetName val="DCF Kebun"/>
      <sheetName val="Biaya Pemeliharaan"/>
      <sheetName val="Biaya Pemeliharaan Lama"/>
      <sheetName val="Curah Hujan (Data)"/>
      <sheetName val="Rekap_Prod"/>
      <sheetName val="Harga cpo"/>
      <sheetName val="Proyeksi Produksi (Data)"/>
      <sheetName val="Areal Statement (Data)"/>
      <sheetName val="Desk Produksi"/>
      <sheetName val="Pemupukan"/>
      <sheetName val="Desk Produksi Rev"/>
      <sheetName val="Proyeksi Produksi"/>
      <sheetName val="Proyeksi Produksi 2009"/>
      <sheetName val="Proyeksi Produksi 2010"/>
      <sheetName val="Proyeksi Produksi 2011"/>
      <sheetName val="Proyeksi Produksi 2012-2026"/>
      <sheetName val="Proyeksi Produksi 2014 - 2026"/>
      <sheetName val="Penarikan KI dan IDC (Re Fin)"/>
      <sheetName val="Penarikan Modal Kerja"/>
      <sheetName val="Re Financing Bank"/>
      <sheetName val="Re Financing Bank no infus"/>
      <sheetName val="Kelayakan"/>
      <sheetName val="input bu dewi"/>
      <sheetName val="RESUME NILAI 28 JULI 09 (JUSME)"/>
      <sheetName val="GDC - SAWITA.PAMUKAN - LDA"/>
      <sheetName val="AS - Sawita"/>
      <sheetName val="AS - Pamukan"/>
      <sheetName val="AS - Penyesuaian"/>
      <sheetName val="panen 4."/>
      <sheetName val="Diskripsi - SAWITA.PAMUKAN"/>
      <sheetName val="PENILAIAN TBM SAWITA - PAMUKAN"/>
      <sheetName val="WACC 31 des 08"/>
      <sheetName val="RESUME NILAI 28 JULI 09"/>
      <sheetName val="Biaya Pengembangan"/>
      <sheetName val="Produksi LDA-Pengembangan"/>
      <sheetName val="GDV LDA - Pengembangan"/>
      <sheetName val="HargaTBS (2)"/>
      <sheetName val="SingkingFund"/>
      <sheetName val="exf"/>
      <sheetName val="KERNEL"/>
      <sheetName val="Sales Graf"/>
      <sheetName val="GRAFIK PRODUKSI"/>
      <sheetName val="Grafik Cost"/>
      <sheetName val="Kata Pengantar (i)"/>
      <sheetName val="ISI(ii)"/>
      <sheetName val="Hawi"/>
      <sheetName val="Daftar Premi"/>
      <sheetName val="SAN-est"/>
      <sheetName val="SAMP"/>
      <sheetName val="GRAND-TTL"/>
      <sheetName val="TUS-02"/>
      <sheetName val="TUS-01"/>
      <sheetName val="TS-01"/>
      <sheetName val="ST-06"/>
      <sheetName val="ST-6"/>
      <sheetName val="ST-5"/>
      <sheetName val="RekaP HLP"/>
      <sheetName val="RekaP OPR"/>
      <sheetName val="Sapadi. Fikir"/>
      <sheetName val="Hawihilono"/>
      <sheetName val="Mudiono"/>
      <sheetName val="Deby"/>
      <sheetName val="Prayit"/>
      <sheetName val="Kadirman"/>
      <sheetName val="Arief Septiono"/>
      <sheetName val="Simin"/>
      <sheetName val="Susanto"/>
      <sheetName val="Wadi"/>
      <sheetName val="JD-15"/>
      <sheetName val="JD-14"/>
      <sheetName val="JD-13"/>
      <sheetName val="JD-12"/>
      <sheetName val="JD-11"/>
      <sheetName val="JD-10"/>
      <sheetName val="JD-09"/>
      <sheetName val="JD-02"/>
      <sheetName val="Rasimin"/>
      <sheetName val="M. Riady A"/>
      <sheetName val="Hawino"/>
      <sheetName val="Saprin"/>
      <sheetName val="Tuwarno12"/>
      <sheetName val="Agus12"/>
      <sheetName val="Unus"/>
      <sheetName val="Deby09"/>
      <sheetName val="Yateman"/>
      <sheetName val="Rasimin10"/>
      <sheetName val="Slamet10"/>
      <sheetName val="Lorensius"/>
      <sheetName val="Andi15"/>
      <sheetName val="Saprin15"/>
      <sheetName val="ToroTUS01"/>
      <sheetName val="TapriTUS02"/>
      <sheetName val="Sheet1 PLT"/>
      <sheetName val="PLT"/>
      <sheetName val="REKAP PLT"/>
      <sheetName val="Slip PLT"/>
      <sheetName val="Amplop PLT"/>
      <sheetName val="Pph MSK"/>
      <sheetName val="Varian"/>
      <sheetName val="PPhRapel"/>
      <sheetName val="AS (2010)"/>
      <sheetName val="Produksi TH 2010"/>
      <sheetName val="Produksi TH 2011"/>
      <sheetName val="Produksi Th 2010-2011"/>
      <sheetName val="Produksi TH 2011 (sebaran)"/>
      <sheetName val="Rekap TM"/>
      <sheetName val="TMB"/>
      <sheetName val="Rekap By Panen"/>
      <sheetName val="BY PANEN - TM"/>
      <sheetName val="BY PANEN - TBM3"/>
      <sheetName val="Pembibitan"/>
      <sheetName val="Emplasment"/>
      <sheetName val="Summary P n L"/>
      <sheetName val="P n L"/>
      <sheetName val="P n L (pegged rate)"/>
      <sheetName val="P n L (2)"/>
      <sheetName val="P n L (pegged rate) (2)"/>
      <sheetName val="Occupancy"/>
      <sheetName val="0220"/>
      <sheetName val="Bank (2)"/>
      <sheetName val="Bank MBS"/>
      <sheetName val="BankSRD"/>
      <sheetName val="BankDI"/>
      <sheetName val="RINCIAN NRC"/>
      <sheetName val="AOP-SK"/>
      <sheetName val="AOP_SK"/>
      <sheetName val="LAPIUT"/>
      <sheetName val="H.109.e-Inti Mitra "/>
      <sheetName val="Blok"/>
      <sheetName val="H.109.d-Lap Kebakaran 140911"/>
      <sheetName val="H.109.f-KBLUKSUMMARYBLOK06.rpt"/>
      <sheetName val="H.109.g-stnD"/>
      <sheetName val="H.109.b-Price TBS 2012"/>
      <sheetName val="H.109.c-PD Report-Biaya"/>
      <sheetName val="ALOKASI 1"/>
      <sheetName val="FS_O2"/>
      <sheetName val="FS_N2"/>
      <sheetName val="FS_AR"/>
      <sheetName val="CO2"/>
      <sheetName val="MIXGAS"/>
      <sheetName val="BPP BJ"/>
      <sheetName val="BPP_PERM3"/>
      <sheetName val="A1234NG"/>
      <sheetName val="aging rental juni"/>
      <sheetName val="A1234NG (2)"/>
      <sheetName val="jop"/>
      <sheetName val="AGING RENTAL (2)"/>
      <sheetName val="BAG_2"/>
      <sheetName val="6111010"/>
      <sheetName val="6111030"/>
      <sheetName val="6111050"/>
      <sheetName val="6112010"/>
      <sheetName val="6112030"/>
      <sheetName val="6113020"/>
      <sheetName val="ORDER"/>
      <sheetName val="MBAR"/>
      <sheetName val="SEX"/>
      <sheetName val="MCSI"/>
      <sheetName val="LR2006-gresik"/>
      <sheetName val="Nilai Penjualan"/>
      <sheetName val="Biaya &amp; Pendpt LL"/>
      <sheetName val="IO Distribusi"/>
      <sheetName val="COPA PER LOG"/>
      <sheetName val="penjualan per produk"/>
      <sheetName val="penjualan per pelanggan"/>
      <sheetName val="penjualan per pelanggan (2)"/>
      <sheetName val="persediaan jual"/>
      <sheetName val="persediaan kanvas"/>
      <sheetName val="persediaan BS"/>
      <sheetName val="Piping"/>
      <sheetName val="Tabulation"/>
      <sheetName val="Valve total"/>
      <sheetName val="Valve total(4units)"/>
      <sheetName val="Control valve"/>
      <sheetName val="Specialty"/>
      <sheetName val="S.Cooler"/>
      <sheetName val="Pivot2"/>
      <sheetName val="Vendor 집계표"/>
      <sheetName val="Project별 집계표"/>
      <sheetName val="Vendor"/>
      <sheetName val="w't table"/>
      <sheetName val="CIT LB 08"/>
      <sheetName val="Mutation 2008"/>
      <sheetName val="BS-PL"/>
      <sheetName val="CLA 2008"/>
      <sheetName val="CLA WIP 2008"/>
      <sheetName val="A3 2007 LB + Starcom "/>
      <sheetName val="A3 2007 Audited"/>
      <sheetName val="Audit Adj 2008"/>
      <sheetName val="2.1 Nostro Reconcilation"/>
      <sheetName val="load"/>
      <sheetName val="RF"/>
      <sheetName val="N.1 Aging AP"/>
      <sheetName val="N.1.1 Detail AP"/>
      <sheetName val="N.2 Accrued WIP"/>
      <sheetName val="N.3 PSI"/>
      <sheetName val="N.4 Cut Off"/>
      <sheetName val="N.4 SURL"/>
      <sheetName val="Supplier info"/>
      <sheetName val="Over 121 days"/>
      <sheetName val="NCL"/>
      <sheetName val="PPAP CALC"/>
      <sheetName val="R11"/>
      <sheetName val="jv19"/>
      <sheetName val="jv18"/>
      <sheetName val="jv17"/>
      <sheetName val="jv1 -1"/>
      <sheetName val="R6-1"/>
      <sheetName val="R11-1"/>
      <sheetName val="jv18-1"/>
      <sheetName val="jv17-1"/>
      <sheetName val="jv16-1"/>
      <sheetName val="jv20-1"/>
      <sheetName val="JV23-1208"/>
      <sheetName val="jv16-1208"/>
      <sheetName val="JV27-1208"/>
      <sheetName val="JV11-0208"/>
      <sheetName val="JV17-1208"/>
      <sheetName val="JV16 Mar"/>
      <sheetName val="JV16 Feb"/>
      <sheetName val="jv02"/>
      <sheetName val="jv20"/>
      <sheetName val="PREPAID EXP 2"/>
      <sheetName val="GL Prepaid Exp feb09-2"/>
      <sheetName val="GL Prepaid Exp feb09-final"/>
      <sheetName val="EMP LIST"/>
      <sheetName val="PSI MEDICAL 2008"/>
      <sheetName val="GL 117010 Jan09"/>
      <sheetName val="GL Office Jan09"/>
      <sheetName val="GL Housing Feb09"/>
      <sheetName val="GL Office Feb09"/>
      <sheetName val="GL Housing 0309"/>
      <sheetName val="GL Office 0309"/>
      <sheetName val="HOUSING 2010"/>
      <sheetName val="JV1 HOUSING"/>
      <sheetName val="square m"/>
      <sheetName val="JV1OFFICE"/>
      <sheetName val="OFFICE 2010"/>
      <sheetName val="JV1 PREPAID EXP 2"/>
      <sheetName val="JV1 PREPAID EXP 3"/>
      <sheetName val="DPKK"/>
      <sheetName val="JV-Goodwill"/>
      <sheetName val="COA NEW"/>
      <sheetName val="JV1PREPAID EXP 2010"/>
      <sheetName val="revisionLB"/>
      <sheetName val="January 2010"/>
      <sheetName val="January 2010a"/>
      <sheetName val="PV PREPAID UTK BCC"/>
      <sheetName val="DATA UTK DIV"/>
      <sheetName val="CIT2009"/>
      <sheetName val="TBMetroSep06"/>
      <sheetName val="TBPMOct07"/>
      <sheetName val="SAD PM"/>
      <sheetName val="SAD IME"/>
      <sheetName val="BS-PM"/>
      <sheetName val="PL-PM"/>
      <sheetName val="Corp Tax Publicis"/>
      <sheetName val="AJE-PM"/>
      <sheetName val="TBIMEOct07"/>
      <sheetName val="TBPM09"/>
      <sheetName val="BS-OP"/>
      <sheetName val="PL-OP"/>
      <sheetName val="Corp Tax OPTI"/>
      <sheetName val="AJE-OPT"/>
      <sheetName val="TB Opti Sep"/>
      <sheetName val="TBSeptDialog06"/>
      <sheetName val="TBIME09"/>
      <sheetName val="BS-PD"/>
      <sheetName val="PL-PD"/>
      <sheetName val="Corp Tax Dialog"/>
      <sheetName val="AJE-PD"/>
      <sheetName val="Rounding"/>
      <sheetName val="MAT USD"/>
      <sheetName val="Report New"/>
      <sheetName val="Combined FS053 &amp; FS156"/>
      <sheetName val="FS053"/>
      <sheetName val="FS156"/>
      <sheetName val="For LLD"/>
      <sheetName val="Orig. Yulius"/>
      <sheetName val="RM1"/>
      <sheetName val="RM2"/>
      <sheetName val="SM3"/>
      <sheetName val="Others Out"/>
      <sheetName val="Accpac1"/>
      <sheetName val="Location_Details (2)"/>
      <sheetName val="Profit &amp; Loss (3)"/>
      <sheetName val="BS-PL Indo 2006"/>
      <sheetName val="L.MAR08"/>
      <sheetName val="L.JAN09"/>
      <sheetName val="L.FEB09"/>
      <sheetName val="L.Mar09"/>
      <sheetName val="PL 2008"/>
      <sheetName val="PL Movement"/>
      <sheetName val="PL RF"/>
      <sheetName val="Memo POL"/>
      <sheetName val="Interest-FR"/>
      <sheetName val="POL-FR"/>
      <sheetName val="UC-POL"/>
      <sheetName val="UC1"/>
      <sheetName val="UC2"/>
      <sheetName val="UC3"/>
      <sheetName val="UC4"/>
      <sheetName val="UC5"/>
      <sheetName val="UC6"/>
      <sheetName val="UC7"/>
      <sheetName val="UC8"/>
      <sheetName val="UC8.1.1"/>
      <sheetName val="BOL-FR"/>
      <sheetName val="VE-BOL"/>
      <sheetName val="VE1"/>
      <sheetName val="VE2"/>
      <sheetName val="VE3"/>
      <sheetName val="VE4"/>
      <sheetName val="VE5"/>
      <sheetName val="VE6"/>
      <sheetName val="VE6.1"/>
      <sheetName val="VE7"/>
      <sheetName val="VE8"/>
      <sheetName val="VE9"/>
      <sheetName val="VE10"/>
      <sheetName val="VE11"/>
      <sheetName val="VE12"/>
      <sheetName val="VE13"/>
      <sheetName val="VE14"/>
      <sheetName val="VE15"/>
      <sheetName val="VE16"/>
      <sheetName val="VE17"/>
      <sheetName val="VE18"/>
      <sheetName val="VE19"/>
      <sheetName val="VE20"/>
      <sheetName val="VE21"/>
      <sheetName val="VE22"/>
      <sheetName val="914134"/>
      <sheetName val="912215"/>
      <sheetName val="914603"/>
      <sheetName val="FR-NOIE"/>
      <sheetName val="UE-NOIE"/>
      <sheetName val="UE1"/>
      <sheetName val="UE2"/>
      <sheetName val="UE4"/>
      <sheetName val="UE3"/>
      <sheetName val="UE5"/>
      <sheetName val="UE6"/>
      <sheetName val="UE7"/>
      <sheetName val="UE8"/>
      <sheetName val="CIT2007"/>
      <sheetName val="Cash flow Consol"/>
      <sheetName val="CorpPM"/>
      <sheetName val="TBPM07"/>
      <sheetName val="CorpOpti"/>
      <sheetName val="TBOP07"/>
      <sheetName val="AJE-OP"/>
      <sheetName val="Corp-PD"/>
      <sheetName val="TBPD07"/>
      <sheetName val="E.7.7.1 Memo"/>
      <sheetName val="E.7.7.1 Summary"/>
      <sheetName val="E.7.7.1"/>
      <sheetName val="1. Batik Danar Hadi"/>
      <sheetName val="2. Kusumahadi Santosa"/>
      <sheetName val="3. Kusumaputra Santosa"/>
      <sheetName val="4. Filamindo"/>
      <sheetName val="5.DuRen 6.MelTim 20.AbaGen "/>
      <sheetName val="7.a PII"/>
      <sheetName val="7.b PII"/>
      <sheetName val="7.c PII"/>
      <sheetName val="7.d PII"/>
      <sheetName val="8.b CAK (KI-1)"/>
      <sheetName val="8.c CAK (KI-3)"/>
      <sheetName val="8.d CAK (KI-1)"/>
      <sheetName val="8.e CAK (KI-IDC)"/>
      <sheetName val="8.f CAK (KMK)"/>
      <sheetName val="9. Manguni Garden Hotel"/>
      <sheetName val="10. Zeus"/>
      <sheetName val="11. RAPP and 12.RAK"/>
      <sheetName val="13. PIM"/>
      <sheetName val="13.PIM not update"/>
      <sheetName val="13.a PIM KMK not update"/>
      <sheetName val="14.d KDI-KI"/>
      <sheetName val="14.f KDI (KI-IDC)"/>
      <sheetName val="14.g KDI (KI-1)"/>
      <sheetName val="15. Indogas Raya Utama"/>
      <sheetName val="16.b Krakatau Wajatama (KI)"/>
      <sheetName val="16.c Krakatau Wajatama (KI IDC)"/>
      <sheetName val="17.a Bhineka Cipta Manunggal"/>
      <sheetName val="17.b Bhineka Cipta Manunggal"/>
      <sheetName val="17.c Bhineka Cipta Manunggal"/>
      <sheetName val="17.d Bhineka Cipta Manunggal"/>
      <sheetName val="17.e Bhineka Cipta Manunggal"/>
      <sheetName val="17.f Bhineka Cipta Manunggal"/>
      <sheetName val="18. a Gunatex-IDR"/>
      <sheetName val="18. b Gunatex - USD"/>
      <sheetName val="19.a World Yamatex"/>
      <sheetName val="19.b World Yamatex"/>
      <sheetName val="19.c World Yamatex"/>
      <sheetName val="19.d World Yamatex"/>
      <sheetName val="19.e World Yamatex"/>
      <sheetName val="21. Sambu Sakti Sawmill"/>
      <sheetName val="22. Surya Bumi Agrolangeng"/>
      <sheetName val="23BuktPalg,24WirBh,30BMF,31BBM"/>
      <sheetName val="25. Jakaranatama"/>
      <sheetName val="26. Hasnur Coal Terminal"/>
      <sheetName val="28.a Griya Pesona Mandiri"/>
      <sheetName val="28.b Griya Pesona Mandiri"/>
      <sheetName val="29. Pandega Citra Niaga"/>
      <sheetName val="32.Star Cosmos"/>
      <sheetName val="33. Shamrock Manufacturing Corp"/>
      <sheetName val="34. Fajar Sun Master"/>
      <sheetName val="35. Semen Bosowa Maros"/>
      <sheetName val="36.Riau Sakti United Pl - IDR"/>
      <sheetName val="36. Riau Sakti United Pl - USD"/>
      <sheetName val="37. Haloni Jane"/>
      <sheetName val="HJ"/>
      <sheetName val="bjd"/>
      <sheetName val="List of Debtor not incld in MAR"/>
      <sheetName val="Middle UMN"/>
      <sheetName val="Summary based on outstanding"/>
      <sheetName val="E.7.7.1 Summary OLD"/>
      <sheetName val="Resume AR"/>
      <sheetName val="Pivot Tabel"/>
      <sheetName val="bs-idr"/>
      <sheetName val="BS-U$"/>
      <sheetName val="PL-U$"/>
      <sheetName val="CF 2006_for_report"/>
      <sheetName val="A3 Jambi + Mandoge"/>
      <sheetName val="SRM-BS"/>
      <sheetName val="SRM - WPL"/>
      <sheetName val="PL-JBI"/>
      <sheetName val="PLN-MDG"/>
      <sheetName val="TB Jambi"/>
      <sheetName val="TB Mandoge"/>
      <sheetName val="A3 Jun06"/>
      <sheetName val="OB'05-PM"/>
      <sheetName val="CKG-TRF04"/>
      <sheetName val="BDG-TRF04"/>
      <sheetName val="Purchase Detail"/>
      <sheetName val="Vol SFR'04(CKG)"/>
      <sheetName val="Vol SRF '04 (BDG)"/>
      <sheetName val="Price OB'04-CKG"/>
      <sheetName val="OB 04RM"/>
      <sheetName val="SRF04"/>
      <sheetName val="TRF04"/>
      <sheetName val="Packmat"/>
      <sheetName val="MRP SRF04 vol"/>
      <sheetName val="E ARPs"/>
      <sheetName val="E.1.1 Subsequent Received AR"/>
      <sheetName val="E.1.2 Unbilled Media"/>
      <sheetName val="E.1.3 Accrued Revenue"/>
      <sheetName val="E.2 Others"/>
      <sheetName val="E.3 AR Related Parties"/>
      <sheetName val="E.4 AR Cut Off"/>
      <sheetName val="E.5 Inv 2010 were inv in 2011"/>
      <sheetName val="EE.3"/>
      <sheetName val="Project Dec tp invoice 2011"/>
      <sheetName val="RECKITT"/>
      <sheetName val="GOODYEAR"/>
      <sheetName val="BNI'46"/>
      <sheetName val="BRI SYARIAH"/>
      <sheetName val="PASEO"/>
      <sheetName val="WYETH"/>
      <sheetName val="HYUNDAI"/>
      <sheetName val="PANASONIC"/>
      <sheetName val="URC"/>
      <sheetName val="DOPOD"/>
      <sheetName val="APPLE RESELLER"/>
      <sheetName val="PERTAMINA-PASTI PAS"/>
      <sheetName val="PERTAMINA-CORPORATE"/>
      <sheetName val="PERTAMINA-PELUMAS"/>
      <sheetName val="ESIA"/>
      <sheetName val="TNT"/>
      <sheetName val="Standard Chartered"/>
      <sheetName val="HP-IPG"/>
      <sheetName val="HP-PSG"/>
      <sheetName val="HP-TSG"/>
      <sheetName val="HBO ASIA"/>
      <sheetName val="PUMA"/>
      <sheetName val="GAGA MIE"/>
      <sheetName val="MACRO KIOS"/>
      <sheetName val="HOLCIM"/>
      <sheetName val="ACTAVIS"/>
      <sheetName val="SONY"/>
      <sheetName val="VITACIMIN"/>
      <sheetName val="TOYOTA (AVANZA)"/>
      <sheetName val="TOYOTA (LEXUS)"/>
      <sheetName val="PSB"/>
      <sheetName val="MSIG"/>
      <sheetName val="BioCalci-72"/>
      <sheetName val="AXIS"/>
      <sheetName val="CBD BSD"/>
      <sheetName val="X MILD"/>
      <sheetName val="STARMILD"/>
      <sheetName val="SEJATI"/>
      <sheetName val="BIRU"/>
      <sheetName val="RAWIT"/>
      <sheetName val="NEO MILD"/>
      <sheetName val="TIKI"/>
      <sheetName val="TV MART"/>
      <sheetName val="VELVET"/>
      <sheetName val="Nature"/>
      <sheetName val="Lead Consol FA"/>
      <sheetName val="cost-biijkt"/>
      <sheetName val="accum-biijkt"/>
      <sheetName val="COST-BIIFCJKT"/>
      <sheetName val="ACC-BIIFCJKT"/>
      <sheetName val="Cost-WOM"/>
      <sheetName val="Accum-WOM"/>
      <sheetName val="Consol Movement FA"/>
      <sheetName val="Map WP"/>
      <sheetName val="ACC.DEPR"/>
      <sheetName val="COST-BIIFCHK"/>
      <sheetName val="ACC-BIIFCHK"/>
      <sheetName val="Ass Dec2007"/>
      <sheetName val="FCJ"/>
      <sheetName val="WOM"/>
      <sheetName val="AK.TTP"/>
      <sheetName val="AK.TTP2"/>
      <sheetName val="Premi 2009-2010"/>
      <sheetName val="Exch_rate"/>
      <sheetName val="I_BS"/>
      <sheetName val="1_Cash"/>
      <sheetName val="2_Current accounts with BI"/>
      <sheetName val="3_Current accounts w other bank"/>
      <sheetName val="4_Placement"/>
      <sheetName val="4_cont_d"/>
      <sheetName val="5_Marketable securities"/>
      <sheetName val="5_MS_maturity date _cont_d_"/>
      <sheetName val="6_Government bonds"/>
      <sheetName val="6_Gov bonds _cont_d_"/>
      <sheetName val="7_Reverse repo"/>
      <sheetName val="8_derivatives"/>
      <sheetName val="9_Loan"/>
      <sheetName val="9_1_loan detail"/>
      <sheetName val="10_Consumer Finance"/>
      <sheetName val="10_1_ _ Cons Fin Details"/>
      <sheetName val="11_acceptance receivable"/>
      <sheetName val="12_Investments in Share"/>
      <sheetName val="13_Deferred tax"/>
      <sheetName val="14_Fixed assets"/>
      <sheetName val="15_Accrued Income"/>
      <sheetName val="16_Prepayments"/>
      <sheetName val="17_Other assets"/>
      <sheetName val="18_Corp_inc_tax rec__payable"/>
      <sheetName val="19_ Obligations due immediately"/>
      <sheetName val="20_Deposits from customers"/>
      <sheetName val="21_Deposits from Other Banks"/>
      <sheetName val="22_Repo"/>
      <sheetName val="23_acceptance liabilities"/>
      <sheetName val="24_Securities Issued"/>
      <sheetName val="25_Fund borrowing"/>
      <sheetName val="26_Est_Comm__Cont"/>
      <sheetName val="27_Accrued exp"/>
      <sheetName val="28_Lease Payable"/>
      <sheetName val="29_Other liabilities"/>
      <sheetName val="30_Subordinated loans"/>
      <sheetName val="II_IS"/>
      <sheetName val="II_1_IS_Support"/>
      <sheetName val="III_SoC in Equity"/>
      <sheetName val="IV_Cash Flows"/>
      <sheetName val="V_a_Com__ Con"/>
      <sheetName val="V_c_NOP"/>
      <sheetName val="V_b_Employee Benefits"/>
      <sheetName val="V_d_Foreign Ccy Transaction"/>
      <sheetName val="V_e_Related Parties"/>
      <sheetName val="V_f_Maturity Profile"/>
      <sheetName val="V_g_ Add Info_Avg i rate"/>
      <sheetName val="VI_a_Loan _By type_"/>
      <sheetName val="VI_b_Loans by Int _ Profit rate"/>
      <sheetName val="VI_c_NPL Movement"/>
      <sheetName val="VI_d_Derivatives"/>
      <sheetName val="VI_e_FA Movement"/>
      <sheetName val="VI_g_Prepaid lease movt"/>
      <sheetName val="VI_h_Inv Property movt"/>
      <sheetName val="VI_i_1_Deferred tax 1"/>
      <sheetName val="VI_i_2_Deferred tax 2"/>
      <sheetName val="VI_j_ All on loan and fin"/>
      <sheetName val="VI_k_ Key mgmt personnel comp"/>
      <sheetName val="VI_l_1_ Directors remuneration1"/>
      <sheetName val="VI_l_2_ Directors remuneration2"/>
      <sheetName val="VI_m_ Taxation"/>
      <sheetName val="VI.n. Interest rate risks"/>
      <sheetName val="VI_o_1_ FX Risk 1"/>
      <sheetName val="VI_o_2_ FX Risk 2"/>
      <sheetName val="VI.p. PRR"/>
      <sheetName val="VI.q. Fair value BS"/>
      <sheetName val="2-Current accounts with BI"/>
      <sheetName val="3-Current accounts w other bank"/>
      <sheetName val="4-Placement"/>
      <sheetName val="4-cont'd"/>
      <sheetName val="5-Marketable securities"/>
      <sheetName val="5-MS-maturity date (cont'd)"/>
      <sheetName val="6-Government bonds"/>
      <sheetName val="6-Gov bonds (cont'd)"/>
      <sheetName val="7-Reverse repo"/>
      <sheetName val="8-derivatives"/>
      <sheetName val="9-Loan"/>
      <sheetName val="9.1-loan detail"/>
      <sheetName val="10-Consumer Finance"/>
      <sheetName val="10.1. - Cons Fin Details"/>
      <sheetName val="11-acceptance receivable"/>
      <sheetName val="12-Investments in Share"/>
      <sheetName val="13-Deferred tax"/>
      <sheetName val="14-Fixed assets"/>
      <sheetName val="15-Accrued Income"/>
      <sheetName val="16-Prepayments"/>
      <sheetName val="17-Other assets"/>
      <sheetName val="18-Corp.inc.tax rec.-payable"/>
      <sheetName val="19- Obligations due immediately"/>
      <sheetName val="20-Deposits from customers"/>
      <sheetName val="21-Deposits from Other Banks"/>
      <sheetName val="22-Repo"/>
      <sheetName val="23-acceptance liabilities"/>
      <sheetName val="24-Securities Issued"/>
      <sheetName val="25-Fund borrowing"/>
      <sheetName val="26-Est.Comm.&amp;Cont"/>
      <sheetName val="27-Accrued exp"/>
      <sheetName val="28-Lease Payable"/>
      <sheetName val="29-Other liabilities"/>
      <sheetName val="30-Subordinated loans"/>
      <sheetName val="II.IS"/>
      <sheetName val="II.1.IS_Support"/>
      <sheetName val="III.SoC in Equity"/>
      <sheetName val="IV.Cash Flows"/>
      <sheetName val="V.a.Com.&amp; Con"/>
      <sheetName val="V.b.Employee Benefits"/>
      <sheetName val="V.c.NOP"/>
      <sheetName val="V.d.Foreign Ccy Transaction"/>
      <sheetName val="V.e.Related Parties"/>
      <sheetName val="V.g. Add Info-Avg i rate"/>
      <sheetName val="VI.a.Loan (By type)"/>
      <sheetName val="VI.b.Loans by Int &amp; Profit rate"/>
      <sheetName val="I.BS"/>
      <sheetName val="BII &amp; Bapepam"/>
      <sheetName val="V.f.Maturity Profile"/>
      <sheetName val="VI.c.NPL Movement"/>
      <sheetName val="VI.d.Derivatives"/>
      <sheetName val="VI.e.FA Movement"/>
      <sheetName val="VI.f.Computer software movt"/>
      <sheetName val="VI.g.Prepaid lease movt"/>
      <sheetName val="VI.h.Inv Property movt"/>
      <sheetName val="VI.i.1.Deferred tax 1"/>
      <sheetName val="VI.i.2.Deferred tax 2"/>
      <sheetName val="Sale of Fixed Assets"/>
      <sheetName val="VI.j. All on loan and fin"/>
      <sheetName val="VI.k. Key mgmt personnel comp"/>
      <sheetName val="VI.l.1. Directors remuneration1"/>
      <sheetName val="VI.l.2. Directors remuneration2"/>
      <sheetName val="VI.m. Taxation"/>
      <sheetName val="VI.o.1. FX Risk 1"/>
      <sheetName val="VI.o.2. FX Risk 2"/>
      <sheetName val="Flow rate1(start Okt07)"/>
      <sheetName val="Flow rate 2 (incl data error)"/>
      <sheetName val=" WO jan 09 Backdated"/>
      <sheetName val="recovery"/>
      <sheetName val=" WO Sept 09"/>
      <sheetName val="Penambahan AYDA"/>
      <sheetName val="Pengurangan AYDA"/>
      <sheetName val="ROLLRATE SD SEP09 ORI"/>
      <sheetName val="WP- Reporting"/>
      <sheetName val="WP5"/>
      <sheetName val="Repo - Reverse repo"/>
      <sheetName val="PwC"/>
      <sheetName val="SBI"/>
      <sheetName val="Syariah"/>
      <sheetName val="Other Approved Sec"/>
      <sheetName val="Securities-Nonbank"/>
      <sheetName val="REPO"/>
      <sheetName val="REPO 2"/>
      <sheetName val="status all docs (Sept)"/>
      <sheetName val="Sampel Konfirmasi"/>
      <sheetName val="Sheet5 (2)"/>
      <sheetName val="SAMPLE FINAL"/>
      <sheetName val="LOAN REVIEW DATA"/>
      <sheetName val="LOAN CONFIRMATION"/>
      <sheetName val="Pending "/>
      <sheetName val="GL --&gt; Interim"/>
      <sheetName val="Top Summary"/>
      <sheetName val="GL Input Validations"/>
      <sheetName val="Scratchpad"/>
      <sheetName val="P&amp;L1 "/>
      <sheetName val="P&amp;L GHD"/>
      <sheetName val="OPEX1"/>
      <sheetName val="Cashflow1"/>
      <sheetName val="BSheet"/>
      <sheetName val="BSheet1"/>
      <sheetName val="p&amp;l 0304"/>
      <sheetName val="p&amp;l 0405"/>
      <sheetName val="p&amp;l 0506"/>
      <sheetName val="   Contents"/>
      <sheetName val="1 LeadSchedule"/>
      <sheetName val="2 Sec108"/>
      <sheetName val="3 P&amp;L - 3A Op.Exp"/>
      <sheetName val="4 Analysis"/>
      <sheetName val="   Directors"/>
      <sheetName val="Dividend"/>
      <sheetName val="ITA-RA"/>
      <sheetName val="Int-rest"/>
      <sheetName val="OTHER (2)"/>
      <sheetName val="F-1l F-2"/>
      <sheetName val="U-2_Sales Analysis"/>
      <sheetName val="U-1l2_Overall AR"/>
      <sheetName val="AppA1-1"/>
      <sheetName val="AppA1-2"/>
      <sheetName val="AppA2-1"/>
      <sheetName val="AppA2-2"/>
      <sheetName val="AppA3"/>
      <sheetName val="AppA4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Cost centre expenditure"/>
      <sheetName val="k-Discl"/>
      <sheetName val="LABOUR,SUB-CON,LEASE"/>
      <sheetName val="ADM&amp; OHH INCOME"/>
      <sheetName val="S.OH"/>
      <sheetName val="BPR-Bloom"/>
      <sheetName val="F-4l5"/>
      <sheetName val="auditors' report"/>
      <sheetName val="5 Analysis"/>
      <sheetName val="3 P&amp;L - 4 Op.Exp"/>
      <sheetName val="3A Turnover 3B COS"/>
      <sheetName val="FSC"/>
      <sheetName val="WS BS"/>
      <sheetName val="WS PL"/>
      <sheetName val="TB SEP'14"/>
      <sheetName val="TB AUG'14"/>
      <sheetName val="TB JUNE'14"/>
      <sheetName val="Control for AD14"/>
      <sheetName val="KONSOL SUBS"/>
      <sheetName val="Print AR"/>
      <sheetName val="Consolidated Valuation"/>
      <sheetName val="P_L"/>
      <sheetName val="Apexindo"/>
      <sheetName val="CURRENCY C.O.A."/>
      <sheetName val="xtsCustAging.PrecisionDesign1"/>
      <sheetName val="bs FLUX"/>
      <sheetName val="PL FLUX"/>
      <sheetName val="UNFOREX"/>
      <sheetName val="DL &amp; FOH"/>
      <sheetName val="SUAD "/>
      <sheetName val="bs_FLUX"/>
      <sheetName val="PL_FLUX"/>
      <sheetName val="WP_CF"/>
      <sheetName val="DL_&amp;_FOH"/>
      <sheetName val="SUAD_"/>
      <sheetName val="Main comptn"/>
      <sheetName val="Detailed P&amp;L"/>
      <sheetName val="Sch 1-Underwriting P&amp;L"/>
      <sheetName val="Sch1A-Pre Acs"/>
      <sheetName val="Sch1B-Claims Acs"/>
      <sheetName val="Sch2-Com Allow Exp"/>
      <sheetName val="Sch3-All of Com Exp"/>
      <sheetName val="Sch4-Net Invest Inc"/>
      <sheetName val="Sch4A-Tax Invest Inc"/>
      <sheetName val="Sch5-Int fr FD&amp;CA"/>
      <sheetName val="Sch6-Int fr Gov Secur"/>
      <sheetName val="Sch7-Int Bonds"/>
      <sheetName val="Sch8A-Div Inc"/>
      <sheetName val="Sch9-Write Back of Prov"/>
      <sheetName val="Sch10-Gain&amp;Loss on Invest"/>
      <sheetName val="Sch11-Mgmt Exp"/>
      <sheetName val="Sch12-Exc Gain&amp;Loss"/>
      <sheetName val="Sch13&amp;14"/>
      <sheetName val="Sch15 TO 17"/>
      <sheetName val="Sch18-Bad debts wo"/>
      <sheetName val="Sch 19A-offshore bad debts"/>
      <sheetName val="Sch19B-Onshore bad debts"/>
      <sheetName val="Sch20-Prov for d debts"/>
      <sheetName val="Sch 21-Add to FA"/>
      <sheetName val="Sch 22-Add to FA (SEC 24)"/>
      <sheetName val="Sch22-Disp of FA"/>
      <sheetName val="Sch23-Comptn of BA&amp;BC"/>
      <sheetName val="Sch24-W&amp;T"/>
      <sheetName val="Sch25-Expt-Sec 13B"/>
      <sheetName val="Sch 26-Expt Sec 13E"/>
      <sheetName val="SAP Cash Mgt"/>
      <sheetName val="Pivot Interest and Principle"/>
      <sheetName val="Principle and Interest"/>
      <sheetName val="TRANSLATION PROCESS"/>
      <sheetName val="Equity reconcilation "/>
      <sheetName val="API Equity -Historical"/>
      <sheetName val="502000"/>
      <sheetName val="511000"/>
      <sheetName val="521000"/>
      <sheetName val="521100"/>
      <sheetName val="522000"/>
      <sheetName val="431000GL"/>
      <sheetName val="431000"/>
      <sheetName val="424100"/>
      <sheetName val="351000"/>
      <sheetName val="343200"/>
      <sheetName val="343200 apendix"/>
      <sheetName val="343000new"/>
      <sheetName val="343000"/>
      <sheetName val="342100"/>
      <sheetName val="gl 342050"/>
      <sheetName val="342050"/>
      <sheetName val="333000"/>
      <sheetName val="326500"/>
      <sheetName val="326400"/>
      <sheetName val="326100"/>
      <sheetName val="325000"/>
      <sheetName val="VAT 324900&amp;145900"/>
      <sheetName val="313000"/>
      <sheetName val="241000"/>
      <sheetName val="169000"/>
      <sheetName val="167000"/>
      <sheetName val="166000"/>
      <sheetName val="163900"/>
      <sheetName val="163000"/>
      <sheetName val="162000"/>
      <sheetName val="147100"/>
      <sheetName val="145900"/>
      <sheetName val="143100"/>
      <sheetName val="125000"/>
      <sheetName val="123100"/>
      <sheetName val="101000"/>
      <sheetName val="IRT(Q)"/>
      <sheetName val="iwt"/>
      <sheetName val="XLS Avg Rev"/>
      <sheetName val="_REF"/>
      <sheetName val="RM Analysis (per value)2005"/>
      <sheetName val="RM Analysis (per value)2004"/>
      <sheetName val="Sch 1"/>
      <sheetName val="Sch 2"/>
      <sheetName val="gm before VSDE"/>
      <sheetName val="Sch 3"/>
      <sheetName val="Sch 4 (TL 0)"/>
      <sheetName val="Sch 4 (TL 1)"/>
      <sheetName val="Sch 4 (TL 2)"/>
      <sheetName val="fc -5% lv"/>
      <sheetName val="fc -5% bud"/>
      <sheetName val="Sch 5"/>
      <sheetName val="Supp 5.1"/>
      <sheetName val="Sch 6"/>
      <sheetName val="Supp 6.1"/>
      <sheetName val="RM Price Analysis"/>
      <sheetName val="Sch 4 (TL 0)-OLD"/>
      <sheetName val="Sch 4 (TL 1)-OLD"/>
      <sheetName val="Sch 4 (TL 2)-OLD"/>
      <sheetName val="Sch 4 (TL 3)-OLD"/>
      <sheetName val="RM Price Increase"/>
      <sheetName val="ASP Analysis"/>
      <sheetName val="RM Analysis"/>
      <sheetName val="GM Analysis"/>
      <sheetName val="Price vs Cost Incr Analysis"/>
      <sheetName val="rm-pack"/>
      <sheetName val="sales qtr"/>
      <sheetName val="sls summary qtr"/>
      <sheetName val=" deco "/>
      <sheetName val=" technical"/>
      <sheetName val="expenses 2004"/>
      <sheetName val="deco exp analysis"/>
      <sheetName val="Important Notes"/>
      <sheetName val="DC"/>
      <sheetName val="DC-ASE"/>
      <sheetName val="Hal Wajib"/>
      <sheetName val="Journal Code"/>
      <sheetName val="Advance A-Z"/>
      <sheetName val="DC Account"/>
      <sheetName val="Cash Advance"/>
      <sheetName val="FE-1771$.P1(E)"/>
      <sheetName val="FE-1771$.P2(E)"/>
      <sheetName val="FE-1771-I$(E)"/>
      <sheetName val="FE-1771-II$(E)"/>
      <sheetName val="FE-1771-III$(E)"/>
      <sheetName val="FI-1771-IV$"/>
      <sheetName val="FE-1771-IV(E)"/>
      <sheetName val="FI-1771-V$"/>
      <sheetName val="FE-1771-V(E)"/>
      <sheetName val="FI-1771-VI$"/>
      <sheetName val="FE-1771-VI$(E)"/>
      <sheetName val="UK MGMT FEES"/>
      <sheetName val="uk allocation"/>
      <sheetName val="INVOICES"/>
      <sheetName val="misc inv"/>
      <sheetName val="CAI"/>
      <sheetName val="uk cr memo"/>
      <sheetName val="AUS"/>
      <sheetName val="JAPAN"/>
      <sheetName val="CAN SOL"/>
      <sheetName val="CANADA"/>
      <sheetName val="Can Mgmt Alloc"/>
      <sheetName val="data_benefit(1)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output2"/>
      <sheetName val="schedule_restate"/>
      <sheetName val="disc_e"/>
      <sheetName val="disc_i"/>
      <sheetName val="input_report"/>
      <sheetName val="report_A"/>
      <sheetName val="Provision summary"/>
      <sheetName val="CREDIT GRANTED BI 3"/>
      <sheetName val="CREDIT GRANTED BI 4"/>
      <sheetName val="CREDIT GRANTED BI 5"/>
      <sheetName val="Depreciation (2)"/>
      <sheetName val="Asset 98"/>
      <sheetName val="Entetr-Eng"/>
      <sheetName val="Entetr-Ind"/>
      <sheetName val="Loss"/>
      <sheetName val="Entetr-01 (2)"/>
      <sheetName val="Prov from client"/>
      <sheetName val="Prov from client (2)"/>
      <sheetName val="sblm edit rb"/>
      <sheetName val="for e01"/>
      <sheetName val="members"/>
      <sheetName val="TANPA RB"/>
      <sheetName val="E23"/>
      <sheetName val="E22"/>
      <sheetName val="E21"/>
      <sheetName val="E20"/>
      <sheetName val="E19"/>
      <sheetName val="E18"/>
      <sheetName val="E17"/>
      <sheetName val="E16"/>
      <sheetName val="E27"/>
      <sheetName val="E26"/>
      <sheetName val="E25"/>
      <sheetName val="E24"/>
      <sheetName val="E30"/>
      <sheetName val="E29"/>
      <sheetName val="E28"/>
      <sheetName val="E32"/>
      <sheetName val="E31"/>
      <sheetName val="E34"/>
      <sheetName val="E33"/>
      <sheetName val="E39"/>
      <sheetName val="E38"/>
      <sheetName val="E37"/>
      <sheetName val="E36"/>
      <sheetName val="E35"/>
      <sheetName val="E41"/>
      <sheetName val="E40"/>
      <sheetName val="E48"/>
      <sheetName val="E47"/>
      <sheetName val="E46"/>
      <sheetName val="E45"/>
      <sheetName val="E44"/>
      <sheetName val="E43"/>
      <sheetName val="E42"/>
      <sheetName val="Other Exp "/>
      <sheetName val="Classification Rev Prov Bonus"/>
      <sheetName val="Classification of prov bonus"/>
      <sheetName val="P&amp;L FCT 8.1"/>
      <sheetName val="BS FCT 8.1"/>
      <sheetName val="Bal.Sheet"/>
      <sheetName val="P &amp; L Report"/>
      <sheetName val="Exp.detail"/>
      <sheetName val="A&amp;G"/>
      <sheetName val="AR AI"/>
      <sheetName val="Bank Chg"/>
      <sheetName val="Interest Exp"/>
      <sheetName val="Interest Income"/>
      <sheetName val="Forex Asset"/>
      <sheetName val="Oth Income"/>
      <sheetName val="Adj.Fixed Asset"/>
      <sheetName val="Exp.Log"/>
      <sheetName val="Summary Finding"/>
      <sheetName val="Summary SKP"/>
      <sheetName val="Tax Audit Status"/>
      <sheetName val="Tax Loss"/>
      <sheetName val="Summary TB"/>
      <sheetName val="KF 2003"/>
      <sheetName val="KF 2004"/>
      <sheetName val="KF 2005"/>
      <sheetName val="REC 2003"/>
      <sheetName val="REC 2004"/>
      <sheetName val="REC 2005"/>
      <sheetName val="COGS 2003"/>
      <sheetName val="COGS 2004"/>
      <sheetName val="COGS 2005"/>
      <sheetName val="REC 2006"/>
      <sheetName val="Movement ProvisionAccrued"/>
      <sheetName val="SE-46"/>
      <sheetName val="Note for Next engagement"/>
      <sheetName val="Rekonsiliasi RE BEg"/>
      <sheetName val="Analytical IBS Jkt "/>
      <sheetName val="Monetary assets"/>
      <sheetName val="LiabilitiesEquity"/>
      <sheetName val="Elimination2002"/>
      <sheetName val="Repleter"/>
      <sheetName val="C-Cash"/>
      <sheetName val="D-Short Term Investment"/>
      <sheetName val="F-InventoriesFeb03"/>
      <sheetName val="F-Inventories"/>
      <sheetName val="G-Prepaid Expense"/>
      <sheetName val="I-Dueto ISM"/>
      <sheetName val="J - 3 Project Adv"/>
      <sheetName val="J-4 Def Loss"/>
      <sheetName val="K(incl elim)"/>
      <sheetName val="K-PPE1"/>
      <sheetName val="M-STL"/>
      <sheetName val="O-Fiscal"/>
      <sheetName val="P-Def Charges"/>
      <sheetName val="Q1-OUCL"/>
      <sheetName val="T-Shareholders"/>
      <sheetName val="Combine Jkt Sby"/>
      <sheetName val="U1-Sales"/>
      <sheetName val="U3-Opex"/>
      <sheetName val="U4-2 Interest expense"/>
      <sheetName val="V-Related Party Transactions"/>
      <sheetName val="X-Tax Return"/>
      <sheetName val="List HGB Jkt Sby"/>
      <sheetName val="Note for 2004 Engagement"/>
      <sheetName val="Standard Tickmark"/>
      <sheetName val="Analytical-Comb"/>
      <sheetName val="Analytical IBSJkt"/>
      <sheetName val="Cashflow-Jkt"/>
      <sheetName val="U-3 OPEX"/>
      <sheetName val="V-Related Party Trans"/>
      <sheetName val="Reclassification account2002"/>
      <sheetName val="Combine Jkt-Sby"/>
      <sheetName val="Naturenotes"/>
      <sheetName val="E-Receivables"/>
      <sheetName val="Subsequent AR"/>
      <sheetName val="AR Non-Trade"/>
      <sheetName val="F-Test Pricing"/>
      <sheetName val="G-PrepaidExp"/>
      <sheetName val="G-Prepaid Taxes"/>
      <sheetName val="J-ProjectAdv"/>
      <sheetName val="K-Pred"/>
      <sheetName val="N-Payables"/>
      <sheetName val="O-Tax payable PPh 21"/>
      <sheetName val="O-Tax payable PPh23,26"/>
      <sheetName val="Fiscal - DIT"/>
      <sheetName val="Q-OUCL"/>
      <sheetName val="T-Capstock"/>
      <sheetName val="Salescut"/>
      <sheetName val="U-1 SalesAnalytical"/>
      <sheetName val="Monthly-Sales"/>
      <sheetName val="Productivity"/>
      <sheetName val="U.2-Purchase"/>
      <sheetName val="Purcutoff"/>
      <sheetName val="OpexAnalytic"/>
      <sheetName val="X-Claim for Income Tax"/>
      <sheetName val="List HGB Jkt - Sby"/>
      <sheetName val="PM, TE  &amp; SAD"/>
      <sheetName val="Request Data"/>
      <sheetName val="Herlina"/>
      <sheetName val="Miscell-details"/>
      <sheetName val="Rent Inc"/>
      <sheetName val="Provision bank"/>
      <sheetName val="F-PricingTest"/>
      <sheetName val="G-Prepaid Tax"/>
      <sheetName val="I-Due from related"/>
      <sheetName val="K-PPE Vouch"/>
      <sheetName val="O-1 Tax Pay. art 21"/>
      <sheetName val="O-2 Tax Pay, 23&amp;26"/>
      <sheetName val="List Vouch"/>
      <sheetName val="U-5-Int Inc"/>
      <sheetName val="AR Subledger"/>
      <sheetName val="Sales+Tooling"/>
      <sheetName val="U-2 Puchase"/>
      <sheetName val="Rekon fiskal dgn klien"/>
      <sheetName val="Analy IBS-Jkt Dec05Oct05"/>
      <sheetName val="Analy-Combine (Des05-04)"/>
      <sheetName val="Cash-flow - Jakarta"/>
      <sheetName val="Analytical IBSJkt-Dec05-04"/>
      <sheetName val="Combine Jkt, Sby &amp; Mdn"/>
      <sheetName val="Recon RE Journal"/>
      <sheetName val="BS IBS"/>
      <sheetName val="PL IBS"/>
      <sheetName val="I-Due From RP"/>
      <sheetName val="Consolpack"/>
      <sheetName val="T-Cap-stock"/>
      <sheetName val="Analy-RM purchase"/>
      <sheetName val="E-Receivables combined"/>
      <sheetName val="F-Inventories combined"/>
      <sheetName val="Q1 - OUCL"/>
      <sheetName val="U-3&amp;4 Procedures"/>
      <sheetName val="Inventory Analysis"/>
      <sheetName val="Penjualan Bimoli"/>
      <sheetName val="Sales Cutoff - Export"/>
      <sheetName val="Sales Cutoff (Product) - Local "/>
      <sheetName val="Sales Cutoff (Customer)-Local "/>
      <sheetName val="Recap - Franco Sales IBS 2006"/>
      <sheetName val="IBSRC200606"/>
      <sheetName val="RC Jun 06 - Per Product"/>
      <sheetName val="RC Jun 06 - Per Customer"/>
      <sheetName val="Reversal Journal RC 2005"/>
      <sheetName val="Journal RC 2006"/>
      <sheetName val="Flow RC - PBC Client"/>
      <sheetName val="RC IBS 2005 JK01-Customer"/>
      <sheetName val="RC IBS - SB04 Product"/>
      <sheetName val="IBSCN2006"/>
      <sheetName val="Barang Titipan to RP"/>
      <sheetName val="Tukar Barang"/>
      <sheetName val="Sales Packaging"/>
      <sheetName val="Gross profit analysis"/>
      <sheetName val="Point to Do - Dec'06"/>
      <sheetName val="Analytical IBSSby"/>
      <sheetName val="PAJE-Dec 31, 2006"/>
      <sheetName val="PAJE-Oct 31, 2006"/>
      <sheetName val="PRJE-Oct 31, 2006"/>
      <sheetName val="PRJE-Dec 31, 2006"/>
      <sheetName val="CARJE-Dec 31, 2006"/>
      <sheetName val="Reconciliastion RE beg"/>
      <sheetName val="A - Building"/>
      <sheetName val="B - Non Building"/>
      <sheetName val="B (FA fiscal - sold)"/>
      <sheetName val="Laba rugi fiscal"/>
      <sheetName val="Laba rugi komersial"/>
      <sheetName val="RUCC - FA from SOG"/>
      <sheetName val="Reasonable Test audit"/>
      <sheetName val="FA Mutation audited"/>
      <sheetName val="O7.1 - Penyusutan Fiskal 2006"/>
      <sheetName val="FA fiskal truck"/>
      <sheetName val="Listing FA from SOG-PBC"/>
      <sheetName val="Assets Not used in operation"/>
      <sheetName val="Listing FA Truk"/>
      <sheetName val="Impairment Value"/>
      <sheetName val="Penyusutan Fiskal 2005"/>
      <sheetName val="Penyusutan Fiskal"/>
      <sheetName val="Gain(Loss)"/>
      <sheetName val="Listing FA BLW(ex SOG)"/>
      <sheetName val="Listing PRIOK(ex SOG)"/>
      <sheetName val="FA Commercial vs Fiscal"/>
      <sheetName val="Inventory Turnover - Jkt"/>
      <sheetName val="Inventory Turnover - Medan"/>
      <sheetName val="Idle - Cooking - Jkt"/>
      <sheetName val="Idle - Cooking - Sby"/>
      <sheetName val="Ref, Frac &amp; Marg - Idle-Jakarta"/>
      <sheetName val="Ref, Frac &amp; Marg - Idle-Mdn"/>
      <sheetName val="Ref, Frac &amp; Marg. Idle Cap - Sb"/>
      <sheetName val="Ref, Frac &amp; Marg - Idle-Medan"/>
      <sheetName val="Des'08"/>
      <sheetName val="Dismantling"/>
      <sheetName val="Discount Rate"/>
      <sheetName val="PM Calculation"/>
      <sheetName val="recon RE Beg"/>
      <sheetName val="Analytical Sby"/>
      <sheetName val="Analytical Jkt"/>
      <sheetName val="Analytical Combine"/>
      <sheetName val="Elimination(update)"/>
      <sheetName val="Provision for income tax"/>
      <sheetName val="Purchase RM"/>
      <sheetName val="recon plantation"/>
      <sheetName val="AP Turnover"/>
      <sheetName val="BS SIMP"/>
      <sheetName val="PL SIMP"/>
      <sheetName val="Notes-B"/>
      <sheetName val="K.1 - Mutasi FA"/>
      <sheetName val="K.2 - Pred-Depre"/>
      <sheetName val="K.3 - Construction In Progress"/>
      <sheetName val="K.3.2 - Project advances"/>
      <sheetName val="List of HGB"/>
      <sheetName val="PSAK 47 - Definisi"/>
      <sheetName val="J-project adv"/>
      <sheetName val="K.4-impairment issue - PSAK 48"/>
      <sheetName val="List HGB - JKT &amp; SBY (cek)"/>
      <sheetName val="Def Charges - HGB On HPL(cek)"/>
      <sheetName val="Sales Return to RP"/>
      <sheetName val="Elimination MBP"/>
      <sheetName val="C2H4"/>
      <sheetName val="REKAPSP"/>
      <sheetName val="summary komersial"/>
      <sheetName val="Elim June 30, 2006"/>
      <sheetName val="YTD June 30, 2006"/>
      <sheetName val="SFRS June06"/>
      <sheetName val="Restatement"/>
      <sheetName val="Other Income(Charges)"/>
      <sheetName val="2003 Cash Flow"/>
      <sheetName val="Before Elim"/>
      <sheetName val="New SIMP Cash Flow"/>
      <sheetName val="New SIMP"/>
      <sheetName val="PSAK 24 SIMP"/>
      <sheetName val="PSAK 24 SIMP rev"/>
      <sheetName val="PSAK 24 Bimoli"/>
      <sheetName val="summary ytd"/>
      <sheetName val="summary-cm"/>
      <sheetName val="diluar bangunan"/>
      <sheetName val="6&amp;7"/>
      <sheetName val="11&amp;12"/>
      <sheetName val="14&amp;15"/>
      <sheetName val="Rekon RE"/>
      <sheetName val="18&amp;19"/>
      <sheetName val="20&amp;21"/>
      <sheetName val="InvoiceList"/>
      <sheetName val="A201"/>
      <sheetName val="A601"/>
      <sheetName val="A602"/>
      <sheetName val="H101"/>
      <sheetName val="I102"/>
      <sheetName val="T101"/>
      <sheetName val="T201"/>
      <sheetName val="A6.100"/>
      <sheetName val="A801"/>
      <sheetName val="C101"/>
      <sheetName val="C202"/>
      <sheetName val="G101"/>
      <sheetName val="I201"/>
      <sheetName val="N101"/>
      <sheetName val="O101"/>
      <sheetName val="U101"/>
      <sheetName val="U201"/>
      <sheetName val="U301"/>
      <sheetName val="A6.4"/>
      <sheetName val="F4 "/>
      <sheetName val="F51"/>
      <sheetName val="H "/>
      <sheetName val="N "/>
      <sheetName val="P3.2"/>
      <sheetName val="U200"/>
      <sheetName val="U202"/>
      <sheetName val="U2.2a"/>
      <sheetName val="U2.3 "/>
      <sheetName val="U3 "/>
      <sheetName val="U400cutofp"/>
      <sheetName val="U401cutofs"/>
      <sheetName val="C101-Cash"/>
      <sheetName val="C201-cashbook review"/>
      <sheetName val="C301-bank recon review"/>
      <sheetName val="W &amp; T"/>
      <sheetName val="Draft bill"/>
      <sheetName val="CAF Index"/>
      <sheetName val="Audit Plan"/>
      <sheetName val="Risk Asses"/>
      <sheetName val="D1-MBB"/>
      <sheetName val="D2-ICB"/>
      <sheetName val="O2 - Cir1"/>
      <sheetName val="O2 - Cir2"/>
      <sheetName val="O2-3"/>
      <sheetName val="W3"/>
      <sheetName val="W4,5,6,8,9"/>
      <sheetName val="Y"/>
      <sheetName val="Y1-1"/>
      <sheetName val="Y1-2"/>
      <sheetName val="X8"/>
      <sheetName val="X9"/>
      <sheetName val="X10"/>
      <sheetName val="PAF &amp; CAF Index"/>
      <sheetName val="Sampling-AR"/>
      <sheetName val="TAX SCHEDULE"/>
      <sheetName val="APM"/>
      <sheetName val="Materiality &amp; Sampling"/>
      <sheetName val="ES Taxation"/>
      <sheetName val="TAXCOMP"/>
      <sheetName val="SCH 1-4"/>
      <sheetName val="SCH 5-6"/>
      <sheetName val="MISC SCH"/>
      <sheetName val="Open"/>
      <sheetName val="JA"/>
      <sheetName val="Fs (2)"/>
      <sheetName val="Gs (2)"/>
      <sheetName val="Js (2)"/>
      <sheetName val="Os (2)"/>
      <sheetName val="Qs (2)"/>
      <sheetName val="Final notes"/>
      <sheetName val="DPL"/>
      <sheetName val="Effect"/>
      <sheetName val="Q "/>
      <sheetName val="W6"/>
      <sheetName val="Sampling-TC"/>
      <sheetName val="Sampling-TD"/>
      <sheetName val="F (2)"/>
      <sheetName val="1.1"/>
      <sheetName val="G - Cir2"/>
      <sheetName val="N0"/>
      <sheetName val="G - Cir1"/>
      <sheetName val="O - Cir1"/>
      <sheetName val="O - Cir2"/>
      <sheetName val="Cap allw"/>
      <sheetName val="I1-1"/>
      <sheetName val="I1-2"/>
      <sheetName val="I2-1"/>
      <sheetName val="A2.4 RJE"/>
      <sheetName val="A3 Accounts Distri "/>
      <sheetName val="A6-1"/>
      <sheetName val="A6.2"/>
      <sheetName val="A6-3"/>
      <sheetName val="A6-4"/>
      <sheetName val="A7 memo"/>
      <sheetName val="C2-Cashbk"/>
      <sheetName val="C3-Bank rec"/>
      <sheetName val="E2 AR Aging"/>
      <sheetName val="E4-1"/>
      <sheetName val="EE memo"/>
      <sheetName val="M3-1"/>
      <sheetName val="MM memo"/>
      <sheetName val="NN Memo"/>
      <sheetName val="A2.1 AJE"/>
      <sheetName val="T1-FYI"/>
      <sheetName val="U memo"/>
      <sheetName val="Imemo"/>
      <sheetName val="I1-2 ARPS"/>
      <sheetName val="I2 Interco review"/>
      <sheetName val="I1 (2)"/>
      <sheetName val="Oo1"/>
      <sheetName val="Oo2"/>
      <sheetName val="ORC-AR"/>
      <sheetName val="ORC-TB"/>
      <sheetName val="Disclosure P&amp;L"/>
      <sheetName val="Arthur1- JE"/>
      <sheetName val="Arthur2- opening bal"/>
      <sheetName val="ON"/>
      <sheetName val="Draft bill &amp; Audit Ticks"/>
      <sheetName val="Shldg history"/>
      <sheetName val=" Charges"/>
      <sheetName val="Perm Index"/>
      <sheetName val="Master Sch"/>
      <sheetName val="G-Cir"/>
      <sheetName val="G-Cir1"/>
      <sheetName val="G-Cir2"/>
      <sheetName val="O-Cir"/>
      <sheetName val="O-Cir1"/>
      <sheetName val="O-Cir2"/>
      <sheetName val="Qs1.4"/>
      <sheetName val="X,Y"/>
      <sheetName val="A6.401"/>
      <sheetName val="E300"/>
      <sheetName val="E301"/>
      <sheetName val="F501"/>
      <sheetName val="K300"/>
      <sheetName val="M100"/>
      <sheetName val="M400"/>
      <sheetName val="Scope"/>
      <sheetName val="A2.201 AJE"/>
      <sheetName val="A2.202. RJE"/>
      <sheetName val="A2.203 CLA"/>
      <sheetName val="A2.204 SAD"/>
      <sheetName val="A6.301"/>
      <sheetName val="B101"/>
      <sheetName val="B201"/>
      <sheetName val="E101"/>
      <sheetName val="E201"/>
      <sheetName val="EE101"/>
      <sheetName val="K101"/>
      <sheetName val="K201"/>
      <sheetName val="K301"/>
      <sheetName val="K401"/>
      <sheetName val="M101"/>
      <sheetName val="M301"/>
      <sheetName val="M302"/>
      <sheetName val="MM100"/>
      <sheetName val="N201"/>
      <sheetName val="N301"/>
      <sheetName val="S101"/>
      <sheetName val="S201"/>
      <sheetName val="TTmemo"/>
      <sheetName val="O101 (revised)"/>
      <sheetName val="E401"/>
      <sheetName val="E402"/>
      <sheetName val="E403"/>
      <sheetName val="Prepayment1"/>
      <sheetName val="G201 Prepayment"/>
      <sheetName val="G301 GST"/>
      <sheetName val="G401 Rental Deposit"/>
      <sheetName val="G501 Deposit"/>
      <sheetName val="F-1(KL)"/>
      <sheetName val="F-2(KL)"/>
      <sheetName val="F-3(KL)"/>
      <sheetName val="F-4(KL)"/>
      <sheetName val="F-5(KL)"/>
      <sheetName val="F-22(KL)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P.CTN"/>
      <sheetName val="Total PL"/>
      <sheetName val="Company Info"/>
      <sheetName val="Summary of Fixed Assets"/>
      <sheetName val="Hire Purchase"/>
      <sheetName val="Controlled Transfer"/>
      <sheetName val="CA Comp"/>
      <sheetName val="IBA Comp "/>
      <sheetName val="14 Column"/>
      <sheetName val="7 Column"/>
      <sheetName val="Index 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Consol adjustments"/>
      <sheetName val="Financial stats"/>
      <sheetName val="Segment - 2002 (new)"/>
      <sheetName val="Segment - 2002"/>
      <sheetName val="Changes in equity"/>
      <sheetName val="Inter-co"/>
      <sheetName val="Inter-co(subsidiary)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BPR-PL "/>
      <sheetName val="BPR-BS"/>
      <sheetName val="F-1,2"/>
      <sheetName val="F-99"/>
      <sheetName val="M MM "/>
      <sheetName val="U dis"/>
      <sheetName val="BB-17"/>
      <sheetName val="FIN297"/>
      <sheetName val="FF-4(a)"/>
      <sheetName val="10,20"/>
      <sheetName val="Bank Rec review"/>
      <sheetName val="auditor"/>
      <sheetName val="F-2 (2)"/>
      <sheetName val="CF-IS"/>
      <sheetName val="CF-SCE"/>
      <sheetName val="DIVIDENDS"/>
      <sheetName val="Statement of Equity"/>
      <sheetName val="F-7B"/>
      <sheetName val="B-1."/>
      <sheetName val="30(old)"/>
      <sheetName val="F-8-20-1"/>
      <sheetName val="OSM"/>
      <sheetName val="AWPs Template"/>
      <sheetName val="A2-1 CLA"/>
      <sheetName val="A2-2 RJE"/>
      <sheetName val="A2-3 SAD"/>
      <sheetName val="Review Recon"/>
      <sheetName val="Review Cash book"/>
      <sheetName val="E3 Recoverability"/>
      <sheetName val="E-1_Recoverability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Unrecorded"/>
      <sheetName val="O-1_Prov.Tax-2004"/>
      <sheetName val="Capital allowance"/>
      <sheetName val="P2A"/>
      <sheetName val="P2B"/>
      <sheetName val="P3A"/>
      <sheetName val="P3B"/>
      <sheetName val="P3C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U-disc"/>
      <sheetName val="BB-5"/>
      <sheetName val="20 30"/>
      <sheetName val="70 "/>
      <sheetName val="MCMD95"/>
      <sheetName val="A2l2"/>
      <sheetName val="OS list"/>
      <sheetName val="A3l1"/>
      <sheetName val="A3l1-1"/>
      <sheetName val="A2l1-RJE"/>
      <sheetName val="A2l2-CLA"/>
      <sheetName val="A2l3-SAD"/>
      <sheetName val="EA"/>
      <sheetName val="EC"/>
      <sheetName val="E1l1"/>
      <sheetName val="K3l1"/>
      <sheetName val="N8"/>
      <sheetName val="N9"/>
      <sheetName val="O2-CA"/>
      <sheetName val="O3-Disposal"/>
      <sheetName val="P1l2"/>
      <sheetName val="R1-Sch I"/>
      <sheetName val="R2-Sch IIa"/>
      <sheetName val="R3-Sch IIb"/>
      <sheetName val="R4-Sch III"/>
      <sheetName val="R5-NQA04"/>
      <sheetName val="R6-NQA03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Provision DD"/>
      <sheetName val="A8-2"/>
      <sheetName val="A8-5"/>
      <sheetName val="Form EYP 1"/>
      <sheetName val="FS - 1"/>
      <sheetName val="FS - 2"/>
      <sheetName val="FS - 3"/>
      <sheetName val="C2 FD"/>
      <sheetName val="G2-1 "/>
      <sheetName val="K1-2 Policy"/>
      <sheetName val="N7Accrual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M, MM"/>
      <sheetName val=" BB-2"/>
      <sheetName val="CC-3-1"/>
      <sheetName val="PP-2"/>
      <sheetName val="RCD 5- (APPENDIX 1)"/>
      <sheetName val="VA101 COS"/>
      <sheetName val="VA102 Review of COS exp"/>
      <sheetName val="VC101"/>
      <sheetName val="VC102 Bonus reasonableness"/>
      <sheetName val="VD101"/>
      <sheetName val="VD102 Review of admin exp"/>
      <sheetName val="VE101"/>
      <sheetName val="Datastream"/>
      <sheetName val="AA Hanson"/>
      <sheetName val="Base data Bidder"/>
      <sheetName val="AA Heidelberg"/>
      <sheetName val="Base data Target"/>
      <sheetName val="Base data Target CALENDAR"/>
      <sheetName val="TH slide1"/>
      <sheetName val="TH slide2"/>
      <sheetName val="TH slide3"/>
      <sheetName val="TH slide4"/>
      <sheetName val="Synergies"/>
      <sheetName val="Market data"/>
      <sheetName val="P&amp;L1"/>
      <sheetName val="P&amp;L2"/>
      <sheetName val="P&amp;L3"/>
      <sheetName val="P&amp;L overview"/>
      <sheetName val="Proforma BS"/>
      <sheetName val="Forecasts"/>
      <sheetName val="Impacts"/>
      <sheetName val="PresOffer"/>
      <sheetName val="PresImpacts"/>
      <sheetName val="Dialog5"/>
      <sheetName val="PresMerger1"/>
      <sheetName val="PresMerger2"/>
      <sheetName val="Graph contribution analysis"/>
      <sheetName val="Standard page"/>
      <sheetName val="Guidelines"/>
      <sheetName val="Rights issue"/>
      <sheetName val="OLD"/>
      <sheetName val="JUNI10"/>
      <sheetName val="JobDetails"/>
      <sheetName val="05_2003-compute"/>
      <sheetName val="O1 radit"/>
      <sheetName val="O2 radit"/>
      <sheetName val="SarullaFinancing"/>
      <sheetName val="AdvProj_MGS"/>
      <sheetName val="AdvProj_MPI"/>
      <sheetName val="AdvProjMPI_6Nov"/>
      <sheetName val="PPN_6Nov"/>
      <sheetName val="Cash Out Proj"/>
      <sheetName val="Sarulla 2008 Budget_USD_REV"/>
      <sheetName val="Sarulla 2008 Budget_IDR_REV"/>
      <sheetName val="Sarulla 2008 BudgetApprovedORI"/>
      <sheetName val="Sarulla 2008 BudgetORI"/>
      <sheetName val="WO_Budget"/>
      <sheetName val="PWT_Budget"/>
      <sheetName val="For LetterDetailApprv"/>
      <sheetName val="For LEtterSumm"/>
      <sheetName val="Travelling detail"/>
      <sheetName val="Kewajiban Lainnya"/>
      <sheetName val="N-2-1_rollforward"/>
      <sheetName val="N-2-1_final"/>
      <sheetName val="G-030 PAS 19"/>
      <sheetName val="(c) Lapsing of pension"/>
      <sheetName val="TOR PAS19 Discount rate"/>
      <sheetName val="N-2-2"/>
      <sheetName val="SUMM_CURR_YR"/>
      <sheetName val="TB_SUMM"/>
      <sheetName val="LY"/>
      <sheetName val="LY2"/>
      <sheetName val="BS_asset"/>
      <sheetName val="BS_Liabilities"/>
      <sheetName val="General_1d"/>
      <sheetName val="3 Cash and Bank"/>
      <sheetName val="4 Invest Jngk Pdk"/>
      <sheetName val="5 Acc Reiv"/>
      <sheetName val="6 Inventories"/>
      <sheetName val="7 Advance"/>
      <sheetName val="8 Prepaid Exp"/>
      <sheetName val="9 Advance Puchased Fixed Asset"/>
      <sheetName val="10 Fixed asset"/>
      <sheetName val="10 Fixed Asset 2"/>
      <sheetName val="11 Asset derivative"/>
      <sheetName val="14 Payable"/>
      <sheetName val="15 Other payable"/>
      <sheetName val="17 accrued exp"/>
      <sheetName val="18 Long term bank loan"/>
      <sheetName val="18 Long Term bank_2"/>
      <sheetName val="19 Obligation under leases"/>
      <sheetName val="21 Equity"/>
      <sheetName val="22 addtional paid-in capital"/>
      <sheetName val="23 Tresury stock"/>
      <sheetName val="24 Operating Revenue"/>
      <sheetName val="25 Operting and Maintenance exp"/>
      <sheetName val="26 General &amp; Adm exp"/>
      <sheetName val="27 Personal Exp"/>
      <sheetName val="28 Sales &amp; Marketing exp"/>
      <sheetName val="29 Other income (exp)"/>
      <sheetName val="30 Prepaid tax_a"/>
      <sheetName val="30 Estim claim f tax refund_b"/>
      <sheetName val="30 tax payable_c"/>
      <sheetName val="30 Current Tax_d"/>
      <sheetName val="30 deferred tax_e"/>
      <sheetName val="30 Tax assesment letter_f"/>
      <sheetName val="31 trans with Rlated Party"/>
      <sheetName val="31 trans with Rlated Party 2"/>
      <sheetName val="32 Employee benefit obligation"/>
      <sheetName val="33 Monetary ast&amp;lia forgn curr"/>
      <sheetName val="34 Financial Instrusmnt_1"/>
      <sheetName val="34 Financial Instrmnt_2"/>
      <sheetName val="35 Earning per share"/>
      <sheetName val="36 telecom tariff"/>
      <sheetName val="37 Interconnection"/>
      <sheetName val="44 Reclassification of accounts"/>
      <sheetName val="J-4 (2)"/>
      <sheetName val="Control_Vendor"/>
      <sheetName val="BS-deftax (ITA)"/>
      <sheetName val="PROGRAM "/>
      <sheetName val="JIS-01SUM"/>
      <sheetName val="JIS-01"/>
      <sheetName val="TRAINSUM"/>
      <sheetName val="JIS-01DATA"/>
      <sheetName val="USD Months"/>
      <sheetName val="notes_non restated "/>
      <sheetName val="Adj - WB"/>
      <sheetName val="Adj - Trading"/>
      <sheetName val="Adj - HOLDING"/>
      <sheetName val="DITeh"/>
      <sheetName val="Fiscal - PCO"/>
      <sheetName val="invest 2002"/>
      <sheetName val="invest 2003"/>
      <sheetName val="invest adj"/>
      <sheetName val="gue"/>
      <sheetName val="FA Holding"/>
      <sheetName val="idCF"/>
      <sheetName val="GAAP"/>
      <sheetName val="dda"/>
      <sheetName val="dda-1"/>
      <sheetName val="IJV-ARJE"/>
      <sheetName val="fa-1"/>
      <sheetName val="T-Acct"/>
      <sheetName val="WS-des"/>
      <sheetName val="DDA-1205"/>
      <sheetName val="OG PROPERTY-1205"/>
      <sheetName val="AJE-EJE-1205"/>
      <sheetName val="T-Acc-IJV-ARJE-1205"/>
      <sheetName val="IJV-ARJE-1205"/>
      <sheetName val="IJV-GAAP-1205"/>
      <sheetName val="USTAX-1205"/>
      <sheetName val="DTAL-BS-1205"/>
      <sheetName val="DTAL-IS-1205"/>
      <sheetName val="deftax PL"/>
      <sheetName val="REKONFISKAL-1205"/>
      <sheetName val="RPM COST"/>
      <sheetName val="PACKREQ"/>
      <sheetName val="MATREQ CHEESE"/>
      <sheetName val="MATREQ-VISCOUS"/>
      <sheetName val="RECEIPTS"/>
      <sheetName val="PENDING PO &amp; LC"/>
      <sheetName val="RM2 as of feb 04"/>
      <sheetName val="REtail Vol"/>
      <sheetName val="FS vol"/>
      <sheetName val="New sku"/>
      <sheetName val="Existing"/>
      <sheetName val="VAR ANALYSIS"/>
      <sheetName val="TPP"/>
      <sheetName val="Rule"/>
      <sheetName val="Pay"/>
      <sheetName val="Slip"/>
      <sheetName val="Sum (3)"/>
      <sheetName val="E. Lead Schedule"/>
      <sheetName val="E.1 AR-Trade"/>
      <sheetName val="E.2 CRAM"/>
      <sheetName val="E.2 Sub'q. Coll."/>
      <sheetName val="G. Lead Schedule (2)"/>
      <sheetName val="G. Lead Schedule"/>
      <sheetName val="G.1 Deposit"/>
      <sheetName val="G.2 Dep. to MQD"/>
      <sheetName val="G.3 Prepaid Rent-Nov."/>
      <sheetName val="G.3.1 Prepaid Rent - Dec."/>
      <sheetName val="Prepaid Rent-Dec."/>
      <sheetName val="G.4 Adv. to Suppliers"/>
      <sheetName val="Adv. to Supp.-Dec."/>
      <sheetName val="G.6 Prepaid Expenses-Nov"/>
      <sheetName val="G.6.1 Prepaid Exp. Dec."/>
      <sheetName val="G.6.1 Prepaid-Exp.-Dec."/>
      <sheetName val="G.7 Prepaid Tax"/>
      <sheetName val="Pretax-Dec."/>
      <sheetName val="Dep. to MQD-Dec."/>
      <sheetName val="Deposit - Dec."/>
      <sheetName val="E1. AR-Trade"/>
      <sheetName val="Debtors_Rollforward_Details"/>
      <sheetName val="E1. AR-Trade (2)"/>
      <sheetName val="E1. AR-Trade (3)"/>
      <sheetName val="E2. Export Sub'qt"/>
      <sheetName val="E3. Local Sub'qt"/>
      <sheetName val="E4. Export Samples"/>
      <sheetName val="E5. Local Samples"/>
      <sheetName val="E.6 Polyester"/>
      <sheetName val="E.7  OPM"/>
      <sheetName val="E.7  OPM (2)"/>
      <sheetName val="E.6 Polyester (3)"/>
      <sheetName val="E.8 Net Sales (Amount)"/>
      <sheetName val="E.9 Sales (Quantity)"/>
      <sheetName val="STOCKHAM TAX DATA_RAW"/>
      <sheetName val="AJE-CAJE"/>
      <sheetName val="Employee Loan"/>
      <sheetName val="Non Opex"/>
      <sheetName val="Mapping COGS opex"/>
      <sheetName val="RE  Recon"/>
      <sheetName val="TB_31Dec09"/>
      <sheetName val="TB_31Oct09"/>
      <sheetName val="TB_31Aug09"/>
      <sheetName val="TB_SAP07"/>
      <sheetName val="TB_31Dec06"/>
      <sheetName val="Detail IS 07"/>
      <sheetName val="Detail FOH 06"/>
      <sheetName val="Mapping Opex 06"/>
      <sheetName val="Sales Deduction"/>
      <sheetName val="GL Sales"/>
      <sheetName val="GL COGS"/>
      <sheetName val="COGS Reval"/>
      <sheetName val="COGS Reval Summ"/>
      <sheetName val="Be4 Adj"/>
      <sheetName val="After Adj"/>
      <sheetName val="GL2"/>
      <sheetName val="INK"/>
      <sheetName val="B4 Adjustment"/>
      <sheetName val="Units_of_Measure"/>
      <sheetName val="C3 RM Detail"/>
      <sheetName val="C3 FG Detail"/>
      <sheetName val="RM &amp; Slow"/>
      <sheetName val="STO Report"/>
      <sheetName val="FG Obsolete"/>
      <sheetName val="RM Exception"/>
      <sheetName val="RM Plate"/>
      <sheetName val="SC Sum"/>
      <sheetName val="Summary Individual Juli"/>
      <sheetName val="Summary Individual"/>
      <sheetName val="Pivod Juli"/>
      <sheetName val="Adj IA"/>
      <sheetName val="A1.1 Memo"/>
      <sheetName val="A1.1.1"/>
      <sheetName val="A1.1.2"/>
      <sheetName val="A1.1.3"/>
      <sheetName val="A.1.1.8"/>
      <sheetName val="A1.2 Memo"/>
      <sheetName val="A1.2.1"/>
      <sheetName val="A1.2.2"/>
      <sheetName val="A1.2.3"/>
      <sheetName val="A1.2.7"/>
      <sheetName val="A1.2.8"/>
      <sheetName val="A1.2.9"/>
      <sheetName val="A1.2.10"/>
      <sheetName val="A.1.2.11"/>
      <sheetName val="A1.2.15"/>
      <sheetName val="A1.2.16"/>
      <sheetName val="A12.17"/>
      <sheetName val="A1.2.18"/>
      <sheetName val="A1.2.19"/>
      <sheetName val="A1.2.20"/>
      <sheetName val="A1.2.21"/>
      <sheetName val="A1.2.22"/>
      <sheetName val="A1.2.23"/>
      <sheetName val="A1.2.24"/>
      <sheetName val="A1.2.25"/>
      <sheetName val="A1.2.26"/>
      <sheetName val="A1.2.27"/>
      <sheetName val="A1.2.28"/>
      <sheetName val="A1.2.29"/>
      <sheetName val="A1.2.30"/>
      <sheetName val="A1.2.31"/>
      <sheetName val="A1.2.32"/>
      <sheetName val="A1.2.33"/>
      <sheetName val="T2.1.34"/>
      <sheetName val="T1.2.35"/>
      <sheetName val="A2.1.36"/>
      <sheetName val="A1.2.37"/>
      <sheetName val="A1.2.38"/>
      <sheetName val="A1.2.39"/>
      <sheetName val="A1.2.42"/>
      <sheetName val="A1.2.43"/>
      <sheetName val="A1.2.44"/>
      <sheetName val="A1.2.45"/>
      <sheetName val="A1.2.46"/>
      <sheetName val="A1.2.47"/>
      <sheetName val="A1.2.48"/>
      <sheetName val="A1.2.49"/>
      <sheetName val="A.1.2.50"/>
      <sheetName val="A.1.2.51"/>
      <sheetName val="List Prd tp 240"/>
      <sheetName val="Umum khusus"/>
      <sheetName val="Draf Kontrol"/>
      <sheetName val="SL vs SL"/>
      <sheetName val="All Jurnal Details"/>
      <sheetName val="All Jurnal Summary"/>
      <sheetName val="CRSF"/>
      <sheetName val="Rekon SL CRSF"/>
      <sheetName val="List Sp Debitur"/>
      <sheetName val="Deb Details"/>
      <sheetName val="Dep All Details"/>
      <sheetName val="Form Adj per Fasilitas"/>
      <sheetName val="Reklas ADJ"/>
      <sheetName val="List COA"/>
      <sheetName val="Master Prod Type"/>
      <sheetName val="PPAWD_Bank"/>
      <sheetName val="Summary Konsol_loan"/>
      <sheetName val="10.a Report_JP"/>
      <sheetName val="10.b Sector ekonomi"/>
      <sheetName val="Summmary Kap"/>
      <sheetName val="Restru&amp;Property_pub"/>
      <sheetName val="Kredit Restru_pub"/>
      <sheetName val="KUK_Kol_pub"/>
      <sheetName val="KUK_Pub"/>
      <sheetName val="KYD_koreksi"/>
      <sheetName val="Terkait_fm061208"/>
      <sheetName val="Restru"/>
      <sheetName val="10.e Kredit bermasalah"/>
      <sheetName val="Kredit Restrukturisasi"/>
      <sheetName val="Report PPAP telah dibentuk"/>
      <sheetName val="10f. pembiayaan syariah"/>
      <sheetName val="10.i Report Terkait"/>
      <sheetName val="10.k Kredit restru_2008"/>
      <sheetName val="38.Nama pihak terkait"/>
      <sheetName val="Report PPAP Syriah_Bank"/>
      <sheetName val="Olahan_2"/>
      <sheetName val="Debitur Restrukturisasi_CIB"/>
      <sheetName val="Loan downgraded"/>
      <sheetName val="PPAP telah dibentuk"/>
      <sheetName val="Olahan_JP"/>
      <sheetName val="Olahan_syariah"/>
      <sheetName val="Terkait_update"/>
      <sheetName val="BPI_JP"/>
      <sheetName val="BPI_sector economi"/>
      <sheetName val="BPI_LBU"/>
      <sheetName val="BPI_rincian klient"/>
      <sheetName val="Simulasi Pemisahan BPI"/>
      <sheetName val="Movement PPAP (2)"/>
      <sheetName val="PPAP _Bank RP"/>
      <sheetName val="PPAP_ VLS"/>
      <sheetName val="Movement PPAP"/>
      <sheetName val="PPAP_P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cf"/>
      <sheetName val="A5l1"/>
      <sheetName val="(U3-2) Realised forex loss"/>
      <sheetName val="(U3) Unrealised forex gain-loss"/>
      <sheetName val="(U3-1) Realised forex gain"/>
      <sheetName val="U3-1"/>
      <sheetName val="BPR - Conclusion"/>
      <sheetName val="F-1l2"/>
      <sheetName val="F-8(FSA)"/>
      <sheetName val="F-9b"/>
      <sheetName val="F-9c"/>
      <sheetName val="F-21"/>
      <sheetName val="RCD-1-1"/>
      <sheetName val="C-6a"/>
      <sheetName val="M MM"/>
      <sheetName val="Pnl-10"/>
      <sheetName val="10-2"/>
      <sheetName val="CF workings"/>
      <sheetName val="Pg7"/>
      <sheetName val="Turnover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A6-1l1"/>
      <sheetName val="A6-1l2"/>
      <sheetName val="A3-1"/>
      <sheetName val="A3-3"/>
      <sheetName val="A3-7"/>
      <sheetName val="E "/>
      <sheetName val="F "/>
      <sheetName val="K-1 "/>
      <sheetName val="31072001"/>
      <sheetName val="31082001"/>
      <sheetName val="30092001"/>
      <sheetName val="31102001"/>
      <sheetName val="30112001"/>
      <sheetName val="A8 PM"/>
      <sheetName val="AP110 (supp)"/>
      <sheetName val="Reminder-IR"/>
      <sheetName val="G-50 -1-IR"/>
      <sheetName val="G-50 -2-IR"/>
      <sheetName val="UB-20-IR"/>
      <sheetName val="UB-21-IR"/>
      <sheetName val="RCD -401-IR"/>
      <sheetName val="RCD-402-IR"/>
      <sheetName val="Materiality-IR"/>
      <sheetName val="Cashflow-IR"/>
      <sheetName val="BPR balance sheet-IR"/>
      <sheetName val="BPR profit &amp; loss-IR"/>
      <sheetName val="BPR BS analysis-IR"/>
      <sheetName val="BPR PL analysis-IR"/>
      <sheetName val="B-1-IR"/>
      <sheetName val="BB-1-IR"/>
      <sheetName val="A8-IR"/>
      <sheetName val="F-4-IR"/>
      <sheetName val="OSM-Prefinal"/>
      <sheetName val="OSM-Feb05"/>
      <sheetName val="B7|1"/>
      <sheetName val="B7|2"/>
      <sheetName val="B10|1"/>
      <sheetName val="B10|2"/>
      <sheetName val="B11|1"/>
      <sheetName val="B11|2"/>
      <sheetName val="A3-2"/>
      <sheetName val="F-8(na)"/>
      <sheetName val="E-6|1"/>
      <sheetName val="E - APS Debt"/>
      <sheetName val="I-1|1"/>
      <sheetName val="N (IR)"/>
      <sheetName val="N-Note"/>
      <sheetName val="Sum-Proll"/>
      <sheetName val="&lt;F&gt;"/>
      <sheetName val="WHT"/>
      <sheetName val="BBA"/>
      <sheetName val="Words"/>
      <sheetName val="HP-03"/>
      <sheetName val="bond 2"/>
      <sheetName val="bond"/>
      <sheetName val="Stks"/>
      <sheetName val="Aircft"/>
      <sheetName val="FA_Rec"/>
      <sheetName val="SCH B"/>
      <sheetName val="SCH 4 - 7"/>
      <sheetName val="AP110(SUP)"/>
      <sheetName val="APP110"/>
      <sheetName val="APP(4)"/>
      <sheetName val="RCD(2)"/>
      <sheetName val="APP(3)"/>
      <sheetName val="C-50"/>
      <sheetName val="C-51"/>
      <sheetName val="L-100"/>
      <sheetName val="APP-2"/>
      <sheetName val="BB-100"/>
      <sheetName val="CC-20"/>
      <sheetName val="CC-21"/>
      <sheetName val="FF-1b"/>
      <sheetName val="kk-20"/>
      <sheetName val="PP "/>
      <sheetName val="PP-10"/>
      <sheetName val="APP(5)"/>
      <sheetName val="***00"/>
      <sheetName val="TAworkings"/>
      <sheetName val="CF-7"/>
      <sheetName val="interbal"/>
      <sheetName val="segmental"/>
      <sheetName val="NTA"/>
      <sheetName val="seg-turnover"/>
      <sheetName val="dato-turnover"/>
      <sheetName val="dato-pbt"/>
      <sheetName val="Assoc_byco"/>
      <sheetName val="highlights"/>
      <sheetName val="consolpl"/>
      <sheetName val="GKTJV"/>
      <sheetName val="protover"/>
      <sheetName val="GESB"/>
      <sheetName val="GMMJV"/>
      <sheetName val="protoMP"/>
      <sheetName val="presegmental"/>
      <sheetName val="Proof of Associate"/>
      <sheetName val="BPR1"/>
      <sheetName val="BPR2"/>
      <sheetName val="OS 1(FOR CLIENT DISTRIBUTION)"/>
      <sheetName val="A3-1-1"/>
      <sheetName val="A3-1-2"/>
      <sheetName val="A3-1-3"/>
      <sheetName val="A2 - 5"/>
      <sheetName val="A2 - 6"/>
      <sheetName val="Inter- Company Reconciliation"/>
      <sheetName val="Outstanding Matters (2)"/>
      <sheetName val="A2 - 5 (2)"/>
      <sheetName val="A8-6 (1)"/>
      <sheetName val="A8-2(1)"/>
      <sheetName val="A3-1-4"/>
      <sheetName val="A3 - 3"/>
      <sheetName val="A3 - 4"/>
      <sheetName val="10-3"/>
      <sheetName val="BPR summary"/>
      <sheetName val="os client"/>
      <sheetName val="RCD 300"/>
      <sheetName val="FEM(NA)"/>
      <sheetName val="Matters for discussion(NA)"/>
      <sheetName val="FEM APPENDIX 1"/>
      <sheetName val="FEM APPENDIX 2"/>
      <sheetName val="F-1&amp;2 adj"/>
      <sheetName val="F-3 adj"/>
      <sheetName val="10-20"/>
      <sheetName val="F-9-1"/>
      <sheetName val="F-9 SS"/>
      <sheetName val="F-14"/>
      <sheetName val="M|MM"/>
      <sheetName val="U Disclosure"/>
      <sheetName val="U-8"/>
      <sheetName val="U-9"/>
      <sheetName val="U-7"/>
      <sheetName val="DD-5"/>
      <sheetName val="FF-1 Tax Comp"/>
      <sheetName val="FF-2 DT"/>
      <sheetName val="FF-3 CA"/>
      <sheetName val="FF-4 Proof"/>
      <sheetName val="FF-6 (2)"/>
      <sheetName val="30-4"/>
      <sheetName val="FSA-Bloom"/>
      <sheetName val="F -4"/>
      <sheetName val="F-25"/>
      <sheetName val="J-70"/>
      <sheetName val="M|MM "/>
      <sheetName val="U-Dis"/>
      <sheetName val="BB-3"/>
      <sheetName val="BB - 7"/>
      <sheetName val="FF - 6"/>
      <sheetName val="AF-Notes"/>
      <sheetName val="Adm97"/>
      <sheetName val="A2|1"/>
      <sheetName val="A3|1"/>
      <sheetName val="F3|1"/>
      <sheetName val="K1-K9"/>
      <sheetName val="P&amp;L-Co"/>
      <sheetName val="P&amp;L-Gr"/>
      <sheetName val="ConF-1"/>
      <sheetName val="ConF-2"/>
      <sheetName val="ConF-3"/>
      <sheetName val="CPAJE"/>
      <sheetName val="WRK"/>
      <sheetName val="A-MEMO"/>
      <sheetName val="U-Gr"/>
      <sheetName val="U-Sh"/>
      <sheetName val="U-ShG"/>
      <sheetName val="U-Aril"/>
      <sheetName val="U-Gen"/>
      <sheetName val="U-Fam"/>
      <sheetName val="OS "/>
      <sheetName val="G-4-2"/>
      <sheetName val="J-71"/>
      <sheetName val="J-72"/>
      <sheetName val="J-73"/>
      <sheetName val="F-8 (FSL)"/>
      <sheetName val="F-8 (MASB)-Recon"/>
      <sheetName val="G-35"/>
      <sheetName val="G-35-1"/>
      <sheetName val="G-35-2"/>
      <sheetName val="G-35-3"/>
      <sheetName val="Std Tickmarks"/>
      <sheetName val="AP (110)"/>
      <sheetName val="F-1|2"/>
      <sheetName val="Udisc"/>
      <sheetName val="FSA (Attach)"/>
      <sheetName val="BPR."/>
      <sheetName val="UTB"/>
      <sheetName val="BIS LIST-C1 21 (2)"/>
      <sheetName val="BIS LIST-C1 20 (2)"/>
      <sheetName val="BIS LIST-C2 18"/>
      <sheetName val="BIS LIST-C2 19"/>
      <sheetName val="BIS LIST-C2 20"/>
      <sheetName val="BIS LIST-C2 21"/>
      <sheetName val="BIS LIST-NTH 18"/>
      <sheetName val="BIS LIST-NTH 19"/>
      <sheetName val="BIS LIST-NTH 20"/>
      <sheetName val="BIS LIST-NTH 21"/>
      <sheetName val="BIS LIST-NTH 19 (2)"/>
      <sheetName val="BIS LIST-NTH 18 (2)"/>
      <sheetName val="BIS LIST-STH 20 (2)"/>
      <sheetName val="BIS LIST-STH 21 (2)"/>
      <sheetName val="BIS LIST-C1 18 (2)"/>
      <sheetName val="BIS LIST-C1 19 (2)"/>
      <sheetName val="BIS LIST-C1 19 (3)"/>
      <sheetName val="BIS LIST-EC 18 (2)"/>
      <sheetName val="BIS LIST-EC 19 (2)"/>
      <sheetName val="BIS LIST-STH 18 (2)"/>
      <sheetName val="BIS LIST-EC 20 (2)"/>
      <sheetName val="BIS LIST-EC 21 (2)"/>
      <sheetName val="GVF"/>
      <sheetName val=" IB-PL-GROUP"/>
      <sheetName val=" IB-PL-YTD VS BGT"/>
      <sheetName val="DCA"/>
      <sheetName val="GFS"/>
      <sheetName val=" IB-PL-MONTH"/>
      <sheetName val=" IB-PL-YTD"/>
      <sheetName val="IBBS"/>
      <sheetName val="inter-co Calculation"/>
      <sheetName val=" IB-PL-4CAST"/>
      <sheetName val="IBBS-4CAST"/>
      <sheetName val="GOPEX"/>
      <sheetName val="GMVF "/>
      <sheetName val="CONSOLFULL"/>
      <sheetName val="inter-co full"/>
      <sheetName val="ITSB"/>
      <sheetName val="ADTRANTZ"/>
      <sheetName val="SPSSB"/>
      <sheetName val="GCF"/>
      <sheetName val="CF BY CO"/>
      <sheetName val="GCF BY CO"/>
      <sheetName val=" IB-PL-YTD IND"/>
      <sheetName val="271101"/>
      <sheetName val="281101"/>
      <sheetName val="A3-1&amp;2"/>
      <sheetName val="A3-5"/>
      <sheetName val="A3-71"/>
      <sheetName val="A20"/>
      <sheetName val="K Disclosure"/>
      <sheetName val="U10&amp;20"/>
      <sheetName val="U10-1"/>
      <sheetName val="U30"/>
      <sheetName val="U30-1"/>
      <sheetName val="MV of 2001"/>
      <sheetName val="MV of 2002"/>
      <sheetName val="MV of 2003"/>
      <sheetName val="A3-7A"/>
      <sheetName val="BPR (2)"/>
      <sheetName val="F-1 (2)"/>
      <sheetName val="payroll - to insert 20.11.01"/>
      <sheetName val="4th cos"/>
      <sheetName val="F_Stock Lead Schedule "/>
      <sheetName val="F1_Purchased FG"/>
      <sheetName val="F1 _1Purchased FG "/>
      <sheetName val="F2_1_Purchased FG"/>
      <sheetName val="F1_Manufactured FG &amp; GIP"/>
      <sheetName val="F3_1Raw Material  "/>
      <sheetName val="F1_1Manufactured FG &amp; GIP"/>
      <sheetName val="F1-1 Double Entries"/>
      <sheetName val="F1_2_Direct Labour Cost"/>
      <sheetName val="F1_3_Production Overhead"/>
      <sheetName val="F1_4_Energy Cost"/>
      <sheetName val="F3_Raw Material"/>
      <sheetName val="F3_2Prov for Raw Mat stock loss"/>
      <sheetName val="F4_Packing Material"/>
      <sheetName val="F4_1 Packing Material"/>
      <sheetName val="F5_ Good In Transit"/>
      <sheetName val="F5-1_GIT Purchased FG"/>
      <sheetName val="F5-2_GIT Raw Material"/>
      <sheetName val="F6_Engineering , A&amp; Promotion"/>
      <sheetName val="F7-1_Sales CUt-Off"/>
      <sheetName val="F8-1_Purchase Cut Off"/>
      <sheetName val="F9-1_RawMat"/>
      <sheetName val="F9-2_PurchasedFinGoods"/>
      <sheetName val="F9-3_Prod FG &amp; GIP"/>
      <sheetName val="F9-3~1_Soiled"/>
      <sheetName val=" Diskonto Juli 31, 05"/>
      <sheetName val="Notes 6i"/>
      <sheetName val="Notes 6a"/>
      <sheetName val="Notes 6a.1"/>
      <sheetName val="Notes 6f"/>
      <sheetName val="Notes 6g"/>
      <sheetName val="Notes 6d"/>
      <sheetName val="Notes 6e"/>
      <sheetName val="Notes 6e 2004"/>
      <sheetName val="Notes 6.g.1 detail"/>
      <sheetName val="6.g.2"/>
      <sheetName val="Notes 6h"/>
      <sheetName val="6h. MatDetail 2004"/>
      <sheetName val="6h. MatDetail IDR"/>
      <sheetName val="6h Mat Detail Forex"/>
      <sheetName val="Mat Detail Checking"/>
      <sheetName val="Mat Detail Mauritius"/>
      <sheetName val="Mat Detail Mumbai"/>
      <sheetName val="MATPROF2"/>
      <sheetName val="QANTAS"/>
      <sheetName val="ISPI"/>
      <sheetName val="MADINA"/>
      <sheetName val="EE.5"/>
      <sheetName val="BSM"/>
      <sheetName val="PIM"/>
      <sheetName val="Coll.&amp;Coll."/>
      <sheetName val="AkPro"/>
      <sheetName val="AkPro-for BI Report "/>
      <sheetName val="On-BS"/>
      <sheetName val="On-BS for BI Report"/>
      <sheetName val="Of-BS"/>
      <sheetName val="Acceptance"/>
      <sheetName val="PROV.&amp;NPL"/>
      <sheetName val="PROV.&amp;NPL for BI Report"/>
      <sheetName val="CollByInd"/>
      <sheetName val="SUMMARY REKON"/>
      <sheetName val="Sum Object"/>
      <sheetName val="Rekon 01"/>
      <sheetName val="Rekon 02"/>
      <sheetName val="Rekon 03"/>
      <sheetName val="Rekon 04"/>
      <sheetName val="Rekon 05"/>
      <sheetName val="Rekon 06"/>
      <sheetName val="Rekon 07"/>
      <sheetName val="Rekon 08"/>
      <sheetName val="Rekon 09"/>
      <sheetName val="Rekon 10"/>
      <sheetName val="Rekon 11"/>
      <sheetName val="Rekon 12"/>
      <sheetName val="Sum.TaxObject"/>
      <sheetName val="TB NOV_DEC"/>
      <sheetName val="TB-LNK"/>
      <sheetName val="TB JUL_AUG"/>
      <sheetName val="TB OKT"/>
      <sheetName val="REKON JAMSOSTEK"/>
      <sheetName val="ID3"/>
      <sheetName val="Sum Salary Recon"/>
      <sheetName val="Depreciation-Ind"/>
      <sheetName val="Depreciation-Eng"/>
      <sheetName val="Disposal-after 95"/>
      <sheetName val="Disposal-before 1995"/>
      <sheetName val="Art. 21"/>
      <sheetName val="PO Database@3101"/>
      <sheetName val="VAt LN"/>
      <sheetName val="Wh 23"/>
      <sheetName val="Out ok"/>
      <sheetName val="Ar Others"/>
      <sheetName val="Othe Curr ok"/>
      <sheetName val="UA &amp; VA Memo"/>
      <sheetName val="UA &amp; VA Lead"/>
      <sheetName val="UA.1.A Rekon Billing&amp;GL"/>
      <sheetName val="UA.1.B Rekon Billing&amp;GL"/>
      <sheetName val="UA.2"/>
      <sheetName val="UA.2.1"/>
      <sheetName val="UA.3"/>
      <sheetName val="UA.4_Cut off Billing&amp;COB"/>
      <sheetName val="VA.1"/>
      <sheetName val="OSFX"/>
      <sheetName val="FX 004"/>
      <sheetName val="FX 007"/>
      <sheetName val="FX 017"/>
      <sheetName val="FX 020"/>
      <sheetName val="FX 035"/>
      <sheetName val="OSMM"/>
      <sheetName val="MM004"/>
      <sheetName val="MM017"/>
      <sheetName val="MM019"/>
      <sheetName val="MM024"/>
      <sheetName val="OSFI"/>
      <sheetName val="FI004"/>
      <sheetName val="FI005"/>
      <sheetName val="SPN 05"/>
      <sheetName val="REVERSE REPO"/>
      <sheetName val="OTC"/>
      <sheetName val="OTC 004"/>
      <sheetName val="OTC 007"/>
      <sheetName val="OTC 017"/>
      <sheetName val="OTC 020"/>
      <sheetName val="OTC 035"/>
      <sheetName val="MTMCDS 04-35"/>
      <sheetName val="MTMCDS 017-35"/>
      <sheetName val="CDS 04"/>
      <sheetName val="CDS 17"/>
      <sheetName val="BUMJ"/>
      <sheetName val="Demand"/>
      <sheetName val="Utilization"/>
      <sheetName val="Utlz (Act)"/>
      <sheetName val="Chart-L1"/>
      <sheetName val="Chart-L2"/>
      <sheetName val="Phil"/>
      <sheetName val="Mal"/>
      <sheetName val="Bru"/>
      <sheetName val="TH"/>
      <sheetName val="AU"/>
      <sheetName val="NZ"/>
      <sheetName val="TW"/>
      <sheetName val="NPD"/>
      <sheetName val="GESD"/>
      <sheetName val="EXCEPTION RPT"/>
      <sheetName val="BII-FORM"/>
      <sheetName val="BII-DETAIL"/>
      <sheetName val="ATJ-FORM"/>
      <sheetName val="ATJ-DETAIL"/>
      <sheetName val="KL-TR-08"/>
      <sheetName val="Sending record"/>
      <sheetName val="FS _2_"/>
      <sheetName val="id wp "/>
      <sheetName val="1771(1)"/>
      <sheetName val="1771-II_ 2"/>
      <sheetName val="FC2"/>
      <sheetName val="Adminitrative expense"/>
      <sheetName val="kkpangsuran25"/>
      <sheetName val="IS Summary (2)"/>
      <sheetName val="alasan"/>
      <sheetName val="listkorfis"/>
      <sheetName val="4.1"/>
      <sheetName val="Scenarios_Sensitivities"/>
      <sheetName val="Scenarios&amp;Sensitivities"/>
      <sheetName val="Option Input"/>
      <sheetName val="Coal flow"/>
      <sheetName val="Blending"/>
      <sheetName val="Control assumption"/>
      <sheetName val="Feed to slide"/>
      <sheetName val="Stage 1"/>
      <sheetName val="ledger02"/>
      <sheetName val="1771-II (2)"/>
      <sheetName val="angsuran 25"/>
      <sheetName val="IS Summary"/>
      <sheetName val="administrasi"/>
      <sheetName val="4.2"/>
      <sheetName val="induk1"/>
      <sheetName val="Ex.B"/>
      <sheetName val="objek_GL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Gm"/>
      <sheetName val="Gie"/>
      <sheetName val="Gp var"/>
      <sheetName val="Gp vardet"/>
      <sheetName val="GP"/>
      <sheetName val="Domestic claim(4a)"/>
      <sheetName val="NAV PLUS"/>
      <sheetName val="cek-nav-blok"/>
      <sheetName val="NAV-BLOCK"/>
      <sheetName val="Cek Nav-GR"/>
      <sheetName val="Cek Nav-SO"/>
      <sheetName val="Add-GR"/>
      <sheetName val="Add-SO"/>
      <sheetName val="Blocked"/>
      <sheetName val="GR"/>
      <sheetName val="Kecamatan"/>
      <sheetName val="Keterangan"/>
      <sheetName val="NSTD - RFF"/>
      <sheetName val="rekons"/>
      <sheetName val="int inc."/>
      <sheetName val="No Mbl"/>
      <sheetName val="ND-1"/>
      <sheetName val="ND-2"/>
      <sheetName val="AT (1)"/>
      <sheetName val="AT1"/>
      <sheetName val="AT3"/>
      <sheetName val="AT3-1"/>
      <sheetName val="AT4"/>
      <sheetName val="AT5"/>
      <sheetName val="AT6"/>
      <sheetName val="53040001"/>
      <sheetName val="53040002"/>
      <sheetName val="53040003"/>
      <sheetName val="53040004"/>
      <sheetName val="53040005,10"/>
      <sheetName val="53040006"/>
      <sheetName val="PPh23 (2)"/>
      <sheetName val="Rekons 21"/>
      <sheetName val="AT 04"/>
      <sheetName val="Komp rugi"/>
      <sheetName val="PPh Ps 25"/>
      <sheetName val="Positif Lainnya"/>
      <sheetName val="Negatif Lainnya"/>
      <sheetName val="Benchmark"/>
      <sheetName val="coding var cost"/>
      <sheetName val="coding fix cost BFC"/>
      <sheetName val="total cost check"/>
      <sheetName val="ABP2009"/>
      <sheetName val="Distribution"/>
      <sheetName val="P&amp;L Total"/>
      <sheetName val="Finance Total"/>
      <sheetName val="P&amp;L LFSA"/>
      <sheetName val="Finance LFSA"/>
      <sheetName val="Working cap 02"/>
      <sheetName val="Equity LFSA"/>
      <sheetName val="P&amp;L Indo"/>
      <sheetName val="Taxes 6%"/>
      <sheetName val="Finance Indo"/>
      <sheetName val="Equity Indo"/>
      <sheetName val="Tx de change"/>
      <sheetName val="Promotion"/>
      <sheetName val="Ventes"/>
      <sheetName val="CIF actuel"/>
      <sheetName val="PRU France"/>
      <sheetName val="Cout employes"/>
      <sheetName val="employes"/>
      <sheetName val="Depenses Euros-Dollars"/>
      <sheetName val="Couts locaux structure (Rp)"/>
      <sheetName val="Fin structure actuelle"/>
      <sheetName val="ACPN"/>
      <sheetName val="Informatique"/>
      <sheetName val="Rachats contrats"/>
      <sheetName val="Immo-vehi en cours"/>
      <sheetName val="Fixed assets en cours"/>
      <sheetName val="TRADE CREDITOR"/>
      <sheetName val="int co JN"/>
      <sheetName val="SalesAR JN"/>
      <sheetName val="AP JN"/>
      <sheetName val="GL Journal"/>
      <sheetName val="Standing JN"/>
      <sheetName val="stk val"/>
      <sheetName val="Amortitation"/>
      <sheetName val="T Balance"/>
      <sheetName val="Manuf"/>
      <sheetName val="pnl "/>
      <sheetName val="b sheet"/>
      <sheetName val="SGD Financials"/>
      <sheetName val="Bal Sheet Summary"/>
      <sheetName val="30 Jun 95"/>
      <sheetName val="30 Jun 96"/>
      <sheetName val="30 Jun 97"/>
      <sheetName val="30 Jun 98"/>
      <sheetName val="30 Jun 99"/>
      <sheetName val="30 Jun 2000"/>
      <sheetName val="30 Jun 2000 (after adj)"/>
      <sheetName val="TB - Jun 2000"/>
      <sheetName val="Ex. Rate"/>
      <sheetName val="FA Summary"/>
      <sheetName val="Building Imp"/>
      <sheetName val="F &amp; F"/>
      <sheetName val="Machinery &amp; Equipt"/>
      <sheetName val="EDP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 xml:space="preserve">GCM020004                     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/>
      <sheetData sheetId="33">
        <row r="2">
          <cell r="A2" t="str">
            <v xml:space="preserve">GCM020004                     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>
        <row r="4">
          <cell r="B4" t="str">
            <v xml:space="preserve">GCM020004                     </v>
          </cell>
        </row>
      </sheetData>
      <sheetData sheetId="42">
        <row r="1">
          <cell r="F1" t="str">
            <v>Prelim, Dec 31 '02</v>
          </cell>
        </row>
      </sheetData>
      <sheetData sheetId="43">
        <row r="1">
          <cell r="D1" t="str">
            <v>Date on :</v>
          </cell>
        </row>
      </sheetData>
      <sheetData sheetId="44">
        <row r="1">
          <cell r="A1">
            <v>255612</v>
          </cell>
        </row>
      </sheetData>
      <sheetData sheetId="45">
        <row r="1">
          <cell r="A1">
            <v>255612</v>
          </cell>
        </row>
      </sheetData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>
        <row r="2">
          <cell r="A2" t="str">
            <v xml:space="preserve">GCM020004                     </v>
          </cell>
        </row>
      </sheetData>
      <sheetData sheetId="60">
        <row r="2">
          <cell r="A2" t="str">
            <v xml:space="preserve">GCM020004                     </v>
          </cell>
        </row>
      </sheetData>
      <sheetData sheetId="61">
        <row r="1">
          <cell r="B1">
            <v>1</v>
          </cell>
        </row>
      </sheetData>
      <sheetData sheetId="62">
        <row r="2">
          <cell r="B2" t="str">
            <v>PT KOMATSU UNDERCARRIAGE INDONESIA</v>
          </cell>
        </row>
      </sheetData>
      <sheetData sheetId="63">
        <row r="6">
          <cell r="D6">
            <v>1052065650</v>
          </cell>
        </row>
      </sheetData>
      <sheetData sheetId="64">
        <row r="2">
          <cell r="A2" t="str">
            <v xml:space="preserve">GCM020004                     </v>
          </cell>
        </row>
      </sheetData>
      <sheetData sheetId="65">
        <row r="2">
          <cell r="A2" t="str">
            <v xml:space="preserve">GCM020004                     </v>
          </cell>
        </row>
      </sheetData>
      <sheetData sheetId="66"/>
      <sheetData sheetId="67">
        <row r="2">
          <cell r="A2" t="str">
            <v xml:space="preserve">GCM020004                     </v>
          </cell>
        </row>
      </sheetData>
      <sheetData sheetId="68">
        <row r="6">
          <cell r="D6">
            <v>1052065650</v>
          </cell>
        </row>
      </sheetData>
      <sheetData sheetId="69">
        <row r="2">
          <cell r="A2" t="str">
            <v xml:space="preserve">GCM020004                     </v>
          </cell>
        </row>
      </sheetData>
      <sheetData sheetId="70">
        <row r="2">
          <cell r="A2" t="str">
            <v xml:space="preserve">GCM020004                     </v>
          </cell>
        </row>
      </sheetData>
      <sheetData sheetId="71">
        <row r="4">
          <cell r="B4">
            <v>1013000</v>
          </cell>
        </row>
      </sheetData>
      <sheetData sheetId="72">
        <row r="4">
          <cell r="B4" t="str">
            <v xml:space="preserve">GCM020004                     </v>
          </cell>
        </row>
      </sheetData>
      <sheetData sheetId="73">
        <row r="1">
          <cell r="F1" t="str">
            <v>Prelim, Dec 31 '02</v>
          </cell>
        </row>
      </sheetData>
      <sheetData sheetId="74">
        <row r="1">
          <cell r="D1" t="str">
            <v>Date on :</v>
          </cell>
        </row>
      </sheetData>
      <sheetData sheetId="75">
        <row r="1">
          <cell r="A1">
            <v>255612</v>
          </cell>
        </row>
      </sheetData>
      <sheetData sheetId="76">
        <row r="1">
          <cell r="A1">
            <v>255612</v>
          </cell>
        </row>
      </sheetData>
      <sheetData sheetId="77">
        <row r="2">
          <cell r="A2" t="str">
            <v xml:space="preserve">GCM020004                     </v>
          </cell>
        </row>
      </sheetData>
      <sheetData sheetId="78">
        <row r="2">
          <cell r="A2" t="str">
            <v xml:space="preserve">GCM020004                     </v>
          </cell>
        </row>
      </sheetData>
      <sheetData sheetId="79">
        <row r="6">
          <cell r="D6">
            <v>1052065650</v>
          </cell>
        </row>
      </sheetData>
      <sheetData sheetId="80">
        <row r="2">
          <cell r="A2" t="str">
            <v xml:space="preserve">GCM020004                     </v>
          </cell>
        </row>
      </sheetData>
      <sheetData sheetId="81">
        <row r="6">
          <cell r="D6">
            <v>1052065650</v>
          </cell>
        </row>
      </sheetData>
      <sheetData sheetId="82">
        <row r="2">
          <cell r="B2" t="str">
            <v>Harga_Product</v>
          </cell>
        </row>
      </sheetData>
      <sheetData sheetId="83">
        <row r="1">
          <cell r="D1" t="str">
            <v>Date on :</v>
          </cell>
        </row>
      </sheetData>
      <sheetData sheetId="84">
        <row r="5">
          <cell r="A5">
            <v>1</v>
          </cell>
        </row>
      </sheetData>
      <sheetData sheetId="85">
        <row r="2">
          <cell r="A2" t="str">
            <v xml:space="preserve">GCM020004                     </v>
          </cell>
        </row>
      </sheetData>
      <sheetData sheetId="86">
        <row r="2">
          <cell r="B2">
            <v>101021</v>
          </cell>
        </row>
      </sheetData>
      <sheetData sheetId="87">
        <row r="6">
          <cell r="D6">
            <v>1052065650</v>
          </cell>
        </row>
      </sheetData>
      <sheetData sheetId="88" refreshError="1">
        <row r="1">
          <cell r="A1" t="str">
            <v>DAFTAR STOCK MATERIAL &amp; SPARE PART</v>
          </cell>
        </row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89">
        <row r="8">
          <cell r="A8" t="str">
            <v>1011-000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4">
          <cell r="A4" t="str">
            <v>00A0</v>
          </cell>
        </row>
      </sheetData>
      <sheetData sheetId="183" refreshError="1"/>
      <sheetData sheetId="184">
        <row r="6">
          <cell r="D6">
            <v>1052065650</v>
          </cell>
        </row>
      </sheetData>
      <sheetData sheetId="185">
        <row r="7">
          <cell r="A7">
            <v>1</v>
          </cell>
        </row>
      </sheetData>
      <sheetData sheetId="186">
        <row r="31">
          <cell r="N31">
            <v>906186608.62700033</v>
          </cell>
        </row>
      </sheetData>
      <sheetData sheetId="187">
        <row r="2">
          <cell r="A2" t="str">
            <v xml:space="preserve">GCM020004                     </v>
          </cell>
        </row>
      </sheetData>
      <sheetData sheetId="188">
        <row r="6">
          <cell r="D6">
            <v>1052065650</v>
          </cell>
        </row>
      </sheetData>
      <sheetData sheetId="189">
        <row r="491">
          <cell r="J491">
            <v>0</v>
          </cell>
        </row>
      </sheetData>
      <sheetData sheetId="190">
        <row r="4">
          <cell r="A4" t="str">
            <v>00A0</v>
          </cell>
        </row>
      </sheetData>
      <sheetData sheetId="191">
        <row r="1">
          <cell r="A1" t="str">
            <v>PT Samudera Shipping Services (PT SSS)</v>
          </cell>
        </row>
      </sheetData>
      <sheetData sheetId="192">
        <row r="22">
          <cell r="G22" t="str">
            <v>Credit Card #1</v>
          </cell>
        </row>
      </sheetData>
      <sheetData sheetId="193">
        <row r="8">
          <cell r="A8" t="str">
            <v>1011-000</v>
          </cell>
        </row>
      </sheetData>
      <sheetData sheetId="194">
        <row r="1">
          <cell r="D1" t="str">
            <v>Date on :</v>
          </cell>
        </row>
      </sheetData>
      <sheetData sheetId="195">
        <row r="31">
          <cell r="N31">
            <v>906186608.62700033</v>
          </cell>
        </row>
      </sheetData>
      <sheetData sheetId="196">
        <row r="6">
          <cell r="D6">
            <v>1052065650</v>
          </cell>
        </row>
      </sheetData>
      <sheetData sheetId="197">
        <row r="6">
          <cell r="D6">
            <v>1052065650</v>
          </cell>
        </row>
      </sheetData>
      <sheetData sheetId="198">
        <row r="6">
          <cell r="D6">
            <v>1052065650</v>
          </cell>
        </row>
      </sheetData>
      <sheetData sheetId="199">
        <row r="6">
          <cell r="D6">
            <v>1052065650</v>
          </cell>
        </row>
      </sheetData>
      <sheetData sheetId="200">
        <row r="6">
          <cell r="D6">
            <v>1052065650</v>
          </cell>
        </row>
      </sheetData>
      <sheetData sheetId="201"/>
      <sheetData sheetId="202">
        <row r="31">
          <cell r="N31">
            <v>906186608.62700033</v>
          </cell>
        </row>
      </sheetData>
      <sheetData sheetId="203">
        <row r="2">
          <cell r="A2" t="str">
            <v xml:space="preserve">GCM020004                     </v>
          </cell>
        </row>
      </sheetData>
      <sheetData sheetId="204">
        <row r="6">
          <cell r="D6">
            <v>1052065650</v>
          </cell>
        </row>
      </sheetData>
      <sheetData sheetId="205"/>
      <sheetData sheetId="206">
        <row r="8">
          <cell r="A8" t="str">
            <v>1011-000</v>
          </cell>
        </row>
      </sheetData>
      <sheetData sheetId="207">
        <row r="6">
          <cell r="D6">
            <v>1052065650</v>
          </cell>
        </row>
      </sheetData>
      <sheetData sheetId="208">
        <row r="6">
          <cell r="D6">
            <v>1052065650</v>
          </cell>
        </row>
      </sheetData>
      <sheetData sheetId="209">
        <row r="8">
          <cell r="A8" t="str">
            <v>1011-000</v>
          </cell>
        </row>
      </sheetData>
      <sheetData sheetId="210">
        <row r="1">
          <cell r="D1" t="str">
            <v>Date on :</v>
          </cell>
        </row>
      </sheetData>
      <sheetData sheetId="211">
        <row r="31">
          <cell r="N31">
            <v>906186608.62700033</v>
          </cell>
        </row>
      </sheetData>
      <sheetData sheetId="212">
        <row r="31">
          <cell r="N31">
            <v>906186608.62700033</v>
          </cell>
        </row>
      </sheetData>
      <sheetData sheetId="213">
        <row r="6">
          <cell r="D6">
            <v>1052065650</v>
          </cell>
        </row>
      </sheetData>
      <sheetData sheetId="214">
        <row r="6">
          <cell r="D6">
            <v>1052065650</v>
          </cell>
        </row>
      </sheetData>
      <sheetData sheetId="215"/>
      <sheetData sheetId="216">
        <row r="6">
          <cell r="D6">
            <v>1052065650</v>
          </cell>
        </row>
      </sheetData>
      <sheetData sheetId="217"/>
      <sheetData sheetId="218"/>
      <sheetData sheetId="219">
        <row r="767">
          <cell r="B767">
            <v>739</v>
          </cell>
        </row>
      </sheetData>
      <sheetData sheetId="220">
        <row r="6">
          <cell r="D6">
            <v>1052065650</v>
          </cell>
        </row>
      </sheetData>
      <sheetData sheetId="221">
        <row r="6">
          <cell r="D6">
            <v>1052065650</v>
          </cell>
        </row>
      </sheetData>
      <sheetData sheetId="222">
        <row r="31">
          <cell r="N31">
            <v>906186608.62700033</v>
          </cell>
        </row>
      </sheetData>
      <sheetData sheetId="223">
        <row r="8">
          <cell r="B8">
            <v>1</v>
          </cell>
        </row>
      </sheetData>
      <sheetData sheetId="224">
        <row r="23">
          <cell r="H23">
            <v>10175</v>
          </cell>
        </row>
      </sheetData>
      <sheetData sheetId="225">
        <row r="23">
          <cell r="H23">
            <v>10175</v>
          </cell>
        </row>
      </sheetData>
      <sheetData sheetId="226"/>
      <sheetData sheetId="227"/>
      <sheetData sheetId="228"/>
      <sheetData sheetId="229"/>
      <sheetData sheetId="230"/>
      <sheetData sheetId="231">
        <row r="31">
          <cell r="N31">
            <v>906186608.62700033</v>
          </cell>
        </row>
      </sheetData>
      <sheetData sheetId="232">
        <row r="2">
          <cell r="A2" t="str">
            <v xml:space="preserve">GCM020004                     </v>
          </cell>
        </row>
      </sheetData>
      <sheetData sheetId="233">
        <row r="6">
          <cell r="D6">
            <v>1052065650</v>
          </cell>
        </row>
      </sheetData>
      <sheetData sheetId="234">
        <row r="6">
          <cell r="D6">
            <v>1052065650</v>
          </cell>
        </row>
      </sheetData>
      <sheetData sheetId="235">
        <row r="2">
          <cell r="A2" t="str">
            <v xml:space="preserve">GCM020004                     </v>
          </cell>
        </row>
      </sheetData>
      <sheetData sheetId="236">
        <row r="6">
          <cell r="D6">
            <v>1052065650</v>
          </cell>
        </row>
      </sheetData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6">
          <cell r="D6">
            <v>1052065650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>
        <row r="2">
          <cell r="A2" t="str">
            <v xml:space="preserve">GCM020004                     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>
        <row r="6">
          <cell r="D6">
            <v>1052065650</v>
          </cell>
        </row>
      </sheetData>
      <sheetData sheetId="349"/>
      <sheetData sheetId="350">
        <row r="6">
          <cell r="D6">
            <v>1052065650</v>
          </cell>
        </row>
      </sheetData>
      <sheetData sheetId="351">
        <row r="6">
          <cell r="D6">
            <v>1052065650</v>
          </cell>
        </row>
      </sheetData>
      <sheetData sheetId="352">
        <row r="2">
          <cell r="A2" t="str">
            <v xml:space="preserve">GCM020004                     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>
        <row r="5">
          <cell r="B5" t="str">
            <v>MAKASSAR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 refreshError="1"/>
      <sheetData sheetId="489"/>
      <sheetData sheetId="490">
        <row r="6">
          <cell r="D6">
            <v>1052065650</v>
          </cell>
        </row>
      </sheetData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>
        <row r="2">
          <cell r="A2" t="str">
            <v xml:space="preserve">GCM020004                     </v>
          </cell>
        </row>
      </sheetData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1">
          <cell r="D1" t="str">
            <v>Date on :</v>
          </cell>
        </row>
      </sheetData>
      <sheetData sheetId="563"/>
      <sheetData sheetId="564">
        <row r="2">
          <cell r="A2" t="str">
            <v xml:space="preserve">GCM020004                     </v>
          </cell>
        </row>
      </sheetData>
      <sheetData sheetId="565">
        <row r="2">
          <cell r="A2" t="str">
            <v xml:space="preserve">GCM020004                     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>
        <row r="4">
          <cell r="O4">
            <v>37929</v>
          </cell>
        </row>
      </sheetData>
      <sheetData sheetId="723"/>
      <sheetData sheetId="724"/>
      <sheetData sheetId="725"/>
      <sheetData sheetId="726">
        <row r="2">
          <cell r="A2" t="str">
            <v xml:space="preserve">GCM020004                     </v>
          </cell>
        </row>
      </sheetData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>
        <row r="6">
          <cell r="D6">
            <v>1052065650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>
        <row r="2">
          <cell r="A2" t="str">
            <v xml:space="preserve">GCM020004                     </v>
          </cell>
        </row>
      </sheetData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>
        <row r="6">
          <cell r="D6">
            <v>1052065650</v>
          </cell>
        </row>
      </sheetData>
      <sheetData sheetId="1125"/>
      <sheetData sheetId="1126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>
        <row r="7">
          <cell r="B7">
            <v>8867</v>
          </cell>
        </row>
      </sheetData>
      <sheetData sheetId="1311">
        <row r="1">
          <cell r="D1" t="str">
            <v>Date on :</v>
          </cell>
        </row>
      </sheetData>
      <sheetData sheetId="1312">
        <row r="1">
          <cell r="D1">
            <v>1127</v>
          </cell>
        </row>
      </sheetData>
      <sheetData sheetId="1313">
        <row r="2">
          <cell r="AH2">
            <v>38</v>
          </cell>
        </row>
      </sheetData>
      <sheetData sheetId="1314">
        <row r="8">
          <cell r="A8" t="str">
            <v>1011-000</v>
          </cell>
        </row>
      </sheetData>
      <sheetData sheetId="1315">
        <row r="5">
          <cell r="B5" t="str">
            <v>IDR</v>
          </cell>
        </row>
      </sheetData>
      <sheetData sheetId="1316">
        <row r="8">
          <cell r="A8" t="str">
            <v>1011-000</v>
          </cell>
        </row>
      </sheetData>
      <sheetData sheetId="1317">
        <row r="5">
          <cell r="B5" t="str">
            <v>IDR</v>
          </cell>
        </row>
      </sheetData>
      <sheetData sheetId="1318">
        <row r="6">
          <cell r="D6">
            <v>1052065650</v>
          </cell>
        </row>
      </sheetData>
      <sheetData sheetId="1319">
        <row r="2">
          <cell r="A2" t="str">
            <v xml:space="preserve">GCM020004                     </v>
          </cell>
        </row>
      </sheetData>
      <sheetData sheetId="1320">
        <row r="6">
          <cell r="D6">
            <v>1052065650</v>
          </cell>
        </row>
      </sheetData>
      <sheetData sheetId="1321">
        <row r="6">
          <cell r="D6">
            <v>1052065650</v>
          </cell>
        </row>
      </sheetData>
      <sheetData sheetId="1322">
        <row r="6">
          <cell r="D6">
            <v>1052065650</v>
          </cell>
        </row>
      </sheetData>
      <sheetData sheetId="1323">
        <row r="2">
          <cell r="E2">
            <v>38559</v>
          </cell>
        </row>
      </sheetData>
      <sheetData sheetId="1324">
        <row r="6">
          <cell r="D6">
            <v>1052065650</v>
          </cell>
        </row>
      </sheetData>
      <sheetData sheetId="1325">
        <row r="6">
          <cell r="D6">
            <v>1052065650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>
        <row r="2">
          <cell r="A2" t="str">
            <v xml:space="preserve">GCM020004                     </v>
          </cell>
        </row>
      </sheetData>
      <sheetData sheetId="1331">
        <row r="2">
          <cell r="A2" t="str">
            <v xml:space="preserve">GCM020004                     </v>
          </cell>
        </row>
      </sheetData>
      <sheetData sheetId="1332" refreshError="1"/>
      <sheetData sheetId="1333" refreshError="1"/>
      <sheetData sheetId="1334">
        <row r="2">
          <cell r="A2" t="str">
            <v xml:space="preserve">GCM020004                     </v>
          </cell>
        </row>
      </sheetData>
      <sheetData sheetId="1335" refreshError="1"/>
      <sheetData sheetId="1336" refreshError="1"/>
      <sheetData sheetId="1337">
        <row r="1">
          <cell r="D1" t="str">
            <v>Date on :</v>
          </cell>
        </row>
      </sheetData>
      <sheetData sheetId="1338">
        <row r="6">
          <cell r="D6">
            <v>1052065650</v>
          </cell>
        </row>
      </sheetData>
      <sheetData sheetId="1339">
        <row r="6">
          <cell r="D6">
            <v>1052065650</v>
          </cell>
        </row>
      </sheetData>
      <sheetData sheetId="1340">
        <row r="2">
          <cell r="A2" t="str">
            <v xml:space="preserve">GCM020004                     </v>
          </cell>
        </row>
      </sheetData>
      <sheetData sheetId="1341">
        <row r="2">
          <cell r="A2" t="str">
            <v xml:space="preserve">GCM020004                     </v>
          </cell>
        </row>
      </sheetData>
      <sheetData sheetId="1342">
        <row r="2">
          <cell r="A2" t="str">
            <v xml:space="preserve">GCM020004                     </v>
          </cell>
        </row>
      </sheetData>
      <sheetData sheetId="1343">
        <row r="6">
          <cell r="D6">
            <v>1052065650</v>
          </cell>
        </row>
      </sheetData>
      <sheetData sheetId="1344">
        <row r="6">
          <cell r="D6">
            <v>1052065650</v>
          </cell>
        </row>
      </sheetData>
      <sheetData sheetId="1345">
        <row r="6">
          <cell r="D6">
            <v>1052065650</v>
          </cell>
        </row>
      </sheetData>
      <sheetData sheetId="1346">
        <row r="2">
          <cell r="A2" t="str">
            <v xml:space="preserve">GCM020004                     </v>
          </cell>
        </row>
      </sheetData>
      <sheetData sheetId="1347">
        <row r="2">
          <cell r="A2" t="str">
            <v xml:space="preserve">GCM020004                     </v>
          </cell>
        </row>
      </sheetData>
      <sheetData sheetId="1348">
        <row r="2">
          <cell r="A2" t="str">
            <v xml:space="preserve">GCM020004                     </v>
          </cell>
        </row>
      </sheetData>
      <sheetData sheetId="1349">
        <row r="2">
          <cell r="A2" t="str">
            <v xml:space="preserve">GCM020004                     </v>
          </cell>
        </row>
      </sheetData>
      <sheetData sheetId="1350">
        <row r="2">
          <cell r="A2" t="str">
            <v xml:space="preserve">GCM020004                     </v>
          </cell>
        </row>
      </sheetData>
      <sheetData sheetId="1351">
        <row r="2">
          <cell r="A2" t="str">
            <v xml:space="preserve">GCM020004                     </v>
          </cell>
        </row>
      </sheetData>
      <sheetData sheetId="1352">
        <row r="2">
          <cell r="A2" t="str">
            <v xml:space="preserve">GCM020004                     </v>
          </cell>
        </row>
      </sheetData>
      <sheetData sheetId="1353">
        <row r="6">
          <cell r="D6">
            <v>1052065650</v>
          </cell>
        </row>
      </sheetData>
      <sheetData sheetId="1354">
        <row r="6">
          <cell r="D6">
            <v>1052065650</v>
          </cell>
        </row>
      </sheetData>
      <sheetData sheetId="1355">
        <row r="1">
          <cell r="D1" t="str">
            <v>Date on :</v>
          </cell>
        </row>
      </sheetData>
      <sheetData sheetId="1356">
        <row r="4">
          <cell r="B4">
            <v>1013000</v>
          </cell>
        </row>
      </sheetData>
      <sheetData sheetId="1357">
        <row r="6">
          <cell r="D6">
            <v>1052065650</v>
          </cell>
        </row>
      </sheetData>
      <sheetData sheetId="1358">
        <row r="2">
          <cell r="A2" t="str">
            <v xml:space="preserve">GCM020004                     </v>
          </cell>
        </row>
      </sheetData>
      <sheetData sheetId="1359">
        <row r="2">
          <cell r="P2">
            <v>256603240</v>
          </cell>
        </row>
      </sheetData>
      <sheetData sheetId="1360">
        <row r="6">
          <cell r="D6">
            <v>1052065650</v>
          </cell>
        </row>
      </sheetData>
      <sheetData sheetId="1361">
        <row r="2">
          <cell r="A2" t="str">
            <v xml:space="preserve">GCM020004                     </v>
          </cell>
        </row>
      </sheetData>
      <sheetData sheetId="1362">
        <row r="2">
          <cell r="A2" t="str">
            <v xml:space="preserve">GCM020004                     </v>
          </cell>
        </row>
      </sheetData>
      <sheetData sheetId="1363">
        <row r="6">
          <cell r="D6">
            <v>1052065650</v>
          </cell>
        </row>
      </sheetData>
      <sheetData sheetId="1364">
        <row r="2">
          <cell r="A2" t="str">
            <v xml:space="preserve">GCM020004                     </v>
          </cell>
        </row>
      </sheetData>
      <sheetData sheetId="1365">
        <row r="6">
          <cell r="D6">
            <v>1052065650</v>
          </cell>
        </row>
      </sheetData>
      <sheetData sheetId="1366">
        <row r="2">
          <cell r="A2" t="str">
            <v xml:space="preserve">GCM020004                     </v>
          </cell>
        </row>
      </sheetData>
      <sheetData sheetId="1367">
        <row r="1">
          <cell r="D1" t="str">
            <v>Date on :</v>
          </cell>
        </row>
      </sheetData>
      <sheetData sheetId="1368">
        <row r="6">
          <cell r="D6">
            <v>1052065650</v>
          </cell>
        </row>
      </sheetData>
      <sheetData sheetId="1369">
        <row r="2">
          <cell r="A2" t="str">
            <v xml:space="preserve">GCM020004                     </v>
          </cell>
        </row>
      </sheetData>
      <sheetData sheetId="1370">
        <row r="6">
          <cell r="D6">
            <v>1052065650</v>
          </cell>
        </row>
      </sheetData>
      <sheetData sheetId="1371">
        <row r="6">
          <cell r="D6">
            <v>1052065650</v>
          </cell>
        </row>
      </sheetData>
      <sheetData sheetId="1372">
        <row r="2">
          <cell r="A2" t="str">
            <v xml:space="preserve">GCM020004                     </v>
          </cell>
        </row>
      </sheetData>
      <sheetData sheetId="1373">
        <row r="2">
          <cell r="A2" t="str">
            <v xml:space="preserve">GCM020004                     </v>
          </cell>
        </row>
      </sheetData>
      <sheetData sheetId="1374">
        <row r="2">
          <cell r="A2" t="str">
            <v xml:space="preserve">GCM020004                     </v>
          </cell>
        </row>
      </sheetData>
      <sheetData sheetId="1375">
        <row r="2">
          <cell r="A2" t="str">
            <v xml:space="preserve">GCM020004                     </v>
          </cell>
        </row>
      </sheetData>
      <sheetData sheetId="1376">
        <row r="2">
          <cell r="A2" t="str">
            <v xml:space="preserve">GCM020004                     </v>
          </cell>
        </row>
      </sheetData>
      <sheetData sheetId="1377">
        <row r="6">
          <cell r="D6">
            <v>1052065650</v>
          </cell>
        </row>
      </sheetData>
      <sheetData sheetId="1378">
        <row r="6">
          <cell r="D6">
            <v>1052065650</v>
          </cell>
        </row>
      </sheetData>
      <sheetData sheetId="1379">
        <row r="248">
          <cell r="F248">
            <v>1.1059322033898304</v>
          </cell>
        </row>
      </sheetData>
      <sheetData sheetId="1380">
        <row r="6">
          <cell r="D6">
            <v>1052065650</v>
          </cell>
        </row>
      </sheetData>
      <sheetData sheetId="1381">
        <row r="6">
          <cell r="D6">
            <v>1052065650</v>
          </cell>
        </row>
      </sheetData>
      <sheetData sheetId="1382">
        <row r="6">
          <cell r="D6">
            <v>1052065650</v>
          </cell>
        </row>
      </sheetData>
      <sheetData sheetId="1383">
        <row r="2">
          <cell r="A2" t="str">
            <v xml:space="preserve">GCM020004                     </v>
          </cell>
        </row>
      </sheetData>
      <sheetData sheetId="1384">
        <row r="2">
          <cell r="A2" t="str">
            <v xml:space="preserve">GCM020004                     </v>
          </cell>
        </row>
      </sheetData>
      <sheetData sheetId="1385">
        <row r="6">
          <cell r="D6">
            <v>1052065650</v>
          </cell>
        </row>
      </sheetData>
      <sheetData sheetId="1386">
        <row r="2">
          <cell r="A2" t="str">
            <v xml:space="preserve">GCM020004                     </v>
          </cell>
        </row>
      </sheetData>
      <sheetData sheetId="1387">
        <row r="6">
          <cell r="D6">
            <v>1052065650</v>
          </cell>
        </row>
      </sheetData>
      <sheetData sheetId="1388">
        <row r="2">
          <cell r="A2" t="str">
            <v xml:space="preserve">GCM020004                     </v>
          </cell>
        </row>
      </sheetData>
      <sheetData sheetId="1389">
        <row r="2">
          <cell r="A2" t="str">
            <v xml:space="preserve">GCM020004                     </v>
          </cell>
        </row>
      </sheetData>
      <sheetData sheetId="1390">
        <row r="23">
          <cell r="H23">
            <v>10175</v>
          </cell>
        </row>
      </sheetData>
      <sheetData sheetId="1391">
        <row r="23">
          <cell r="H23">
            <v>10175</v>
          </cell>
        </row>
      </sheetData>
      <sheetData sheetId="1392">
        <row r="1">
          <cell r="D1" t="str">
            <v>Date on :</v>
          </cell>
        </row>
      </sheetData>
      <sheetData sheetId="1393">
        <row r="6">
          <cell r="D6">
            <v>1052065650</v>
          </cell>
        </row>
      </sheetData>
      <sheetData sheetId="1394">
        <row r="2">
          <cell r="A2" t="str">
            <v xml:space="preserve">GCM020004                     </v>
          </cell>
        </row>
      </sheetData>
      <sheetData sheetId="1395">
        <row r="6">
          <cell r="D6">
            <v>1052065650</v>
          </cell>
        </row>
      </sheetData>
      <sheetData sheetId="1396">
        <row r="6">
          <cell r="D6">
            <v>1052065650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>
        <row r="2">
          <cell r="A2" t="str">
            <v xml:space="preserve">GCM020004                     </v>
          </cell>
        </row>
      </sheetData>
      <sheetData sheetId="1929">
        <row r="2">
          <cell r="A2" t="str">
            <v xml:space="preserve">GCM020004                     </v>
          </cell>
        </row>
      </sheetData>
      <sheetData sheetId="1930">
        <row r="2">
          <cell r="A2" t="str">
            <v xml:space="preserve">GCM020004                     </v>
          </cell>
        </row>
      </sheetData>
      <sheetData sheetId="1931">
        <row r="6">
          <cell r="D6">
            <v>1052065650</v>
          </cell>
        </row>
      </sheetData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>
        <row r="6">
          <cell r="D6">
            <v>1052065650</v>
          </cell>
        </row>
      </sheetData>
      <sheetData sheetId="1955">
        <row r="6">
          <cell r="D6">
            <v>1052065650</v>
          </cell>
        </row>
      </sheetData>
      <sheetData sheetId="1956">
        <row r="6">
          <cell r="D6">
            <v>1052065650</v>
          </cell>
        </row>
      </sheetData>
      <sheetData sheetId="1957">
        <row r="6">
          <cell r="D6">
            <v>1052065650</v>
          </cell>
        </row>
      </sheetData>
      <sheetData sheetId="1958">
        <row r="31">
          <cell r="N31">
            <v>906186608.62700033</v>
          </cell>
        </row>
      </sheetData>
      <sheetData sheetId="1959">
        <row r="6">
          <cell r="D6">
            <v>1052065650</v>
          </cell>
        </row>
      </sheetData>
      <sheetData sheetId="1960">
        <row r="6">
          <cell r="D6">
            <v>1052065650</v>
          </cell>
        </row>
      </sheetData>
      <sheetData sheetId="1961">
        <row r="2">
          <cell r="A2" t="str">
            <v xml:space="preserve">GCM020004                     </v>
          </cell>
        </row>
      </sheetData>
      <sheetData sheetId="1962">
        <row r="2">
          <cell r="A2" t="str">
            <v xml:space="preserve">GCM020004                     </v>
          </cell>
        </row>
      </sheetData>
      <sheetData sheetId="1963">
        <row r="2">
          <cell r="A2" t="str">
            <v xml:space="preserve">GCM020004                     </v>
          </cell>
        </row>
      </sheetData>
      <sheetData sheetId="1964">
        <row r="2">
          <cell r="A2" t="str">
            <v xml:space="preserve">GCM020004                     </v>
          </cell>
        </row>
      </sheetData>
      <sheetData sheetId="1965">
        <row r="2">
          <cell r="A2" t="str">
            <v xml:space="preserve">GCM020004                     </v>
          </cell>
        </row>
      </sheetData>
      <sheetData sheetId="1966">
        <row r="6">
          <cell r="D6">
            <v>1052065650</v>
          </cell>
        </row>
      </sheetData>
      <sheetData sheetId="1967">
        <row r="6">
          <cell r="D6">
            <v>1052065650</v>
          </cell>
        </row>
      </sheetData>
      <sheetData sheetId="1968">
        <row r="6">
          <cell r="D6">
            <v>1052065650</v>
          </cell>
        </row>
      </sheetData>
      <sheetData sheetId="1969">
        <row r="2">
          <cell r="A2" t="str">
            <v xml:space="preserve">GCM020004                     </v>
          </cell>
        </row>
      </sheetData>
      <sheetData sheetId="1970">
        <row r="2">
          <cell r="A2" t="str">
            <v xml:space="preserve">GCM020004                     </v>
          </cell>
        </row>
      </sheetData>
      <sheetData sheetId="1971">
        <row r="2">
          <cell r="A2" t="str">
            <v xml:space="preserve">GCM020004                     </v>
          </cell>
        </row>
      </sheetData>
      <sheetData sheetId="1972">
        <row r="6">
          <cell r="D6">
            <v>1052065650</v>
          </cell>
        </row>
      </sheetData>
      <sheetData sheetId="1973">
        <row r="6">
          <cell r="D6">
            <v>1052065650</v>
          </cell>
        </row>
      </sheetData>
      <sheetData sheetId="1974">
        <row r="6">
          <cell r="D6">
            <v>1052065650</v>
          </cell>
        </row>
      </sheetData>
      <sheetData sheetId="1975">
        <row r="6">
          <cell r="D6">
            <v>1052065650</v>
          </cell>
        </row>
      </sheetData>
      <sheetData sheetId="1976">
        <row r="6">
          <cell r="D6">
            <v>1052065650</v>
          </cell>
        </row>
      </sheetData>
      <sheetData sheetId="1977">
        <row r="6">
          <cell r="D6">
            <v>1052065650</v>
          </cell>
        </row>
      </sheetData>
      <sheetData sheetId="1978">
        <row r="6">
          <cell r="D6">
            <v>1052065650</v>
          </cell>
        </row>
      </sheetData>
      <sheetData sheetId="1979">
        <row r="6">
          <cell r="D6">
            <v>1052065650</v>
          </cell>
        </row>
      </sheetData>
      <sheetData sheetId="1980">
        <row r="6">
          <cell r="D6">
            <v>1052065650</v>
          </cell>
        </row>
      </sheetData>
      <sheetData sheetId="1981">
        <row r="6">
          <cell r="D6">
            <v>1052065650</v>
          </cell>
        </row>
      </sheetData>
      <sheetData sheetId="1982">
        <row r="2">
          <cell r="A2" t="str">
            <v xml:space="preserve">GCM020004                     </v>
          </cell>
        </row>
      </sheetData>
      <sheetData sheetId="1983">
        <row r="2">
          <cell r="A2" t="str">
            <v xml:space="preserve">GCM020004                     </v>
          </cell>
        </row>
      </sheetData>
      <sheetData sheetId="1984">
        <row r="2">
          <cell r="A2" t="str">
            <v xml:space="preserve">GCM020004                     </v>
          </cell>
        </row>
      </sheetData>
      <sheetData sheetId="1985">
        <row r="2">
          <cell r="A2" t="str">
            <v xml:space="preserve">GCM020004                     </v>
          </cell>
        </row>
      </sheetData>
      <sheetData sheetId="1986">
        <row r="2">
          <cell r="A2" t="str">
            <v xml:space="preserve">GCM020004                     </v>
          </cell>
        </row>
      </sheetData>
      <sheetData sheetId="1987">
        <row r="2">
          <cell r="A2" t="str">
            <v xml:space="preserve">GCM020004                     </v>
          </cell>
        </row>
      </sheetData>
      <sheetData sheetId="1988">
        <row r="2">
          <cell r="A2" t="str">
            <v xml:space="preserve">GCM020004                     </v>
          </cell>
        </row>
      </sheetData>
      <sheetData sheetId="1989">
        <row r="2">
          <cell r="A2" t="str">
            <v xml:space="preserve">GCM020004                     </v>
          </cell>
        </row>
      </sheetData>
      <sheetData sheetId="1990">
        <row r="2">
          <cell r="A2" t="str">
            <v xml:space="preserve">GCM020004                     </v>
          </cell>
        </row>
      </sheetData>
      <sheetData sheetId="1991">
        <row r="6">
          <cell r="D6">
            <v>1052065650</v>
          </cell>
        </row>
      </sheetData>
      <sheetData sheetId="1992">
        <row r="6">
          <cell r="D6">
            <v>1052065650</v>
          </cell>
        </row>
      </sheetData>
      <sheetData sheetId="1993">
        <row r="6">
          <cell r="D6">
            <v>1052065650</v>
          </cell>
        </row>
      </sheetData>
      <sheetData sheetId="1994">
        <row r="2">
          <cell r="A2" t="str">
            <v xml:space="preserve">GCM020004                     </v>
          </cell>
        </row>
      </sheetData>
      <sheetData sheetId="1995">
        <row r="6">
          <cell r="D6">
            <v>1052065650</v>
          </cell>
        </row>
      </sheetData>
      <sheetData sheetId="1996">
        <row r="6">
          <cell r="D6">
            <v>1052065650</v>
          </cell>
        </row>
      </sheetData>
      <sheetData sheetId="1997">
        <row r="6">
          <cell r="D6">
            <v>1052065650</v>
          </cell>
        </row>
      </sheetData>
      <sheetData sheetId="1998">
        <row r="6">
          <cell r="D6">
            <v>1052065650</v>
          </cell>
        </row>
      </sheetData>
      <sheetData sheetId="1999">
        <row r="6">
          <cell r="D6">
            <v>1052065650</v>
          </cell>
        </row>
      </sheetData>
      <sheetData sheetId="2000">
        <row r="6">
          <cell r="D6">
            <v>1052065650</v>
          </cell>
        </row>
      </sheetData>
      <sheetData sheetId="2001">
        <row r="6">
          <cell r="D6">
            <v>1052065650</v>
          </cell>
        </row>
      </sheetData>
      <sheetData sheetId="2002">
        <row r="2">
          <cell r="A2" t="str">
            <v xml:space="preserve">GCM020004                     </v>
          </cell>
        </row>
      </sheetData>
      <sheetData sheetId="2003">
        <row r="2">
          <cell r="A2" t="str">
            <v xml:space="preserve">GCM020004                     </v>
          </cell>
        </row>
      </sheetData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2">
          <cell r="A2" t="str">
            <v xml:space="preserve">GCM020004                     </v>
          </cell>
        </row>
      </sheetData>
      <sheetData sheetId="2010" refreshError="1"/>
      <sheetData sheetId="2011">
        <row r="2">
          <cell r="A2" t="str">
            <v xml:space="preserve">GCM020004                     </v>
          </cell>
        </row>
      </sheetData>
      <sheetData sheetId="2012" refreshError="1"/>
      <sheetData sheetId="2013" refreshError="1"/>
      <sheetData sheetId="2014">
        <row r="6">
          <cell r="D6">
            <v>1052065650</v>
          </cell>
        </row>
      </sheetData>
      <sheetData sheetId="2015" refreshError="1"/>
      <sheetData sheetId="2016" refreshError="1"/>
      <sheetData sheetId="2017">
        <row r="2">
          <cell r="A2" t="str">
            <v xml:space="preserve">GCM020004                     </v>
          </cell>
        </row>
      </sheetData>
      <sheetData sheetId="2018">
        <row r="2">
          <cell r="A2" t="str">
            <v xml:space="preserve">GCM020004                     </v>
          </cell>
        </row>
      </sheetData>
      <sheetData sheetId="2019">
        <row r="2">
          <cell r="A2" t="str">
            <v xml:space="preserve">GCM020004                     </v>
          </cell>
        </row>
      </sheetData>
      <sheetData sheetId="2020">
        <row r="2">
          <cell r="A2" t="str">
            <v xml:space="preserve">GCM020004                     </v>
          </cell>
        </row>
      </sheetData>
      <sheetData sheetId="2021">
        <row r="6">
          <cell r="D6">
            <v>1052065650</v>
          </cell>
        </row>
      </sheetData>
      <sheetData sheetId="2022">
        <row r="6">
          <cell r="D6">
            <v>1052065650</v>
          </cell>
        </row>
      </sheetData>
      <sheetData sheetId="2023">
        <row r="2">
          <cell r="A2" t="str">
            <v xml:space="preserve">GCM020004                     </v>
          </cell>
        </row>
      </sheetData>
      <sheetData sheetId="2024">
        <row r="2">
          <cell r="A2" t="str">
            <v xml:space="preserve">GCM020004                     </v>
          </cell>
        </row>
      </sheetData>
      <sheetData sheetId="2025">
        <row r="2">
          <cell r="A2" t="str">
            <v xml:space="preserve">GCM020004                     </v>
          </cell>
        </row>
      </sheetData>
      <sheetData sheetId="2026">
        <row r="6">
          <cell r="D6">
            <v>1052065650</v>
          </cell>
        </row>
      </sheetData>
      <sheetData sheetId="2027">
        <row r="6">
          <cell r="D6">
            <v>1052065650</v>
          </cell>
        </row>
      </sheetData>
      <sheetData sheetId="2028">
        <row r="6">
          <cell r="D6">
            <v>1052065650</v>
          </cell>
        </row>
      </sheetData>
      <sheetData sheetId="2029">
        <row r="6">
          <cell r="D6">
            <v>1052065650</v>
          </cell>
        </row>
      </sheetData>
      <sheetData sheetId="2030">
        <row r="6">
          <cell r="D6">
            <v>1052065650</v>
          </cell>
        </row>
      </sheetData>
      <sheetData sheetId="2031">
        <row r="6">
          <cell r="D6">
            <v>1052065650</v>
          </cell>
        </row>
      </sheetData>
      <sheetData sheetId="2032">
        <row r="6">
          <cell r="D6">
            <v>1052065650</v>
          </cell>
        </row>
      </sheetData>
      <sheetData sheetId="2033">
        <row r="6">
          <cell r="D6">
            <v>1052065650</v>
          </cell>
        </row>
      </sheetData>
      <sheetData sheetId="2034">
        <row r="6">
          <cell r="D6">
            <v>1052065650</v>
          </cell>
        </row>
      </sheetData>
      <sheetData sheetId="2035">
        <row r="6">
          <cell r="D6">
            <v>1052065650</v>
          </cell>
        </row>
      </sheetData>
      <sheetData sheetId="2036">
        <row r="2">
          <cell r="A2" t="str">
            <v xml:space="preserve">GCM020004                     </v>
          </cell>
        </row>
      </sheetData>
      <sheetData sheetId="2037">
        <row r="6">
          <cell r="D6">
            <v>1052065650</v>
          </cell>
        </row>
      </sheetData>
      <sheetData sheetId="2038">
        <row r="2">
          <cell r="A2" t="str">
            <v xml:space="preserve">GCM020004                     </v>
          </cell>
        </row>
      </sheetData>
      <sheetData sheetId="2039">
        <row r="2">
          <cell r="A2" t="str">
            <v xml:space="preserve">GCM020004                     </v>
          </cell>
        </row>
      </sheetData>
      <sheetData sheetId="2040">
        <row r="2">
          <cell r="A2" t="str">
            <v xml:space="preserve">GCM020004                     </v>
          </cell>
        </row>
      </sheetData>
      <sheetData sheetId="2041">
        <row r="2">
          <cell r="A2" t="str">
            <v xml:space="preserve">GCM020004                     </v>
          </cell>
        </row>
      </sheetData>
      <sheetData sheetId="2042">
        <row r="2">
          <cell r="A2" t="str">
            <v xml:space="preserve">GCM020004                     </v>
          </cell>
        </row>
      </sheetData>
      <sheetData sheetId="2043">
        <row r="2">
          <cell r="A2" t="str">
            <v xml:space="preserve">GCM020004                     </v>
          </cell>
        </row>
      </sheetData>
      <sheetData sheetId="2044">
        <row r="2">
          <cell r="A2" t="str">
            <v xml:space="preserve">GCM020004                     </v>
          </cell>
        </row>
      </sheetData>
      <sheetData sheetId="2045">
        <row r="2">
          <cell r="A2" t="str">
            <v xml:space="preserve">GCM020004                     </v>
          </cell>
        </row>
      </sheetData>
      <sheetData sheetId="2046">
        <row r="2">
          <cell r="A2" t="str">
            <v xml:space="preserve">GCM020004                     </v>
          </cell>
        </row>
      </sheetData>
      <sheetData sheetId="2047">
        <row r="2">
          <cell r="A2" t="str">
            <v xml:space="preserve">GCM020004                     </v>
          </cell>
        </row>
      </sheetData>
      <sheetData sheetId="2048">
        <row r="6">
          <cell r="D6">
            <v>1052065650</v>
          </cell>
        </row>
      </sheetData>
      <sheetData sheetId="2049">
        <row r="6">
          <cell r="D6">
            <v>1052065650</v>
          </cell>
        </row>
      </sheetData>
      <sheetData sheetId="2050">
        <row r="6">
          <cell r="D6">
            <v>1052065650</v>
          </cell>
        </row>
      </sheetData>
      <sheetData sheetId="2051">
        <row r="2">
          <cell r="A2" t="str">
            <v xml:space="preserve">GCM020004                     </v>
          </cell>
        </row>
      </sheetData>
      <sheetData sheetId="2052">
        <row r="2">
          <cell r="A2" t="str">
            <v xml:space="preserve">GCM020004                     </v>
          </cell>
        </row>
      </sheetData>
      <sheetData sheetId="2053">
        <row r="2">
          <cell r="A2" t="str">
            <v xml:space="preserve">GCM020004                     </v>
          </cell>
        </row>
      </sheetData>
      <sheetData sheetId="2054">
        <row r="2">
          <cell r="A2" t="str">
            <v xml:space="preserve">GCM020004                     </v>
          </cell>
        </row>
      </sheetData>
      <sheetData sheetId="2055">
        <row r="2">
          <cell r="A2" t="str">
            <v xml:space="preserve">GCM020004                     </v>
          </cell>
        </row>
      </sheetData>
      <sheetData sheetId="2056">
        <row r="31">
          <cell r="N31">
            <v>906186608.62700033</v>
          </cell>
        </row>
      </sheetData>
      <sheetData sheetId="2057"/>
      <sheetData sheetId="2058"/>
      <sheetData sheetId="2059"/>
      <sheetData sheetId="2060"/>
      <sheetData sheetId="2061">
        <row r="767">
          <cell r="B767">
            <v>739</v>
          </cell>
        </row>
      </sheetData>
      <sheetData sheetId="2062">
        <row r="6">
          <cell r="D6">
            <v>1052065650</v>
          </cell>
        </row>
      </sheetData>
      <sheetData sheetId="2063"/>
      <sheetData sheetId="2064">
        <row r="6">
          <cell r="D6">
            <v>1052065650</v>
          </cell>
        </row>
      </sheetData>
      <sheetData sheetId="2065"/>
      <sheetData sheetId="2066">
        <row r="31">
          <cell r="N31">
            <v>906186608.62700033</v>
          </cell>
        </row>
      </sheetData>
      <sheetData sheetId="2067">
        <row r="6">
          <cell r="D6">
            <v>1052065650</v>
          </cell>
        </row>
      </sheetData>
      <sheetData sheetId="2068">
        <row r="31">
          <cell r="N31">
            <v>906186608.62700033</v>
          </cell>
        </row>
      </sheetData>
      <sheetData sheetId="2069">
        <row r="31">
          <cell r="N31">
            <v>906186608.62700033</v>
          </cell>
        </row>
      </sheetData>
      <sheetData sheetId="2070">
        <row r="2">
          <cell r="A2" t="str">
            <v xml:space="preserve">GCM020004                     </v>
          </cell>
        </row>
      </sheetData>
      <sheetData sheetId="2071">
        <row r="2">
          <cell r="A2" t="str">
            <v xml:space="preserve">GCM020004                     </v>
          </cell>
        </row>
      </sheetData>
      <sheetData sheetId="2072">
        <row r="2">
          <cell r="A2" t="str">
            <v xml:space="preserve">GCM020004                     </v>
          </cell>
        </row>
      </sheetData>
      <sheetData sheetId="2073">
        <row r="6">
          <cell r="D6">
            <v>1052065650</v>
          </cell>
        </row>
      </sheetData>
      <sheetData sheetId="2074">
        <row r="6">
          <cell r="D6">
            <v>1052065650</v>
          </cell>
        </row>
      </sheetData>
      <sheetData sheetId="2075">
        <row r="6">
          <cell r="D6">
            <v>1052065650</v>
          </cell>
        </row>
      </sheetData>
      <sheetData sheetId="2076">
        <row r="2">
          <cell r="A2" t="str">
            <v xml:space="preserve">GCM020004                     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>
        <row r="2">
          <cell r="A2" t="str">
            <v xml:space="preserve">GCM020004                     </v>
          </cell>
        </row>
      </sheetData>
      <sheetData sheetId="2272">
        <row r="6">
          <cell r="D6">
            <v>1052065650</v>
          </cell>
        </row>
      </sheetData>
      <sheetData sheetId="2273">
        <row r="2">
          <cell r="A2" t="str">
            <v xml:space="preserve">GCM020004                     </v>
          </cell>
        </row>
      </sheetData>
      <sheetData sheetId="2274">
        <row r="6">
          <cell r="D6">
            <v>1052065650</v>
          </cell>
        </row>
      </sheetData>
      <sheetData sheetId="2275">
        <row r="6">
          <cell r="D6">
            <v>1052065650</v>
          </cell>
        </row>
      </sheetData>
      <sheetData sheetId="2276">
        <row r="6">
          <cell r="D6">
            <v>1052065650</v>
          </cell>
        </row>
      </sheetData>
      <sheetData sheetId="2277" refreshError="1"/>
      <sheetData sheetId="2278" refreshError="1"/>
      <sheetData sheetId="2279">
        <row r="1">
          <cell r="D1">
            <v>1127</v>
          </cell>
        </row>
      </sheetData>
      <sheetData sheetId="2280">
        <row r="1">
          <cell r="A1">
            <v>255612</v>
          </cell>
        </row>
      </sheetData>
      <sheetData sheetId="2281">
        <row r="4">
          <cell r="C4">
            <v>39599</v>
          </cell>
        </row>
      </sheetData>
      <sheetData sheetId="2282">
        <row r="6">
          <cell r="D6">
            <v>1052065650</v>
          </cell>
        </row>
      </sheetData>
      <sheetData sheetId="2283">
        <row r="6">
          <cell r="D6">
            <v>1052065650</v>
          </cell>
        </row>
      </sheetData>
      <sheetData sheetId="2284">
        <row r="6">
          <cell r="D6">
            <v>1052065650</v>
          </cell>
        </row>
      </sheetData>
      <sheetData sheetId="2285">
        <row r="6">
          <cell r="D6">
            <v>1052065650</v>
          </cell>
        </row>
      </sheetData>
      <sheetData sheetId="2286">
        <row r="6">
          <cell r="D6">
            <v>1052065650</v>
          </cell>
        </row>
      </sheetData>
      <sheetData sheetId="2287">
        <row r="6">
          <cell r="D6">
            <v>1052065650</v>
          </cell>
        </row>
      </sheetData>
      <sheetData sheetId="2288">
        <row r="6">
          <cell r="D6">
            <v>1052065650</v>
          </cell>
        </row>
      </sheetData>
      <sheetData sheetId="2289">
        <row r="6">
          <cell r="D6">
            <v>1052065650</v>
          </cell>
        </row>
      </sheetData>
      <sheetData sheetId="2290">
        <row r="6">
          <cell r="D6">
            <v>1052065650</v>
          </cell>
        </row>
      </sheetData>
      <sheetData sheetId="2291">
        <row r="6">
          <cell r="D6">
            <v>1052065650</v>
          </cell>
        </row>
      </sheetData>
      <sheetData sheetId="2292">
        <row r="6">
          <cell r="D6">
            <v>1052065650</v>
          </cell>
        </row>
      </sheetData>
      <sheetData sheetId="2293">
        <row r="2">
          <cell r="A2" t="str">
            <v xml:space="preserve">GCM020004                     </v>
          </cell>
        </row>
      </sheetData>
      <sheetData sheetId="2294">
        <row r="2">
          <cell r="A2" t="str">
            <v xml:space="preserve">GCM020004                     </v>
          </cell>
        </row>
      </sheetData>
      <sheetData sheetId="2295">
        <row r="2">
          <cell r="A2" t="str">
            <v xml:space="preserve">GCM020004                     </v>
          </cell>
        </row>
      </sheetData>
      <sheetData sheetId="2296">
        <row r="2">
          <cell r="A2" t="str">
            <v xml:space="preserve">GCM020004                     </v>
          </cell>
        </row>
      </sheetData>
      <sheetData sheetId="2297">
        <row r="2">
          <cell r="A2" t="str">
            <v xml:space="preserve">GCM020004                     </v>
          </cell>
        </row>
      </sheetData>
      <sheetData sheetId="2298">
        <row r="2">
          <cell r="A2" t="str">
            <v xml:space="preserve">GCM020004                     </v>
          </cell>
        </row>
      </sheetData>
      <sheetData sheetId="2299">
        <row r="2">
          <cell r="A2" t="str">
            <v xml:space="preserve">GCM020004                     </v>
          </cell>
        </row>
      </sheetData>
      <sheetData sheetId="2300">
        <row r="6">
          <cell r="D6">
            <v>1052065650</v>
          </cell>
        </row>
      </sheetData>
      <sheetData sheetId="2301">
        <row r="6">
          <cell r="D6">
            <v>1052065650</v>
          </cell>
        </row>
      </sheetData>
      <sheetData sheetId="2302">
        <row r="6">
          <cell r="D6">
            <v>1052065650</v>
          </cell>
        </row>
      </sheetData>
      <sheetData sheetId="2303">
        <row r="6">
          <cell r="D6">
            <v>1052065650</v>
          </cell>
        </row>
      </sheetData>
      <sheetData sheetId="2304">
        <row r="6">
          <cell r="D6">
            <v>1052065650</v>
          </cell>
        </row>
      </sheetData>
      <sheetData sheetId="2305">
        <row r="6">
          <cell r="D6">
            <v>1052065650</v>
          </cell>
        </row>
      </sheetData>
      <sheetData sheetId="2306">
        <row r="6">
          <cell r="D6">
            <v>1052065650</v>
          </cell>
        </row>
      </sheetData>
      <sheetData sheetId="2307">
        <row r="2">
          <cell r="A2" t="str">
            <v xml:space="preserve">GCM020004                     </v>
          </cell>
        </row>
      </sheetData>
      <sheetData sheetId="2308">
        <row r="2">
          <cell r="A2" t="str">
            <v xml:space="preserve">GCM020004                     </v>
          </cell>
        </row>
      </sheetData>
      <sheetData sheetId="2309">
        <row r="6">
          <cell r="D6">
            <v>1052065650</v>
          </cell>
        </row>
      </sheetData>
      <sheetData sheetId="2310">
        <row r="6">
          <cell r="D6">
            <v>1052065650</v>
          </cell>
        </row>
      </sheetData>
      <sheetData sheetId="2311">
        <row r="2">
          <cell r="A2" t="str">
            <v xml:space="preserve">GCM020004                     </v>
          </cell>
        </row>
      </sheetData>
      <sheetData sheetId="2312">
        <row r="6">
          <cell r="D6">
            <v>1052065650</v>
          </cell>
        </row>
      </sheetData>
      <sheetData sheetId="2313">
        <row r="6">
          <cell r="D6">
            <v>1052065650</v>
          </cell>
        </row>
      </sheetData>
      <sheetData sheetId="2314">
        <row r="6">
          <cell r="D6">
            <v>1052065650</v>
          </cell>
        </row>
      </sheetData>
      <sheetData sheetId="2315">
        <row r="6">
          <cell r="D6">
            <v>1052065650</v>
          </cell>
        </row>
      </sheetData>
      <sheetData sheetId="2316">
        <row r="6">
          <cell r="D6">
            <v>1052065650</v>
          </cell>
        </row>
      </sheetData>
      <sheetData sheetId="2317">
        <row r="6">
          <cell r="D6">
            <v>1052065650</v>
          </cell>
        </row>
      </sheetData>
      <sheetData sheetId="2318">
        <row r="2">
          <cell r="A2" t="str">
            <v xml:space="preserve">GCM020004                     </v>
          </cell>
        </row>
      </sheetData>
      <sheetData sheetId="2319">
        <row r="2">
          <cell r="A2" t="str">
            <v xml:space="preserve">GCM020004                     </v>
          </cell>
        </row>
      </sheetData>
      <sheetData sheetId="2320">
        <row r="2">
          <cell r="A2" t="str">
            <v xml:space="preserve">GCM020004                     </v>
          </cell>
        </row>
      </sheetData>
      <sheetData sheetId="2321">
        <row r="2">
          <cell r="A2" t="str">
            <v xml:space="preserve">GCM020004                     </v>
          </cell>
        </row>
      </sheetData>
      <sheetData sheetId="2322">
        <row r="6">
          <cell r="D6">
            <v>1052065650</v>
          </cell>
        </row>
      </sheetData>
      <sheetData sheetId="2323">
        <row r="6">
          <cell r="D6">
            <v>1052065650</v>
          </cell>
        </row>
      </sheetData>
      <sheetData sheetId="2324">
        <row r="6">
          <cell r="D6">
            <v>1052065650</v>
          </cell>
        </row>
      </sheetData>
      <sheetData sheetId="2325">
        <row r="6">
          <cell r="D6">
            <v>1052065650</v>
          </cell>
        </row>
      </sheetData>
      <sheetData sheetId="2326">
        <row r="6">
          <cell r="D6">
            <v>1052065650</v>
          </cell>
        </row>
      </sheetData>
      <sheetData sheetId="2327">
        <row r="1">
          <cell r="D1" t="str">
            <v>Date on :</v>
          </cell>
        </row>
      </sheetData>
      <sheetData sheetId="2328">
        <row r="2">
          <cell r="A2" t="str">
            <v xml:space="preserve">GCM020004                     </v>
          </cell>
        </row>
      </sheetData>
      <sheetData sheetId="2329">
        <row r="2">
          <cell r="A2" t="str">
            <v xml:space="preserve">GCM020004                     </v>
          </cell>
        </row>
      </sheetData>
      <sheetData sheetId="2330">
        <row r="6">
          <cell r="D6">
            <v>1052065650</v>
          </cell>
        </row>
      </sheetData>
      <sheetData sheetId="2331">
        <row r="2">
          <cell r="A2" t="str">
            <v xml:space="preserve">GCM020004                     </v>
          </cell>
        </row>
      </sheetData>
      <sheetData sheetId="2332">
        <row r="6">
          <cell r="D6">
            <v>1052065650</v>
          </cell>
        </row>
      </sheetData>
      <sheetData sheetId="2333">
        <row r="6">
          <cell r="D6">
            <v>1052065650</v>
          </cell>
        </row>
      </sheetData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>
        <row r="767">
          <cell r="B767">
            <v>739</v>
          </cell>
        </row>
      </sheetData>
      <sheetData sheetId="2605">
        <row r="31">
          <cell r="N31">
            <v>906186608.62700033</v>
          </cell>
        </row>
      </sheetData>
      <sheetData sheetId="2606">
        <row r="6">
          <cell r="D6">
            <v>1052065650</v>
          </cell>
        </row>
      </sheetData>
      <sheetData sheetId="2607"/>
      <sheetData sheetId="2608"/>
      <sheetData sheetId="2609">
        <row r="767">
          <cell r="B767">
            <v>739</v>
          </cell>
        </row>
      </sheetData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>
        <row r="6">
          <cell r="D6">
            <v>1052065650</v>
          </cell>
        </row>
      </sheetData>
      <sheetData sheetId="2618" refreshError="1"/>
      <sheetData sheetId="2619">
        <row r="6">
          <cell r="D6">
            <v>1052065650</v>
          </cell>
        </row>
      </sheetData>
      <sheetData sheetId="2620">
        <row r="2">
          <cell r="A2" t="str">
            <v xml:space="preserve">GCM020004                     </v>
          </cell>
        </row>
      </sheetData>
      <sheetData sheetId="2621">
        <row r="6">
          <cell r="D6">
            <v>1052065650</v>
          </cell>
        </row>
      </sheetData>
      <sheetData sheetId="2622"/>
      <sheetData sheetId="2623">
        <row r="8">
          <cell r="A8" t="str">
            <v>1011-000</v>
          </cell>
        </row>
      </sheetData>
      <sheetData sheetId="2624">
        <row r="767">
          <cell r="B767">
            <v>739</v>
          </cell>
        </row>
      </sheetData>
      <sheetData sheetId="2625"/>
      <sheetData sheetId="2626">
        <row r="8">
          <cell r="A8" t="str">
            <v>1011-000</v>
          </cell>
        </row>
      </sheetData>
      <sheetData sheetId="2627">
        <row r="1">
          <cell r="D1" t="str">
            <v>Date on :</v>
          </cell>
        </row>
      </sheetData>
      <sheetData sheetId="2628">
        <row r="31">
          <cell r="N31">
            <v>906186608.62700033</v>
          </cell>
        </row>
      </sheetData>
      <sheetData sheetId="2629">
        <row r="31">
          <cell r="N31">
            <v>906186608.62700033</v>
          </cell>
        </row>
      </sheetData>
      <sheetData sheetId="2630">
        <row r="6">
          <cell r="D6">
            <v>1052065650</v>
          </cell>
        </row>
      </sheetData>
      <sheetData sheetId="2631">
        <row r="31">
          <cell r="N31">
            <v>906186608.62700033</v>
          </cell>
        </row>
      </sheetData>
      <sheetData sheetId="2632">
        <row r="6">
          <cell r="D6">
            <v>1052065650</v>
          </cell>
        </row>
      </sheetData>
      <sheetData sheetId="2633"/>
      <sheetData sheetId="2634"/>
      <sheetData sheetId="2635">
        <row r="8">
          <cell r="A8" t="str">
            <v>1012-000</v>
          </cell>
        </row>
      </sheetData>
      <sheetData sheetId="2636"/>
      <sheetData sheetId="2637">
        <row r="6">
          <cell r="D6">
            <v>1052065650</v>
          </cell>
        </row>
      </sheetData>
      <sheetData sheetId="2638">
        <row r="6">
          <cell r="D6">
            <v>1052065650</v>
          </cell>
        </row>
      </sheetData>
      <sheetData sheetId="2639"/>
      <sheetData sheetId="2640">
        <row r="31">
          <cell r="N31">
            <v>906186608.62700033</v>
          </cell>
        </row>
      </sheetData>
      <sheetData sheetId="2641">
        <row r="2">
          <cell r="A2" t="str">
            <v xml:space="preserve">GCM020004                     </v>
          </cell>
        </row>
      </sheetData>
      <sheetData sheetId="2642">
        <row r="6">
          <cell r="D6">
            <v>1052065650</v>
          </cell>
        </row>
      </sheetData>
      <sheetData sheetId="2643"/>
      <sheetData sheetId="2644">
        <row r="8">
          <cell r="A8" t="str">
            <v>1011-000</v>
          </cell>
        </row>
      </sheetData>
      <sheetData sheetId="2645">
        <row r="767">
          <cell r="B767">
            <v>739</v>
          </cell>
        </row>
      </sheetData>
      <sheetData sheetId="2646"/>
      <sheetData sheetId="2647">
        <row r="8">
          <cell r="A8" t="str">
            <v>1011-000</v>
          </cell>
        </row>
      </sheetData>
      <sheetData sheetId="2648">
        <row r="1">
          <cell r="D1" t="str">
            <v>Date on :</v>
          </cell>
        </row>
      </sheetData>
      <sheetData sheetId="2649">
        <row r="31">
          <cell r="N31">
            <v>906186608.62700033</v>
          </cell>
        </row>
      </sheetData>
      <sheetData sheetId="2650">
        <row r="31">
          <cell r="N31">
            <v>906186608.62700033</v>
          </cell>
        </row>
      </sheetData>
      <sheetData sheetId="2651">
        <row r="6">
          <cell r="D6">
            <v>1052065650</v>
          </cell>
        </row>
      </sheetData>
      <sheetData sheetId="2652">
        <row r="31">
          <cell r="N31">
            <v>906186608.62700033</v>
          </cell>
        </row>
      </sheetData>
      <sheetData sheetId="2653"/>
      <sheetData sheetId="2654"/>
      <sheetData sheetId="2655"/>
      <sheetData sheetId="2656">
        <row r="8">
          <cell r="A8" t="str">
            <v>1011-000</v>
          </cell>
        </row>
      </sheetData>
      <sheetData sheetId="2657">
        <row r="767">
          <cell r="B767">
            <v>739</v>
          </cell>
        </row>
      </sheetData>
      <sheetData sheetId="2658">
        <row r="31">
          <cell r="N31">
            <v>906186608.62700033</v>
          </cell>
        </row>
      </sheetData>
      <sheetData sheetId="2659">
        <row r="2">
          <cell r="A2" t="str">
            <v xml:space="preserve">GCM020004                     </v>
          </cell>
        </row>
      </sheetData>
      <sheetData sheetId="2660">
        <row r="6">
          <cell r="D6">
            <v>1052065650</v>
          </cell>
        </row>
      </sheetData>
      <sheetData sheetId="2661"/>
      <sheetData sheetId="2662">
        <row r="6">
          <cell r="D6">
            <v>1052065650</v>
          </cell>
        </row>
      </sheetData>
      <sheetData sheetId="2663">
        <row r="767">
          <cell r="B767">
            <v>739</v>
          </cell>
        </row>
      </sheetData>
      <sheetData sheetId="2664"/>
      <sheetData sheetId="2665"/>
      <sheetData sheetId="2666"/>
      <sheetData sheetId="2667"/>
      <sheetData sheetId="2668"/>
      <sheetData sheetId="2669">
        <row r="31">
          <cell r="N31">
            <v>906186608.62700033</v>
          </cell>
        </row>
      </sheetData>
      <sheetData sheetId="2670">
        <row r="6">
          <cell r="D6">
            <v>1052065650</v>
          </cell>
        </row>
      </sheetData>
      <sheetData sheetId="2671"/>
      <sheetData sheetId="2672">
        <row r="6">
          <cell r="D6">
            <v>1052065650</v>
          </cell>
        </row>
      </sheetData>
      <sheetData sheetId="2673">
        <row r="2">
          <cell r="A2" t="str">
            <v xml:space="preserve">GCM020004                     </v>
          </cell>
        </row>
      </sheetData>
      <sheetData sheetId="2674">
        <row r="6">
          <cell r="D6">
            <v>1052065650</v>
          </cell>
        </row>
      </sheetData>
      <sheetData sheetId="2675"/>
      <sheetData sheetId="2676">
        <row r="8">
          <cell r="A8" t="str">
            <v>1011-000</v>
          </cell>
        </row>
      </sheetData>
      <sheetData sheetId="2677">
        <row r="2">
          <cell r="A2" t="str">
            <v xml:space="preserve">GCM020004                     </v>
          </cell>
        </row>
      </sheetData>
      <sheetData sheetId="2678"/>
      <sheetData sheetId="2679">
        <row r="8">
          <cell r="A8" t="str">
            <v>1011-000</v>
          </cell>
        </row>
      </sheetData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>
        <row r="138">
          <cell r="J138">
            <v>1587.68</v>
          </cell>
        </row>
      </sheetData>
      <sheetData sheetId="3874">
        <row r="31">
          <cell r="N31">
            <v>906186608.62700033</v>
          </cell>
        </row>
      </sheetData>
      <sheetData sheetId="3875">
        <row r="31">
          <cell r="N31">
            <v>906186608.62700033</v>
          </cell>
        </row>
      </sheetData>
      <sheetData sheetId="3876">
        <row r="31">
          <cell r="N31">
            <v>906186608.62700033</v>
          </cell>
        </row>
      </sheetData>
      <sheetData sheetId="3877">
        <row r="1">
          <cell r="D1" t="str">
            <v>Date on :</v>
          </cell>
        </row>
      </sheetData>
      <sheetData sheetId="3878">
        <row r="23">
          <cell r="H23">
            <v>10175</v>
          </cell>
        </row>
      </sheetData>
      <sheetData sheetId="3879">
        <row r="2">
          <cell r="A2" t="str">
            <v xml:space="preserve">GCM020004                     </v>
          </cell>
        </row>
      </sheetData>
      <sheetData sheetId="3880">
        <row r="6">
          <cell r="D6">
            <v>1052065650</v>
          </cell>
        </row>
      </sheetData>
      <sheetData sheetId="3881">
        <row r="31">
          <cell r="N31">
            <v>906186608.62700033</v>
          </cell>
        </row>
      </sheetData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>
        <row r="2">
          <cell r="A2" t="str">
            <v xml:space="preserve">GCM020004                     </v>
          </cell>
        </row>
      </sheetData>
      <sheetData sheetId="3898">
        <row r="2">
          <cell r="A2" t="str">
            <v xml:space="preserve">GCM020004                     </v>
          </cell>
        </row>
      </sheetData>
      <sheetData sheetId="3899">
        <row r="2">
          <cell r="A2" t="str">
            <v xml:space="preserve">GCM020004                     </v>
          </cell>
        </row>
      </sheetData>
      <sheetData sheetId="3900">
        <row r="6">
          <cell r="D6">
            <v>1052065650</v>
          </cell>
        </row>
      </sheetData>
      <sheetData sheetId="3901">
        <row r="6">
          <cell r="D6">
            <v>1052065650</v>
          </cell>
        </row>
      </sheetData>
      <sheetData sheetId="3902">
        <row r="6">
          <cell r="D6">
            <v>1052065650</v>
          </cell>
        </row>
      </sheetData>
      <sheetData sheetId="3903">
        <row r="6">
          <cell r="D6">
            <v>1052065650</v>
          </cell>
        </row>
      </sheetData>
      <sheetData sheetId="3904">
        <row r="6">
          <cell r="D6">
            <v>1052065650</v>
          </cell>
        </row>
      </sheetData>
      <sheetData sheetId="3905">
        <row r="6">
          <cell r="D6">
            <v>1052065650</v>
          </cell>
        </row>
      </sheetData>
      <sheetData sheetId="3906">
        <row r="6">
          <cell r="D6">
            <v>1052065650</v>
          </cell>
        </row>
      </sheetData>
      <sheetData sheetId="3907">
        <row r="6">
          <cell r="D6">
            <v>1052065650</v>
          </cell>
        </row>
      </sheetData>
      <sheetData sheetId="3908">
        <row r="6">
          <cell r="D6">
            <v>1052065650</v>
          </cell>
        </row>
      </sheetData>
      <sheetData sheetId="3909">
        <row r="6">
          <cell r="D6">
            <v>1052065650</v>
          </cell>
        </row>
      </sheetData>
      <sheetData sheetId="3910">
        <row r="6">
          <cell r="D6">
            <v>1052065650</v>
          </cell>
        </row>
      </sheetData>
      <sheetData sheetId="3911">
        <row r="6">
          <cell r="D6">
            <v>1052065650</v>
          </cell>
        </row>
      </sheetData>
      <sheetData sheetId="3912">
        <row r="2">
          <cell r="A2" t="str">
            <v xml:space="preserve">GCM020004                     </v>
          </cell>
        </row>
      </sheetData>
      <sheetData sheetId="3913">
        <row r="6">
          <cell r="D6">
            <v>1052065650</v>
          </cell>
        </row>
      </sheetData>
      <sheetData sheetId="3914">
        <row r="6">
          <cell r="D6">
            <v>1052065650</v>
          </cell>
        </row>
      </sheetData>
      <sheetData sheetId="3915">
        <row r="6">
          <cell r="D6">
            <v>1052065650</v>
          </cell>
        </row>
      </sheetData>
      <sheetData sheetId="3916">
        <row r="6">
          <cell r="D6">
            <v>1052065650</v>
          </cell>
        </row>
      </sheetData>
      <sheetData sheetId="3917">
        <row r="2">
          <cell r="A2" t="str">
            <v xml:space="preserve">GCM020004                     </v>
          </cell>
        </row>
      </sheetData>
      <sheetData sheetId="3918">
        <row r="6">
          <cell r="D6">
            <v>1052065650</v>
          </cell>
        </row>
      </sheetData>
      <sheetData sheetId="3919">
        <row r="6">
          <cell r="D6">
            <v>1052065650</v>
          </cell>
        </row>
      </sheetData>
      <sheetData sheetId="3920">
        <row r="6">
          <cell r="D6">
            <v>1052065650</v>
          </cell>
        </row>
      </sheetData>
      <sheetData sheetId="3921">
        <row r="6">
          <cell r="D6">
            <v>1052065650</v>
          </cell>
        </row>
      </sheetData>
      <sheetData sheetId="3922">
        <row r="2">
          <cell r="A2" t="str">
            <v xml:space="preserve">GCM020004                     </v>
          </cell>
        </row>
      </sheetData>
      <sheetData sheetId="3923">
        <row r="2">
          <cell r="A2" t="str">
            <v xml:space="preserve">GCM020004                     </v>
          </cell>
        </row>
      </sheetData>
      <sheetData sheetId="3924">
        <row r="2">
          <cell r="A2" t="str">
            <v xml:space="preserve">GCM020004                     </v>
          </cell>
        </row>
      </sheetData>
      <sheetData sheetId="3925" refreshError="1"/>
      <sheetData sheetId="3926">
        <row r="1">
          <cell r="D1" t="str">
            <v>Date on :</v>
          </cell>
        </row>
      </sheetData>
      <sheetData sheetId="3927">
        <row r="2">
          <cell r="A2" t="str">
            <v xml:space="preserve">GCM020004                     </v>
          </cell>
        </row>
      </sheetData>
      <sheetData sheetId="3928">
        <row r="2">
          <cell r="A2" t="str">
            <v xml:space="preserve">GCM020004                     </v>
          </cell>
        </row>
      </sheetData>
      <sheetData sheetId="3929">
        <row r="2">
          <cell r="A2" t="str">
            <v xml:space="preserve">GCM020004                     </v>
          </cell>
        </row>
      </sheetData>
      <sheetData sheetId="3930">
        <row r="2">
          <cell r="A2" t="str">
            <v xml:space="preserve">GCM020004                     </v>
          </cell>
        </row>
      </sheetData>
      <sheetData sheetId="3931">
        <row r="6">
          <cell r="D6">
            <v>1052065650</v>
          </cell>
        </row>
      </sheetData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>
        <row r="767">
          <cell r="B767">
            <v>739</v>
          </cell>
        </row>
      </sheetData>
      <sheetData sheetId="4322"/>
      <sheetData sheetId="4323">
        <row r="6">
          <cell r="D6">
            <v>1052065650</v>
          </cell>
        </row>
      </sheetData>
      <sheetData sheetId="4324">
        <row r="767">
          <cell r="B767">
            <v>739</v>
          </cell>
        </row>
      </sheetData>
      <sheetData sheetId="4325">
        <row r="31">
          <cell r="N31">
            <v>906186608.62700033</v>
          </cell>
        </row>
      </sheetData>
      <sheetData sheetId="4326">
        <row r="767">
          <cell r="B767">
            <v>739</v>
          </cell>
        </row>
      </sheetData>
      <sheetData sheetId="4327">
        <row r="23">
          <cell r="H23">
            <v>10175</v>
          </cell>
        </row>
      </sheetData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>
        <row r="31">
          <cell r="N31">
            <v>906186608.62700033</v>
          </cell>
        </row>
      </sheetData>
      <sheetData sheetId="4335" refreshError="1"/>
      <sheetData sheetId="4336">
        <row r="6">
          <cell r="D6">
            <v>1052065650</v>
          </cell>
        </row>
      </sheetData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>
        <row r="2">
          <cell r="A2" t="str">
            <v xml:space="preserve">GCM020004                     </v>
          </cell>
        </row>
      </sheetData>
      <sheetData sheetId="5517">
        <row r="2">
          <cell r="A2" t="str">
            <v xml:space="preserve">GCM020004                     </v>
          </cell>
        </row>
      </sheetData>
      <sheetData sheetId="5518">
        <row r="2">
          <cell r="A2" t="str">
            <v xml:space="preserve">GCM020004                     </v>
          </cell>
        </row>
      </sheetData>
      <sheetData sheetId="5519">
        <row r="6">
          <cell r="D6">
            <v>1052065650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/>
      <sheetData sheetId="5543">
        <row r="31">
          <cell r="N31">
            <v>906186608.62700033</v>
          </cell>
        </row>
      </sheetData>
      <sheetData sheetId="5544">
        <row r="31">
          <cell r="N31">
            <v>906186608.62700033</v>
          </cell>
        </row>
      </sheetData>
      <sheetData sheetId="5545">
        <row r="767">
          <cell r="B767">
            <v>739</v>
          </cell>
        </row>
      </sheetData>
      <sheetData sheetId="5546">
        <row r="767">
          <cell r="B767">
            <v>739</v>
          </cell>
        </row>
      </sheetData>
      <sheetData sheetId="5547">
        <row r="31">
          <cell r="N31">
            <v>906186608.62700033</v>
          </cell>
        </row>
      </sheetData>
      <sheetData sheetId="5548">
        <row r="31">
          <cell r="N31">
            <v>906186608.62700033</v>
          </cell>
        </row>
      </sheetData>
      <sheetData sheetId="5549">
        <row r="31">
          <cell r="N31">
            <v>906186608.62700033</v>
          </cell>
        </row>
      </sheetData>
      <sheetData sheetId="5550">
        <row r="31">
          <cell r="N31">
            <v>906186608.62700033</v>
          </cell>
        </row>
      </sheetData>
      <sheetData sheetId="5551">
        <row r="767">
          <cell r="B767">
            <v>739</v>
          </cell>
        </row>
      </sheetData>
      <sheetData sheetId="5552">
        <row r="31">
          <cell r="N31">
            <v>906186608.62700033</v>
          </cell>
        </row>
      </sheetData>
      <sheetData sheetId="5553">
        <row r="31">
          <cell r="N31">
            <v>906186608.62700033</v>
          </cell>
        </row>
      </sheetData>
      <sheetData sheetId="5554">
        <row r="2">
          <cell r="A2" t="str">
            <v xml:space="preserve">GCM020004                     </v>
          </cell>
        </row>
      </sheetData>
      <sheetData sheetId="5555">
        <row r="2">
          <cell r="A2" t="str">
            <v xml:space="preserve">GCM020004                     </v>
          </cell>
        </row>
      </sheetData>
      <sheetData sheetId="5556">
        <row r="2">
          <cell r="A2" t="str">
            <v xml:space="preserve">GCM020004                     </v>
          </cell>
        </row>
      </sheetData>
      <sheetData sheetId="5557">
        <row r="23">
          <cell r="H23">
            <v>10175</v>
          </cell>
        </row>
      </sheetData>
      <sheetData sheetId="5558">
        <row r="6">
          <cell r="D6">
            <v>1052065650</v>
          </cell>
        </row>
      </sheetData>
      <sheetData sheetId="5559">
        <row r="31">
          <cell r="N31">
            <v>906186608.62700033</v>
          </cell>
        </row>
      </sheetData>
      <sheetData sheetId="5560">
        <row r="138">
          <cell r="J138">
            <v>1587.68</v>
          </cell>
        </row>
      </sheetData>
      <sheetData sheetId="5561">
        <row r="31">
          <cell r="N31">
            <v>906186608.62700033</v>
          </cell>
        </row>
      </sheetData>
      <sheetData sheetId="5562">
        <row r="31">
          <cell r="N31">
            <v>906186608.62700033</v>
          </cell>
        </row>
      </sheetData>
      <sheetData sheetId="5563">
        <row r="31">
          <cell r="N31">
            <v>906186608.62700033</v>
          </cell>
        </row>
      </sheetData>
      <sheetData sheetId="5564">
        <row r="31">
          <cell r="N31">
            <v>906186608.62700033</v>
          </cell>
        </row>
      </sheetData>
      <sheetData sheetId="5565">
        <row r="31">
          <cell r="N31">
            <v>906186608.62700033</v>
          </cell>
        </row>
      </sheetData>
      <sheetData sheetId="5566">
        <row r="6">
          <cell r="D6">
            <v>1052065650</v>
          </cell>
        </row>
      </sheetData>
      <sheetData sheetId="5567">
        <row r="2">
          <cell r="A2" t="str">
            <v xml:space="preserve">GCM020004                     </v>
          </cell>
        </row>
      </sheetData>
      <sheetData sheetId="5568">
        <row r="2">
          <cell r="A2" t="str">
            <v xml:space="preserve">GCM020004                     </v>
          </cell>
        </row>
      </sheetData>
      <sheetData sheetId="5569">
        <row r="2">
          <cell r="A2" t="str">
            <v xml:space="preserve">GCM020004                     </v>
          </cell>
        </row>
      </sheetData>
      <sheetData sheetId="5570">
        <row r="6">
          <cell r="D6">
            <v>1052065650</v>
          </cell>
        </row>
      </sheetData>
      <sheetData sheetId="5571">
        <row r="6">
          <cell r="D6">
            <v>1052065650</v>
          </cell>
        </row>
      </sheetData>
      <sheetData sheetId="5572">
        <row r="31">
          <cell r="N31">
            <v>906186608.62700033</v>
          </cell>
        </row>
      </sheetData>
      <sheetData sheetId="5573">
        <row r="6">
          <cell r="D6">
            <v>1052065650</v>
          </cell>
        </row>
      </sheetData>
      <sheetData sheetId="5574">
        <row r="6">
          <cell r="D6">
            <v>1052065650</v>
          </cell>
        </row>
      </sheetData>
      <sheetData sheetId="5575">
        <row r="6">
          <cell r="D6">
            <v>1052065650</v>
          </cell>
        </row>
      </sheetData>
      <sheetData sheetId="5576">
        <row r="2">
          <cell r="A2" t="str">
            <v xml:space="preserve">GCM020004                     </v>
          </cell>
        </row>
      </sheetData>
      <sheetData sheetId="5577">
        <row r="2">
          <cell r="A2" t="str">
            <v xml:space="preserve">GCM020004                     </v>
          </cell>
        </row>
      </sheetData>
      <sheetData sheetId="5578">
        <row r="2">
          <cell r="A2" t="str">
            <v xml:space="preserve">GCM020004                     </v>
          </cell>
        </row>
      </sheetData>
      <sheetData sheetId="5579">
        <row r="2">
          <cell r="A2" t="str">
            <v xml:space="preserve">GCM020004                     </v>
          </cell>
        </row>
      </sheetData>
      <sheetData sheetId="5580">
        <row r="2">
          <cell r="A2" t="str">
            <v xml:space="preserve">GCM020004                     </v>
          </cell>
        </row>
      </sheetData>
      <sheetData sheetId="5581">
        <row r="6">
          <cell r="D6">
            <v>1052065650</v>
          </cell>
        </row>
      </sheetData>
      <sheetData sheetId="5582">
        <row r="6">
          <cell r="D6">
            <v>1052065650</v>
          </cell>
        </row>
      </sheetData>
      <sheetData sheetId="5583">
        <row r="6">
          <cell r="D6">
            <v>1052065650</v>
          </cell>
        </row>
      </sheetData>
      <sheetData sheetId="5584">
        <row r="6">
          <cell r="D6">
            <v>1052065650</v>
          </cell>
        </row>
      </sheetData>
      <sheetData sheetId="5585">
        <row r="6">
          <cell r="D6">
            <v>1052065650</v>
          </cell>
        </row>
      </sheetData>
      <sheetData sheetId="5586">
        <row r="6">
          <cell r="D6">
            <v>1052065650</v>
          </cell>
        </row>
      </sheetData>
      <sheetData sheetId="5587">
        <row r="6">
          <cell r="D6">
            <v>1052065650</v>
          </cell>
        </row>
      </sheetData>
      <sheetData sheetId="5588">
        <row r="6">
          <cell r="D6">
            <v>1052065650</v>
          </cell>
        </row>
      </sheetData>
      <sheetData sheetId="5589">
        <row r="6">
          <cell r="D6">
            <v>1052065650</v>
          </cell>
        </row>
      </sheetData>
      <sheetData sheetId="5590">
        <row r="6">
          <cell r="D6">
            <v>1052065650</v>
          </cell>
        </row>
      </sheetData>
      <sheetData sheetId="5591">
        <row r="6">
          <cell r="D6">
            <v>1052065650</v>
          </cell>
        </row>
      </sheetData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>
        <row r="6">
          <cell r="D6">
            <v>1052065650</v>
          </cell>
        </row>
      </sheetData>
      <sheetData sheetId="5599" refreshError="1"/>
      <sheetData sheetId="5600">
        <row r="6">
          <cell r="D6">
            <v>1052065650</v>
          </cell>
        </row>
      </sheetData>
      <sheetData sheetId="5601" refreshError="1"/>
      <sheetData sheetId="5602" refreshError="1"/>
      <sheetData sheetId="5603">
        <row r="6">
          <cell r="D6">
            <v>1052065650</v>
          </cell>
        </row>
      </sheetData>
      <sheetData sheetId="5604" refreshError="1"/>
      <sheetData sheetId="5605" refreshError="1"/>
      <sheetData sheetId="5606">
        <row r="2">
          <cell r="A2" t="str">
            <v xml:space="preserve">GCM020004                     </v>
          </cell>
        </row>
      </sheetData>
      <sheetData sheetId="5607">
        <row r="2">
          <cell r="A2" t="str">
            <v xml:space="preserve">GCM020004                     </v>
          </cell>
        </row>
      </sheetData>
      <sheetData sheetId="5608">
        <row r="23">
          <cell r="H23">
            <v>10175</v>
          </cell>
        </row>
      </sheetData>
      <sheetData sheetId="5609">
        <row r="6">
          <cell r="D6">
            <v>1052065650</v>
          </cell>
        </row>
      </sheetData>
      <sheetData sheetId="5610">
        <row r="31">
          <cell r="N31">
            <v>906186608.62700033</v>
          </cell>
        </row>
      </sheetData>
      <sheetData sheetId="5611">
        <row r="31">
          <cell r="N31">
            <v>906186608.62700033</v>
          </cell>
        </row>
      </sheetData>
      <sheetData sheetId="5612">
        <row r="31">
          <cell r="N31">
            <v>906186608.62700033</v>
          </cell>
        </row>
      </sheetData>
      <sheetData sheetId="5613">
        <row r="2">
          <cell r="A2" t="str">
            <v xml:space="preserve">GCM020004                     </v>
          </cell>
        </row>
      </sheetData>
      <sheetData sheetId="5614">
        <row r="23">
          <cell r="H23">
            <v>10175</v>
          </cell>
        </row>
      </sheetData>
      <sheetData sheetId="5615">
        <row r="23">
          <cell r="H23">
            <v>10175</v>
          </cell>
        </row>
      </sheetData>
      <sheetData sheetId="5616">
        <row r="31">
          <cell r="N31">
            <v>906186608.62700033</v>
          </cell>
        </row>
      </sheetData>
      <sheetData sheetId="5617">
        <row r="6">
          <cell r="D6">
            <v>1052065650</v>
          </cell>
        </row>
      </sheetData>
      <sheetData sheetId="5618">
        <row r="6">
          <cell r="D6">
            <v>1052065650</v>
          </cell>
        </row>
      </sheetData>
      <sheetData sheetId="5619">
        <row r="6">
          <cell r="D6">
            <v>1052065650</v>
          </cell>
        </row>
      </sheetData>
      <sheetData sheetId="5620">
        <row r="6">
          <cell r="D6">
            <v>1052065650</v>
          </cell>
        </row>
      </sheetData>
      <sheetData sheetId="5621">
        <row r="6">
          <cell r="D6">
            <v>1052065650</v>
          </cell>
        </row>
      </sheetData>
      <sheetData sheetId="5622">
        <row r="6">
          <cell r="D6">
            <v>1052065650</v>
          </cell>
        </row>
      </sheetData>
      <sheetData sheetId="5623">
        <row r="31">
          <cell r="N31">
            <v>906186608.62700033</v>
          </cell>
        </row>
      </sheetData>
      <sheetData sheetId="5624">
        <row r="6">
          <cell r="D6">
            <v>1052065650</v>
          </cell>
        </row>
      </sheetData>
      <sheetData sheetId="5625">
        <row r="6">
          <cell r="D6">
            <v>1052065650</v>
          </cell>
        </row>
      </sheetData>
      <sheetData sheetId="5626">
        <row r="6">
          <cell r="D6">
            <v>1052065650</v>
          </cell>
        </row>
      </sheetData>
      <sheetData sheetId="5627">
        <row r="2">
          <cell r="A2" t="str">
            <v xml:space="preserve">GCM020004                     </v>
          </cell>
        </row>
      </sheetData>
      <sheetData sheetId="5628">
        <row r="2">
          <cell r="A2" t="str">
            <v xml:space="preserve">GCM020004                     </v>
          </cell>
        </row>
      </sheetData>
      <sheetData sheetId="5629">
        <row r="2">
          <cell r="A2" t="str">
            <v xml:space="preserve">GCM020004                     </v>
          </cell>
        </row>
      </sheetData>
      <sheetData sheetId="5630">
        <row r="2">
          <cell r="A2" t="str">
            <v xml:space="preserve">GCM020004                     </v>
          </cell>
        </row>
      </sheetData>
      <sheetData sheetId="5631">
        <row r="2">
          <cell r="A2" t="str">
            <v xml:space="preserve">GCM020004                     </v>
          </cell>
        </row>
      </sheetData>
      <sheetData sheetId="5632">
        <row r="6">
          <cell r="D6">
            <v>1052065650</v>
          </cell>
        </row>
      </sheetData>
      <sheetData sheetId="5633">
        <row r="6">
          <cell r="D6">
            <v>1052065650</v>
          </cell>
        </row>
      </sheetData>
      <sheetData sheetId="5634">
        <row r="6">
          <cell r="D6">
            <v>1052065650</v>
          </cell>
        </row>
      </sheetData>
      <sheetData sheetId="5635">
        <row r="6">
          <cell r="D6">
            <v>1052065650</v>
          </cell>
        </row>
      </sheetData>
      <sheetData sheetId="5636">
        <row r="6">
          <cell r="D6">
            <v>1052065650</v>
          </cell>
        </row>
      </sheetData>
      <sheetData sheetId="5637">
        <row r="6">
          <cell r="D6">
            <v>1052065650</v>
          </cell>
        </row>
      </sheetData>
      <sheetData sheetId="5638">
        <row r="6">
          <cell r="D6">
            <v>1052065650</v>
          </cell>
        </row>
      </sheetData>
      <sheetData sheetId="5639">
        <row r="6">
          <cell r="D6">
            <v>1052065650</v>
          </cell>
        </row>
      </sheetData>
      <sheetData sheetId="5640">
        <row r="6">
          <cell r="D6">
            <v>1052065650</v>
          </cell>
        </row>
      </sheetData>
      <sheetData sheetId="5641">
        <row r="6">
          <cell r="D6">
            <v>1052065650</v>
          </cell>
        </row>
      </sheetData>
      <sheetData sheetId="5642">
        <row r="6">
          <cell r="D6">
            <v>1052065650</v>
          </cell>
        </row>
      </sheetData>
      <sheetData sheetId="5643">
        <row r="31">
          <cell r="N31">
            <v>906186608.62700033</v>
          </cell>
        </row>
      </sheetData>
      <sheetData sheetId="5644">
        <row r="31">
          <cell r="N31">
            <v>906186608.62700033</v>
          </cell>
        </row>
      </sheetData>
      <sheetData sheetId="5645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>
        <row r="767">
          <cell r="B767">
            <v>739</v>
          </cell>
        </row>
      </sheetData>
      <sheetData sheetId="5882"/>
      <sheetData sheetId="5883">
        <row r="6">
          <cell r="D6">
            <v>1052065650</v>
          </cell>
        </row>
      </sheetData>
      <sheetData sheetId="5884"/>
      <sheetData sheetId="5885"/>
      <sheetData sheetId="5886">
        <row r="767">
          <cell r="B767">
            <v>739</v>
          </cell>
        </row>
      </sheetData>
      <sheetData sheetId="5887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>
        <row r="10">
          <cell r="G10">
            <v>1537500000</v>
          </cell>
        </row>
      </sheetData>
      <sheetData sheetId="5894" refreshError="1"/>
      <sheetData sheetId="5895">
        <row r="6">
          <cell r="D6">
            <v>1052065650</v>
          </cell>
        </row>
      </sheetData>
      <sheetData sheetId="5896"/>
      <sheetData sheetId="5897">
        <row r="767">
          <cell r="B767">
            <v>739</v>
          </cell>
        </row>
      </sheetData>
      <sheetData sheetId="5898">
        <row r="8">
          <cell r="A8" t="str">
            <v>1012-000</v>
          </cell>
        </row>
      </sheetData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>
        <row r="8">
          <cell r="A8" t="str">
            <v>1012-000</v>
          </cell>
        </row>
      </sheetData>
      <sheetData sheetId="5909"/>
      <sheetData sheetId="5910">
        <row r="6">
          <cell r="D6">
            <v>1052065650</v>
          </cell>
        </row>
      </sheetData>
      <sheetData sheetId="5911">
        <row r="2">
          <cell r="K2">
            <v>1550000</v>
          </cell>
        </row>
      </sheetData>
      <sheetData sheetId="5912"/>
      <sheetData sheetId="5913">
        <row r="31">
          <cell r="N31">
            <v>906186608.62700033</v>
          </cell>
        </row>
      </sheetData>
      <sheetData sheetId="5914">
        <row r="2">
          <cell r="A2" t="str">
            <v xml:space="preserve">GCM020004                     </v>
          </cell>
        </row>
      </sheetData>
      <sheetData sheetId="5915">
        <row r="6">
          <cell r="D6">
            <v>1052065650</v>
          </cell>
        </row>
      </sheetData>
      <sheetData sheetId="5916"/>
      <sheetData sheetId="5917">
        <row r="8">
          <cell r="A8" t="str">
            <v>1011-000</v>
          </cell>
        </row>
      </sheetData>
      <sheetData sheetId="5918">
        <row r="767">
          <cell r="B767">
            <v>739</v>
          </cell>
        </row>
      </sheetData>
      <sheetData sheetId="5919"/>
      <sheetData sheetId="5920">
        <row r="8">
          <cell r="A8" t="str">
            <v>1011-000</v>
          </cell>
        </row>
      </sheetData>
      <sheetData sheetId="5921">
        <row r="1">
          <cell r="D1" t="str">
            <v>Date on :</v>
          </cell>
        </row>
      </sheetData>
      <sheetData sheetId="5922">
        <row r="31">
          <cell r="N31">
            <v>906186608.62700033</v>
          </cell>
        </row>
      </sheetData>
      <sheetData sheetId="5923">
        <row r="31">
          <cell r="N31">
            <v>906186608.62700033</v>
          </cell>
        </row>
      </sheetData>
      <sheetData sheetId="5924">
        <row r="6">
          <cell r="D6">
            <v>1052065650</v>
          </cell>
        </row>
      </sheetData>
      <sheetData sheetId="5925">
        <row r="31">
          <cell r="N31">
            <v>906186608.62700033</v>
          </cell>
        </row>
      </sheetData>
      <sheetData sheetId="5926">
        <row r="6">
          <cell r="D6">
            <v>1052065650</v>
          </cell>
        </row>
      </sheetData>
      <sheetData sheetId="5927"/>
      <sheetData sheetId="5928"/>
      <sheetData sheetId="5929"/>
      <sheetData sheetId="5930"/>
      <sheetData sheetId="5931">
        <row r="767">
          <cell r="B767">
            <v>739</v>
          </cell>
        </row>
      </sheetData>
      <sheetData sheetId="5932">
        <row r="3">
          <cell r="B3">
            <v>1</v>
          </cell>
        </row>
      </sheetData>
      <sheetData sheetId="5933">
        <row r="6">
          <cell r="D6">
            <v>1052065650</v>
          </cell>
        </row>
      </sheetData>
      <sheetData sheetId="5934"/>
      <sheetData sheetId="5935"/>
      <sheetData sheetId="5936">
        <row r="767">
          <cell r="B767">
            <v>739</v>
          </cell>
        </row>
      </sheetData>
      <sheetData sheetId="5937"/>
      <sheetData sheetId="5938">
        <row r="31">
          <cell r="N31">
            <v>906186608.62700033</v>
          </cell>
        </row>
      </sheetData>
      <sheetData sheetId="5939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/>
      <sheetData sheetId="6029"/>
      <sheetData sheetId="6030">
        <row r="6">
          <cell r="D6">
            <v>1052065650</v>
          </cell>
        </row>
      </sheetData>
      <sheetData sheetId="6031"/>
      <sheetData sheetId="6032"/>
      <sheetData sheetId="6033"/>
      <sheetData sheetId="6034">
        <row r="4">
          <cell r="B4" t="str">
            <v xml:space="preserve">GCM020004                     </v>
          </cell>
        </row>
      </sheetData>
      <sheetData sheetId="6035">
        <row r="767">
          <cell r="B767">
            <v>739</v>
          </cell>
        </row>
      </sheetData>
      <sheetData sheetId="6036">
        <row r="767">
          <cell r="B767">
            <v>739</v>
          </cell>
        </row>
      </sheetData>
      <sheetData sheetId="6037">
        <row r="6">
          <cell r="D6">
            <v>1052065650</v>
          </cell>
        </row>
      </sheetData>
      <sheetData sheetId="6038">
        <row r="8">
          <cell r="A8" t="str">
            <v>1012-000</v>
          </cell>
        </row>
      </sheetData>
      <sheetData sheetId="6039">
        <row r="8">
          <cell r="A8" t="str">
            <v>1012-000</v>
          </cell>
        </row>
      </sheetData>
      <sheetData sheetId="6040">
        <row r="6">
          <cell r="D6">
            <v>1052065650</v>
          </cell>
        </row>
      </sheetData>
      <sheetData sheetId="6041">
        <row r="8">
          <cell r="A8" t="str">
            <v>1012-000</v>
          </cell>
        </row>
      </sheetData>
      <sheetData sheetId="6042">
        <row r="8">
          <cell r="A8" t="str">
            <v>1011-000</v>
          </cell>
        </row>
      </sheetData>
      <sheetData sheetId="6043" refreshError="1"/>
      <sheetData sheetId="6044">
        <row r="6">
          <cell r="D6">
            <v>1052065650</v>
          </cell>
        </row>
      </sheetData>
      <sheetData sheetId="6045">
        <row r="31">
          <cell r="N31">
            <v>906186608.62700033</v>
          </cell>
        </row>
      </sheetData>
      <sheetData sheetId="6046">
        <row r="4">
          <cell r="B4">
            <v>1013000</v>
          </cell>
        </row>
      </sheetData>
      <sheetData sheetId="6047" refreshError="1"/>
      <sheetData sheetId="6048" refreshError="1"/>
      <sheetData sheetId="6049" refreshError="1"/>
      <sheetData sheetId="6050">
        <row r="6">
          <cell r="D6">
            <v>1052065650</v>
          </cell>
        </row>
      </sheetData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>
        <row r="97">
          <cell r="M97">
            <v>1</v>
          </cell>
        </row>
      </sheetData>
      <sheetData sheetId="6993"/>
      <sheetData sheetId="6994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/>
      <sheetData sheetId="7498"/>
      <sheetData sheetId="7499"/>
      <sheetData sheetId="7500"/>
      <sheetData sheetId="7501"/>
      <sheetData sheetId="7502" refreshError="1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 refreshError="1"/>
      <sheetData sheetId="12844" refreshError="1"/>
      <sheetData sheetId="12845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 refreshError="1"/>
      <sheetData sheetId="12954" refreshError="1"/>
      <sheetData sheetId="12955" refreshError="1"/>
      <sheetData sheetId="12956" refreshError="1"/>
      <sheetData sheetId="12957"/>
      <sheetData sheetId="12958"/>
      <sheetData sheetId="12959"/>
      <sheetData sheetId="12960"/>
      <sheetData sheetId="12961"/>
      <sheetData sheetId="12962" refreshError="1"/>
      <sheetData sheetId="12963"/>
      <sheetData sheetId="12964"/>
      <sheetData sheetId="12965"/>
      <sheetData sheetId="12966"/>
      <sheetData sheetId="12967"/>
      <sheetData sheetId="12968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/>
      <sheetData sheetId="12975" refreshError="1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 refreshError="1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 refreshError="1"/>
      <sheetData sheetId="13067" refreshError="1"/>
      <sheetData sheetId="13068"/>
      <sheetData sheetId="13069"/>
      <sheetData sheetId="13070"/>
      <sheetData sheetId="13071" refreshError="1"/>
      <sheetData sheetId="13072" refreshError="1"/>
      <sheetData sheetId="13073"/>
      <sheetData sheetId="13074" refreshError="1"/>
      <sheetData sheetId="13075" refreshError="1"/>
      <sheetData sheetId="13076" refreshError="1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/>
      <sheetData sheetId="13113" refreshError="1"/>
      <sheetData sheetId="13114"/>
      <sheetData sheetId="13115" refreshError="1"/>
      <sheetData sheetId="13116" refreshError="1"/>
      <sheetData sheetId="13117" refreshError="1"/>
      <sheetData sheetId="13118" refreshError="1"/>
      <sheetData sheetId="13119"/>
      <sheetData sheetId="13120" refreshError="1"/>
      <sheetData sheetId="13121" refreshError="1"/>
      <sheetData sheetId="13122" refreshError="1"/>
      <sheetData sheetId="13123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 refreshError="1"/>
      <sheetData sheetId="13144"/>
      <sheetData sheetId="13145" refreshError="1"/>
      <sheetData sheetId="13146" refreshError="1"/>
      <sheetData sheetId="13147"/>
      <sheetData sheetId="13148"/>
      <sheetData sheetId="13149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/>
      <sheetData sheetId="13159" refreshError="1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/>
      <sheetData sheetId="13183" refreshError="1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/>
      <sheetData sheetId="13276"/>
      <sheetData sheetId="13277"/>
      <sheetData sheetId="13278" refreshError="1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/>
      <sheetData sheetId="13328" refreshError="1"/>
      <sheetData sheetId="13329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/>
      <sheetData sheetId="15539"/>
      <sheetData sheetId="15540"/>
      <sheetData sheetId="15541"/>
      <sheetData sheetId="15542"/>
      <sheetData sheetId="15543" refreshError="1"/>
      <sheetData sheetId="15544" refreshError="1"/>
      <sheetData sheetId="15545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/>
      <sheetData sheetId="15574" refreshError="1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 refreshError="1"/>
      <sheetData sheetId="15613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/>
      <sheetData sheetId="15621">
        <row r="3">
          <cell r="C3" t="str">
            <v>01.371.491.0-054.000</v>
          </cell>
        </row>
      </sheetData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 refreshError="1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 refreshError="1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>
        <row r="1">
          <cell r="A1" t="str">
            <v>KARTU PERSEDIAAN SAHAM</v>
          </cell>
        </row>
      </sheetData>
      <sheetData sheetId="15656">
        <row r="8">
          <cell r="G8">
            <v>585000000</v>
          </cell>
        </row>
      </sheetData>
      <sheetData sheetId="15657">
        <row r="10">
          <cell r="G10">
            <v>48740.655773260543</v>
          </cell>
        </row>
      </sheetData>
      <sheetData sheetId="15658">
        <row r="10">
          <cell r="G10">
            <v>48407.587688761399</v>
          </cell>
        </row>
      </sheetData>
      <sheetData sheetId="15659">
        <row r="8">
          <cell r="C8">
            <v>110100100</v>
          </cell>
        </row>
      </sheetData>
      <sheetData sheetId="15660">
        <row r="1">
          <cell r="A1" t="str">
            <v xml:space="preserve">KARTU PERSEDIAAN SAHAM </v>
          </cell>
        </row>
      </sheetData>
      <sheetData sheetId="15661">
        <row r="8">
          <cell r="G8">
            <v>1150000000</v>
          </cell>
        </row>
      </sheetData>
      <sheetData sheetId="15662">
        <row r="42">
          <cell r="O42">
            <v>3000000</v>
          </cell>
        </row>
      </sheetData>
      <sheetData sheetId="15663">
        <row r="10">
          <cell r="G10">
            <v>1640000000</v>
          </cell>
        </row>
      </sheetData>
      <sheetData sheetId="15664">
        <row r="12">
          <cell r="G12">
            <v>1062456474.8566109</v>
          </cell>
        </row>
      </sheetData>
      <sheetData sheetId="15665">
        <row r="9">
          <cell r="G9">
            <v>1589564963.5036495</v>
          </cell>
        </row>
      </sheetData>
      <sheetData sheetId="15666">
        <row r="9">
          <cell r="G9">
            <v>637106480</v>
          </cell>
        </row>
      </sheetData>
      <sheetData sheetId="15667">
        <row r="8">
          <cell r="G8">
            <v>787500000</v>
          </cell>
        </row>
      </sheetData>
      <sheetData sheetId="15668">
        <row r="8">
          <cell r="G8">
            <v>1096650000</v>
          </cell>
        </row>
      </sheetData>
      <sheetData sheetId="15669">
        <row r="8">
          <cell r="G8">
            <v>160000000</v>
          </cell>
        </row>
      </sheetData>
      <sheetData sheetId="15670">
        <row r="10">
          <cell r="G10">
            <v>1958369751.5180733</v>
          </cell>
        </row>
      </sheetData>
      <sheetData sheetId="15671">
        <row r="1">
          <cell r="A1" t="str">
            <v>PT Samudera Shipping Services (PT SSS)</v>
          </cell>
        </row>
      </sheetData>
      <sheetData sheetId="15672">
        <row r="8">
          <cell r="G8">
            <v>118750000</v>
          </cell>
        </row>
      </sheetData>
      <sheetData sheetId="15673">
        <row r="10">
          <cell r="G10">
            <v>61100000</v>
          </cell>
        </row>
      </sheetData>
      <sheetData sheetId="15674"/>
      <sheetData sheetId="15675">
        <row r="11">
          <cell r="T11">
            <v>120</v>
          </cell>
        </row>
      </sheetData>
      <sheetData sheetId="15676">
        <row r="8">
          <cell r="G8">
            <v>64530000</v>
          </cell>
        </row>
      </sheetData>
      <sheetData sheetId="15677">
        <row r="7">
          <cell r="H7">
            <v>50000000</v>
          </cell>
        </row>
      </sheetData>
      <sheetData sheetId="15678">
        <row r="54">
          <cell r="Q54">
            <v>0</v>
          </cell>
        </row>
      </sheetData>
      <sheetData sheetId="15679"/>
      <sheetData sheetId="15680">
        <row r="45">
          <cell r="Q45">
            <v>0</v>
          </cell>
        </row>
      </sheetData>
      <sheetData sheetId="15681"/>
      <sheetData sheetId="15682">
        <row r="46">
          <cell r="Q46">
            <v>0</v>
          </cell>
        </row>
      </sheetData>
      <sheetData sheetId="15683">
        <row r="30">
          <cell r="Q30">
            <v>0</v>
          </cell>
        </row>
      </sheetData>
      <sheetData sheetId="15684">
        <row r="7">
          <cell r="H7">
            <v>183423000</v>
          </cell>
        </row>
      </sheetData>
      <sheetData sheetId="15685">
        <row r="65">
          <cell r="N65">
            <v>22500000</v>
          </cell>
        </row>
      </sheetData>
      <sheetData sheetId="15686">
        <row r="44">
          <cell r="H44">
            <v>0</v>
          </cell>
        </row>
      </sheetData>
      <sheetData sheetId="15687">
        <row r="10">
          <cell r="G10">
            <v>1893750000</v>
          </cell>
        </row>
      </sheetData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>
        <row r="67">
          <cell r="Q67">
            <v>0</v>
          </cell>
        </row>
      </sheetData>
      <sheetData sheetId="15699" refreshError="1"/>
      <sheetData sheetId="15700" refreshError="1"/>
      <sheetData sheetId="15701" refreshError="1"/>
      <sheetData sheetId="15702">
        <row r="1335">
          <cell r="D1335">
            <v>0</v>
          </cell>
        </row>
      </sheetData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/>
      <sheetData sheetId="15730" refreshError="1"/>
      <sheetData sheetId="15731" refreshError="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 refreshError="1"/>
      <sheetData sheetId="15751">
        <row r="2">
          <cell r="F2" t="str">
            <v>Preliminary Dec 31, 04</v>
          </cell>
        </row>
      </sheetData>
      <sheetData sheetId="15752">
        <row r="1">
          <cell r="F1" t="str">
            <v>Preliminary Dec 31, 04</v>
          </cell>
        </row>
      </sheetData>
      <sheetData sheetId="15753"/>
      <sheetData sheetId="15754"/>
      <sheetData sheetId="15755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/>
      <sheetData sheetId="15764" refreshError="1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 refreshError="1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 refreshError="1"/>
      <sheetData sheetId="15797" refreshError="1"/>
      <sheetData sheetId="15798" refreshError="1"/>
      <sheetData sheetId="15799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/>
      <sheetData sheetId="15823"/>
      <sheetData sheetId="15824"/>
      <sheetData sheetId="15825"/>
      <sheetData sheetId="15826">
        <row r="38">
          <cell r="Q38">
            <v>345500</v>
          </cell>
        </row>
      </sheetData>
      <sheetData sheetId="15827">
        <row r="4">
          <cell r="A4" t="str">
            <v>NAMA SAHAM :</v>
          </cell>
        </row>
      </sheetData>
      <sheetData sheetId="15828">
        <row r="64">
          <cell r="N64">
            <v>595080</v>
          </cell>
        </row>
      </sheetData>
      <sheetData sheetId="15829">
        <row r="40">
          <cell r="Q40">
            <v>30000</v>
          </cell>
        </row>
      </sheetData>
      <sheetData sheetId="15830">
        <row r="34">
          <cell r="Q34">
            <v>1200000</v>
          </cell>
        </row>
      </sheetData>
      <sheetData sheetId="15831">
        <row r="34">
          <cell r="Q34">
            <v>2800000</v>
          </cell>
        </row>
      </sheetData>
      <sheetData sheetId="15832">
        <row r="45">
          <cell r="Q45">
            <v>7100000</v>
          </cell>
        </row>
      </sheetData>
      <sheetData sheetId="15833">
        <row r="14">
          <cell r="A14" t="str">
            <v>TOTAL --&gt;</v>
          </cell>
        </row>
      </sheetData>
      <sheetData sheetId="15834">
        <row r="35">
          <cell r="Q35">
            <v>1050000</v>
          </cell>
        </row>
      </sheetData>
      <sheetData sheetId="15835">
        <row r="37">
          <cell r="Q37">
            <v>20000</v>
          </cell>
        </row>
      </sheetData>
      <sheetData sheetId="15836">
        <row r="12">
          <cell r="A12" t="str">
            <v>TOTAL --&gt;</v>
          </cell>
        </row>
      </sheetData>
      <sheetData sheetId="15837">
        <row r="6">
          <cell r="I6" t="str">
            <v>Dec 31, 09</v>
          </cell>
        </row>
      </sheetData>
      <sheetData sheetId="15838">
        <row r="1">
          <cell r="A1" t="str">
            <v>PT Samudera Shipping Services (PT SSS)</v>
          </cell>
        </row>
      </sheetData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>
        <row r="8">
          <cell r="G8">
            <v>1096650000</v>
          </cell>
        </row>
      </sheetData>
      <sheetData sheetId="15853"/>
      <sheetData sheetId="15854"/>
      <sheetData sheetId="15855" refreshError="1"/>
      <sheetData sheetId="15856" refreshError="1"/>
      <sheetData sheetId="15857">
        <row r="3">
          <cell r="A3" t="str">
            <v>Completed</v>
          </cell>
        </row>
      </sheetData>
      <sheetData sheetId="15858" refreshError="1"/>
      <sheetData sheetId="15859">
        <row r="1">
          <cell r="A1" t="str">
            <v>A-0020</v>
          </cell>
        </row>
      </sheetData>
      <sheetData sheetId="15860"/>
      <sheetData sheetId="15861"/>
      <sheetData sheetId="15862"/>
      <sheetData sheetId="15863"/>
      <sheetData sheetId="15864">
        <row r="8">
          <cell r="F8">
            <v>526124.52500000002</v>
          </cell>
        </row>
      </sheetData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>
        <row r="8">
          <cell r="B8" t="str">
            <v>1.01.01</v>
          </cell>
        </row>
      </sheetData>
      <sheetData sheetId="15874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>
        <row r="1">
          <cell r="A1" t="str">
            <v>acc code</v>
          </cell>
        </row>
      </sheetData>
      <sheetData sheetId="15896" refreshError="1"/>
      <sheetData sheetId="15897">
        <row r="12">
          <cell r="J12" t="str">
            <v>PT WIDATRA BHAKTI</v>
          </cell>
        </row>
      </sheetData>
      <sheetData sheetId="15898"/>
      <sheetData sheetId="15899">
        <row r="26">
          <cell r="O26">
            <v>27778320000</v>
          </cell>
        </row>
      </sheetData>
      <sheetData sheetId="15900"/>
      <sheetData sheetId="15901"/>
      <sheetData sheetId="15902"/>
      <sheetData sheetId="15903"/>
      <sheetData sheetId="15904" refreshError="1"/>
      <sheetData sheetId="15905" refreshError="1"/>
      <sheetData sheetId="15906" refreshError="1"/>
      <sheetData sheetId="15907" refreshError="1"/>
      <sheetData sheetId="15908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>
        <row r="2">
          <cell r="A2" t="str">
            <v>Business Development</v>
          </cell>
        </row>
      </sheetData>
      <sheetData sheetId="15929">
        <row r="2">
          <cell r="A2" t="str">
            <v>LF11 - Cibitung</v>
          </cell>
        </row>
      </sheetData>
      <sheetData sheetId="15930">
        <row r="2">
          <cell r="A2" t="str">
            <v>IDR</v>
          </cell>
        </row>
      </sheetData>
      <sheetData sheetId="15931">
        <row r="2">
          <cell r="A2" t="str">
            <v>Cash</v>
          </cell>
        </row>
      </sheetData>
      <sheetData sheetId="15932"/>
      <sheetData sheetId="15933"/>
      <sheetData sheetId="15934"/>
      <sheetData sheetId="15935"/>
      <sheetData sheetId="15936"/>
      <sheetData sheetId="15937"/>
      <sheetData sheetId="15938"/>
      <sheetData sheetId="15939">
        <row r="239">
          <cell r="I239">
            <v>0</v>
          </cell>
        </row>
      </sheetData>
      <sheetData sheetId="15940"/>
      <sheetData sheetId="15941">
        <row r="241">
          <cell r="I241">
            <v>0</v>
          </cell>
        </row>
      </sheetData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>
        <row r="22">
          <cell r="E22">
            <v>0</v>
          </cell>
        </row>
      </sheetData>
      <sheetData sheetId="15999"/>
      <sheetData sheetId="16000"/>
      <sheetData sheetId="16001"/>
      <sheetData sheetId="16002"/>
      <sheetData sheetId="16003"/>
      <sheetData sheetId="16004" refreshError="1"/>
      <sheetData sheetId="16005" refreshError="1"/>
      <sheetData sheetId="16006" refreshError="1"/>
      <sheetData sheetId="16007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>
        <row r="9">
          <cell r="C9" t="str">
            <v>1.002.726.6-026</v>
          </cell>
        </row>
      </sheetData>
      <sheetData sheetId="16148">
        <row r="1">
          <cell r="F1" t="str">
            <v>Prelim, Dec 31 '02</v>
          </cell>
        </row>
      </sheetData>
      <sheetData sheetId="16149">
        <row r="2">
          <cell r="A2" t="str">
            <v>Acc</v>
          </cell>
        </row>
      </sheetData>
      <sheetData sheetId="16150">
        <row r="11">
          <cell r="C11" t="str">
            <v>01.957.310.4-026.000</v>
          </cell>
        </row>
      </sheetData>
      <sheetData sheetId="16151">
        <row r="12">
          <cell r="C12" t="str">
            <v>01.002.726.6-026.000</v>
          </cell>
        </row>
      </sheetData>
      <sheetData sheetId="16152">
        <row r="8">
          <cell r="G8">
            <v>1690000000</v>
          </cell>
        </row>
      </sheetData>
      <sheetData sheetId="16153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/>
      <sheetData sheetId="16396" refreshError="1"/>
      <sheetData sheetId="16397" refreshError="1"/>
      <sheetData sheetId="16398" refreshError="1"/>
      <sheetData sheetId="16399" refreshError="1"/>
      <sheetData sheetId="16400"/>
      <sheetData sheetId="16401" refreshError="1"/>
      <sheetData sheetId="16402"/>
      <sheetData sheetId="16403"/>
      <sheetData sheetId="16404"/>
      <sheetData sheetId="16405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/>
      <sheetData sheetId="17126" refreshError="1"/>
      <sheetData sheetId="17127" refreshError="1"/>
      <sheetData sheetId="17128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/>
      <sheetData sheetId="17135" refreshError="1"/>
      <sheetData sheetId="17136" refreshError="1"/>
      <sheetData sheetId="17137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 refreshError="1"/>
      <sheetData sheetId="17177" refreshError="1"/>
      <sheetData sheetId="17178" refreshError="1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 refreshError="1"/>
      <sheetData sheetId="17188" refreshError="1"/>
      <sheetData sheetId="17189" refreshError="1"/>
      <sheetData sheetId="17190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/>
      <sheetData sheetId="17558"/>
      <sheetData sheetId="17559"/>
      <sheetData sheetId="17560"/>
      <sheetData sheetId="17561"/>
      <sheetData sheetId="17562" refreshError="1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 refreshError="1"/>
      <sheetData sheetId="18588" refreshError="1"/>
      <sheetData sheetId="18589" refreshError="1"/>
      <sheetData sheetId="18590" refreshError="1"/>
      <sheetData sheetId="18591" refreshError="1"/>
      <sheetData sheetId="18592" refreshError="1"/>
      <sheetData sheetId="18593" refreshError="1"/>
      <sheetData sheetId="18594" refreshError="1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 refreshError="1"/>
      <sheetData sheetId="18612" refreshError="1"/>
      <sheetData sheetId="18613" refreshError="1"/>
      <sheetData sheetId="18614" refreshError="1"/>
      <sheetData sheetId="18615" refreshError="1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 refreshError="1"/>
      <sheetData sheetId="18625" refreshError="1"/>
      <sheetData sheetId="18626" refreshError="1"/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 refreshError="1"/>
      <sheetData sheetId="19552" refreshError="1"/>
      <sheetData sheetId="19553" refreshError="1"/>
      <sheetData sheetId="19554" refreshError="1"/>
      <sheetData sheetId="19555" refreshError="1"/>
      <sheetData sheetId="19556" refreshError="1"/>
      <sheetData sheetId="19557" refreshError="1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 refreshError="1"/>
      <sheetData sheetId="19566" refreshError="1"/>
      <sheetData sheetId="19567" refreshError="1"/>
      <sheetData sheetId="19568" refreshError="1"/>
      <sheetData sheetId="19569" refreshError="1"/>
      <sheetData sheetId="19570" refreshError="1"/>
      <sheetData sheetId="19571" refreshError="1"/>
      <sheetData sheetId="19572" refreshError="1"/>
      <sheetData sheetId="19573" refreshError="1"/>
      <sheetData sheetId="19574" refreshError="1"/>
      <sheetData sheetId="19575" refreshError="1"/>
      <sheetData sheetId="19576" refreshError="1"/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 refreshError="1"/>
      <sheetData sheetId="19590" refreshError="1"/>
      <sheetData sheetId="19591" refreshError="1"/>
      <sheetData sheetId="19592" refreshError="1"/>
      <sheetData sheetId="19593" refreshError="1"/>
      <sheetData sheetId="19594" refreshError="1"/>
      <sheetData sheetId="19595" refreshError="1"/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 refreshError="1"/>
      <sheetData sheetId="20751" refreshError="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 refreshError="1"/>
      <sheetData sheetId="21060" refreshError="1"/>
      <sheetData sheetId="21061" refreshError="1"/>
      <sheetData sheetId="21062" refreshError="1"/>
      <sheetData sheetId="21063" refreshError="1"/>
      <sheetData sheetId="21064" refreshError="1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/>
      <sheetData sheetId="22701"/>
      <sheetData sheetId="22702" refreshError="1"/>
      <sheetData sheetId="22703" refreshError="1"/>
      <sheetData sheetId="22704"/>
      <sheetData sheetId="22705"/>
      <sheetData sheetId="22706"/>
      <sheetData sheetId="22707"/>
      <sheetData sheetId="22708"/>
      <sheetData sheetId="22709">
        <row r="2">
          <cell r="A2" t="str">
            <v>Business Development</v>
          </cell>
        </row>
      </sheetData>
      <sheetData sheetId="22710">
        <row r="2">
          <cell r="A2" t="str">
            <v>LF11 - Cibitung</v>
          </cell>
        </row>
      </sheetData>
      <sheetData sheetId="22711">
        <row r="2">
          <cell r="A2" t="str">
            <v>IDR</v>
          </cell>
        </row>
      </sheetData>
      <sheetData sheetId="22712">
        <row r="2">
          <cell r="A2" t="str">
            <v>Cash</v>
          </cell>
        </row>
      </sheetData>
      <sheetData sheetId="22713"/>
      <sheetData sheetId="22714"/>
      <sheetData sheetId="22715"/>
      <sheetData sheetId="22716"/>
      <sheetData sheetId="22717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/>
      <sheetData sheetId="22743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/>
      <sheetData sheetId="22760" refreshError="1"/>
      <sheetData sheetId="22761" refreshError="1"/>
      <sheetData sheetId="22762" refreshError="1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/>
      <sheetData sheetId="23945">
        <row r="2">
          <cell r="A2" t="str">
            <v>IDR</v>
          </cell>
        </row>
      </sheetData>
      <sheetData sheetId="23946"/>
      <sheetData sheetId="23947">
        <row r="7">
          <cell r="A7">
            <v>1</v>
          </cell>
        </row>
      </sheetData>
      <sheetData sheetId="23948"/>
      <sheetData sheetId="23949"/>
      <sheetData sheetId="23950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>
        <row r="1">
          <cell r="M1" t="str">
            <v>Korfis Amount</v>
          </cell>
        </row>
      </sheetData>
      <sheetData sheetId="24523"/>
      <sheetData sheetId="24524"/>
      <sheetData sheetId="24525"/>
      <sheetData sheetId="24526"/>
      <sheetData sheetId="24527"/>
      <sheetData sheetId="24528" refreshError="1"/>
      <sheetData sheetId="24529"/>
      <sheetData sheetId="24530"/>
      <sheetData sheetId="24531"/>
      <sheetData sheetId="24532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 refreshError="1"/>
      <sheetData sheetId="24584"/>
      <sheetData sheetId="24585"/>
      <sheetData sheetId="24586">
        <row r="1">
          <cell r="K1">
            <v>37986</v>
          </cell>
        </row>
      </sheetData>
      <sheetData sheetId="24587"/>
      <sheetData sheetId="24588"/>
      <sheetData sheetId="24589"/>
      <sheetData sheetId="24590"/>
      <sheetData sheetId="24591"/>
      <sheetData sheetId="24592" refreshError="1"/>
      <sheetData sheetId="24593"/>
      <sheetData sheetId="24594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>
        <row r="12">
          <cell r="A12" t="str">
            <v>B1</v>
          </cell>
        </row>
      </sheetData>
      <sheetData sheetId="24606"/>
      <sheetData sheetId="24607"/>
      <sheetData sheetId="24608"/>
      <sheetData sheetId="24609"/>
      <sheetData sheetId="24610"/>
      <sheetData sheetId="24611"/>
      <sheetData sheetId="24612">
        <row r="2">
          <cell r="AH2">
            <v>38</v>
          </cell>
        </row>
      </sheetData>
      <sheetData sheetId="24613"/>
      <sheetData sheetId="24614"/>
      <sheetData sheetId="24615"/>
      <sheetData sheetId="24616"/>
      <sheetData sheetId="24617">
        <row r="5">
          <cell r="X5" t="str">
            <v>OUTGOING</v>
          </cell>
        </row>
      </sheetData>
      <sheetData sheetId="24618">
        <row r="3">
          <cell r="AA3" t="str">
            <v>TOTAL CASH RP ON HANDS &amp; IN BANKS</v>
          </cell>
        </row>
      </sheetData>
      <sheetData sheetId="24619"/>
      <sheetData sheetId="24620"/>
      <sheetData sheetId="24621" refreshError="1"/>
      <sheetData sheetId="24622" refreshError="1"/>
      <sheetData sheetId="24623" refreshError="1"/>
      <sheetData sheetId="24624"/>
      <sheetData sheetId="24625"/>
      <sheetData sheetId="24626"/>
      <sheetData sheetId="24627"/>
      <sheetData sheetId="24628" refreshError="1"/>
      <sheetData sheetId="24629"/>
      <sheetData sheetId="24630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/>
      <sheetData sheetId="24651"/>
      <sheetData sheetId="24652">
        <row r="12">
          <cell r="A12" t="str">
            <v>B1</v>
          </cell>
        </row>
      </sheetData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>
        <row r="9">
          <cell r="A9">
            <v>11000000</v>
          </cell>
        </row>
      </sheetData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>
        <row r="43">
          <cell r="C43">
            <v>20003243258.799999</v>
          </cell>
        </row>
      </sheetData>
      <sheetData sheetId="24670"/>
      <sheetData sheetId="2467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 refreshError="1"/>
      <sheetData sheetId="24699"/>
      <sheetData sheetId="24700" refreshError="1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/>
      <sheetData sheetId="24728"/>
      <sheetData sheetId="24729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/>
      <sheetData sheetId="24789"/>
      <sheetData sheetId="24790"/>
      <sheetData sheetId="24791"/>
      <sheetData sheetId="24792"/>
      <sheetData sheetId="24793"/>
      <sheetData sheetId="24794"/>
      <sheetData sheetId="24795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/>
      <sheetData sheetId="24821"/>
      <sheetData sheetId="24822"/>
      <sheetData sheetId="24823"/>
      <sheetData sheetId="24824">
        <row r="7">
          <cell r="C7" t="str">
            <v>Net income before tax</v>
          </cell>
        </row>
      </sheetData>
      <sheetData sheetId="24825"/>
      <sheetData sheetId="24826"/>
      <sheetData sheetId="24827"/>
      <sheetData sheetId="24828"/>
      <sheetData sheetId="24829"/>
      <sheetData sheetId="24830"/>
      <sheetData sheetId="2483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>
        <row r="1">
          <cell r="A1" t="str">
            <v>CV TRITUNGGAL SENTOSA</v>
          </cell>
        </row>
      </sheetData>
      <sheetData sheetId="24858"/>
      <sheetData sheetId="24859"/>
      <sheetData sheetId="24860">
        <row r="31">
          <cell r="N31">
            <v>906186608.62700033</v>
          </cell>
        </row>
      </sheetData>
      <sheetData sheetId="24861"/>
      <sheetData sheetId="24862"/>
      <sheetData sheetId="24863"/>
      <sheetData sheetId="24864"/>
      <sheetData sheetId="24865"/>
      <sheetData sheetId="24866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>
        <row r="2">
          <cell r="C2" t="str">
            <v>LAPORAN LABA / (RUGI)</v>
          </cell>
        </row>
      </sheetData>
      <sheetData sheetId="24891">
        <row r="2">
          <cell r="C2" t="str">
            <v>LAPORAN LABA / (RUGI)</v>
          </cell>
        </row>
      </sheetData>
      <sheetData sheetId="24892"/>
      <sheetData sheetId="24893"/>
      <sheetData sheetId="24894">
        <row r="7">
          <cell r="C7" t="str">
            <v>Net income before tax</v>
          </cell>
        </row>
      </sheetData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>
        <row r="144">
          <cell r="G144" t="str">
            <v>Kolektibilitas</v>
          </cell>
        </row>
      </sheetData>
      <sheetData sheetId="24908"/>
      <sheetData sheetId="24909"/>
      <sheetData sheetId="24910"/>
      <sheetData sheetId="24911"/>
      <sheetData sheetId="24912"/>
      <sheetData sheetId="24913">
        <row r="6">
          <cell r="D6">
            <v>1052065650</v>
          </cell>
        </row>
      </sheetData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>
        <row r="1">
          <cell r="A1" t="str">
            <v>CV TRITUNGGAL SENTOSA</v>
          </cell>
        </row>
      </sheetData>
      <sheetData sheetId="24942"/>
      <sheetData sheetId="24943"/>
      <sheetData sheetId="24944">
        <row r="31">
          <cell r="N31">
            <v>906186608.62700033</v>
          </cell>
        </row>
      </sheetData>
      <sheetData sheetId="24945"/>
      <sheetData sheetId="24946">
        <row r="1">
          <cell r="A1" t="str">
            <v>CV TRITUNGGAL SENTOSA</v>
          </cell>
        </row>
      </sheetData>
      <sheetData sheetId="24947"/>
      <sheetData sheetId="24948">
        <row r="7">
          <cell r="C7" t="str">
            <v>Net income before tax</v>
          </cell>
        </row>
      </sheetData>
      <sheetData sheetId="24949"/>
      <sheetData sheetId="24950">
        <row r="248">
          <cell r="F248">
            <v>1.1059322033898304</v>
          </cell>
        </row>
      </sheetData>
      <sheetData sheetId="24951">
        <row r="1">
          <cell r="A1" t="str">
            <v>CV TRITUNGGAL SENTOSA</v>
          </cell>
        </row>
      </sheetData>
      <sheetData sheetId="24952"/>
      <sheetData sheetId="24953">
        <row r="3">
          <cell r="A3" t="str">
            <v>-</v>
          </cell>
        </row>
      </sheetData>
      <sheetData sheetId="24954"/>
      <sheetData sheetId="24955"/>
      <sheetData sheetId="24956"/>
      <sheetData sheetId="24957"/>
      <sheetData sheetId="24958">
        <row r="767">
          <cell r="B767">
            <v>739</v>
          </cell>
        </row>
      </sheetData>
      <sheetData sheetId="24959"/>
      <sheetData sheetId="24960"/>
      <sheetData sheetId="24961"/>
      <sheetData sheetId="24962"/>
      <sheetData sheetId="24963"/>
      <sheetData sheetId="24964">
        <row r="7">
          <cell r="C7" t="str">
            <v>Net income before tax</v>
          </cell>
        </row>
      </sheetData>
      <sheetData sheetId="24965">
        <row r="1">
          <cell r="A1" t="str">
            <v>CV TRITUNGGAL SENTOSA</v>
          </cell>
        </row>
      </sheetData>
      <sheetData sheetId="24966"/>
      <sheetData sheetId="24967">
        <row r="2">
          <cell r="C2" t="str">
            <v>LAPORAN LABA / (RUGI)</v>
          </cell>
        </row>
      </sheetData>
      <sheetData sheetId="24968">
        <row r="144">
          <cell r="G144" t="str">
            <v>Kolektibilitas</v>
          </cell>
        </row>
      </sheetData>
      <sheetData sheetId="24969"/>
      <sheetData sheetId="24970"/>
      <sheetData sheetId="24971"/>
      <sheetData sheetId="24972">
        <row r="1">
          <cell r="A1" t="str">
            <v>DAFTAR RINCIAN AKTIVA TETAP &amp; PENYUSUTANNYA</v>
          </cell>
        </row>
      </sheetData>
      <sheetData sheetId="24973"/>
      <sheetData sheetId="24974"/>
      <sheetData sheetId="24975"/>
      <sheetData sheetId="24976"/>
      <sheetData sheetId="24977">
        <row r="2">
          <cell r="C2" t="str">
            <v>LAPORAN LABA / (RUGI)</v>
          </cell>
        </row>
      </sheetData>
      <sheetData sheetId="24978"/>
      <sheetData sheetId="24979"/>
      <sheetData sheetId="24980"/>
      <sheetData sheetId="24981"/>
      <sheetData sheetId="24982"/>
      <sheetData sheetId="24983"/>
      <sheetData sheetId="24984"/>
      <sheetData sheetId="24985"/>
      <sheetData sheetId="24986">
        <row r="1">
          <cell r="A1" t="str">
            <v>CV TRITUNGGAL SENTOSA</v>
          </cell>
        </row>
      </sheetData>
      <sheetData sheetId="24987"/>
      <sheetData sheetId="24988"/>
      <sheetData sheetId="24989">
        <row r="31">
          <cell r="N31">
            <v>906186608.62700033</v>
          </cell>
        </row>
      </sheetData>
      <sheetData sheetId="24990"/>
      <sheetData sheetId="24991"/>
      <sheetData sheetId="24992"/>
      <sheetData sheetId="24993"/>
      <sheetData sheetId="24994"/>
      <sheetData sheetId="24995">
        <row r="248">
          <cell r="F248">
            <v>1.1059322033898304</v>
          </cell>
        </row>
      </sheetData>
      <sheetData sheetId="24996"/>
      <sheetData sheetId="24997"/>
      <sheetData sheetId="24998"/>
      <sheetData sheetId="24999" refreshError="1"/>
      <sheetData sheetId="25000">
        <row r="1">
          <cell r="A1" t="str">
            <v>CV TRITUNGGAL SENTOSA</v>
          </cell>
        </row>
      </sheetData>
      <sheetData sheetId="25001"/>
      <sheetData sheetId="25002">
        <row r="144">
          <cell r="G144" t="str">
            <v>Kolektibilitas</v>
          </cell>
        </row>
      </sheetData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>
        <row r="31">
          <cell r="N31">
            <v>906186608.62700033</v>
          </cell>
        </row>
      </sheetData>
      <sheetData sheetId="25021"/>
      <sheetData sheetId="25022"/>
      <sheetData sheetId="25023"/>
      <sheetData sheetId="25024"/>
      <sheetData sheetId="25025"/>
      <sheetData sheetId="25026">
        <row r="767">
          <cell r="B767">
            <v>739</v>
          </cell>
        </row>
      </sheetData>
      <sheetData sheetId="25027"/>
      <sheetData sheetId="25028">
        <row r="1">
          <cell r="A1" t="str">
            <v>CV TRITUNGGAL SENTOSA</v>
          </cell>
        </row>
      </sheetData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>
        <row r="767">
          <cell r="B767">
            <v>739</v>
          </cell>
        </row>
      </sheetData>
      <sheetData sheetId="25041"/>
      <sheetData sheetId="25042">
        <row r="1">
          <cell r="A1" t="str">
            <v>CV TRITUNGGAL SENTOSA</v>
          </cell>
        </row>
      </sheetData>
      <sheetData sheetId="25043"/>
      <sheetData sheetId="25044"/>
      <sheetData sheetId="25045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/>
      <sheetData sheetId="25055"/>
      <sheetData sheetId="25056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>
        <row r="7">
          <cell r="C7" t="str">
            <v>Net income before tax</v>
          </cell>
        </row>
      </sheetData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 refreshError="1"/>
      <sheetData sheetId="25115" refreshError="1"/>
      <sheetData sheetId="25116"/>
      <sheetData sheetId="25117" refreshError="1"/>
      <sheetData sheetId="25118" refreshError="1"/>
      <sheetData sheetId="25119"/>
      <sheetData sheetId="25120"/>
      <sheetData sheetId="25121"/>
      <sheetData sheetId="25122"/>
      <sheetData sheetId="25123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/>
      <sheetData sheetId="25149"/>
      <sheetData sheetId="25150" refreshError="1"/>
      <sheetData sheetId="25151" refreshError="1"/>
      <sheetData sheetId="25152" refreshError="1"/>
      <sheetData sheetId="25153" refreshError="1"/>
      <sheetData sheetId="25154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/>
      <sheetData sheetId="25167" refreshError="1"/>
      <sheetData sheetId="25168"/>
      <sheetData sheetId="25169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>
        <row r="3">
          <cell r="D3">
            <v>38569.1875</v>
          </cell>
        </row>
      </sheetData>
      <sheetData sheetId="25335"/>
      <sheetData sheetId="25336"/>
      <sheetData sheetId="25337">
        <row r="1">
          <cell r="A1" t="str">
            <v>PT Samudera Shipping Services (PT SSS)</v>
          </cell>
        </row>
      </sheetData>
      <sheetData sheetId="25338"/>
      <sheetData sheetId="25339"/>
      <sheetData sheetId="25340"/>
      <sheetData sheetId="25341"/>
      <sheetData sheetId="25342"/>
      <sheetData sheetId="25343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>
        <row r="7">
          <cell r="C7" t="str">
            <v>Net income before tax</v>
          </cell>
        </row>
      </sheetData>
      <sheetData sheetId="25376"/>
      <sheetData sheetId="25377"/>
      <sheetData sheetId="25378"/>
      <sheetData sheetId="25379"/>
      <sheetData sheetId="25380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/>
      <sheetData sheetId="25959"/>
      <sheetData sheetId="25960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>
        <row r="7">
          <cell r="D7" t="str">
            <v>PT CERES</v>
          </cell>
        </row>
      </sheetData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/>
      <sheetData sheetId="26002">
        <row r="5">
          <cell r="I5" t="str">
            <v>PT Mega Kemiraya</v>
          </cell>
        </row>
      </sheetData>
      <sheetData sheetId="26003"/>
      <sheetData sheetId="26004"/>
      <sheetData sheetId="26005"/>
      <sheetData sheetId="26006"/>
      <sheetData sheetId="26007"/>
      <sheetData sheetId="26008"/>
      <sheetData sheetId="26009">
        <row r="11">
          <cell r="A11" t="str">
            <v>03001000</v>
          </cell>
        </row>
      </sheetData>
      <sheetData sheetId="26010"/>
      <sheetData sheetId="26011">
        <row r="1">
          <cell r="A1" t="str">
            <v>DEPARTEMEN KEUANGAN REPUBLIK INDONESIA</v>
          </cell>
        </row>
      </sheetData>
      <sheetData sheetId="26012">
        <row r="2">
          <cell r="A2" t="str">
            <v>AXA QUARTERLY REPORTING
P&amp;C data base (1/2)</v>
          </cell>
        </row>
      </sheetData>
      <sheetData sheetId="26013"/>
      <sheetData sheetId="26014"/>
      <sheetData sheetId="26015"/>
      <sheetData sheetId="26016"/>
      <sheetData sheetId="26017"/>
      <sheetData sheetId="26018">
        <row r="7">
          <cell r="D7" t="str">
            <v>PT CERES</v>
          </cell>
        </row>
      </sheetData>
      <sheetData sheetId="26019">
        <row r="1">
          <cell r="B1">
            <v>1</v>
          </cell>
        </row>
      </sheetData>
      <sheetData sheetId="26020"/>
      <sheetData sheetId="26021">
        <row r="1">
          <cell r="C1" t="str">
            <v>W/N P/N#</v>
          </cell>
        </row>
      </sheetData>
      <sheetData sheetId="26022">
        <row r="1">
          <cell r="B1">
            <v>1</v>
          </cell>
        </row>
      </sheetData>
      <sheetData sheetId="26023"/>
      <sheetData sheetId="26024"/>
      <sheetData sheetId="26025"/>
      <sheetData sheetId="26026">
        <row r="8">
          <cell r="A8" t="str">
            <v>1011-000</v>
          </cell>
        </row>
      </sheetData>
      <sheetData sheetId="26027"/>
      <sheetData sheetId="26028"/>
      <sheetData sheetId="26029"/>
      <sheetData sheetId="26030"/>
      <sheetData sheetId="26031"/>
      <sheetData sheetId="26032"/>
      <sheetData sheetId="26033"/>
      <sheetData sheetId="26034" refreshError="1"/>
      <sheetData sheetId="26035" refreshError="1"/>
      <sheetData sheetId="26036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>
        <row r="8">
          <cell r="A8" t="str">
            <v>1012-000</v>
          </cell>
        </row>
      </sheetData>
      <sheetData sheetId="26044">
        <row r="8">
          <cell r="A8" t="str">
            <v>1011-000</v>
          </cell>
        </row>
      </sheetData>
      <sheetData sheetId="26045">
        <row r="8">
          <cell r="A8" t="str">
            <v>1011-000</v>
          </cell>
        </row>
      </sheetData>
      <sheetData sheetId="26046">
        <row r="8">
          <cell r="A8" t="str">
            <v>1011-000</v>
          </cell>
        </row>
      </sheetData>
      <sheetData sheetId="26047" refreshError="1"/>
      <sheetData sheetId="26048"/>
      <sheetData sheetId="26049"/>
      <sheetData sheetId="26050" refreshError="1"/>
      <sheetData sheetId="26051"/>
      <sheetData sheetId="26052">
        <row r="1">
          <cell r="A1" t="str">
            <v>CV TRITUNGGAL SENTOSA</v>
          </cell>
        </row>
      </sheetData>
      <sheetData sheetId="26053" refreshError="1"/>
      <sheetData sheetId="26054">
        <row r="1">
          <cell r="A1" t="str">
            <v>DAFTAR RINCIAN AKTIVA TETAP &amp; PENYUSUTANNYA</v>
          </cell>
        </row>
      </sheetData>
      <sheetData sheetId="26055">
        <row r="1">
          <cell r="A1" t="str">
            <v>CV TRITUNGGAL SENTOSA</v>
          </cell>
        </row>
      </sheetData>
      <sheetData sheetId="26056">
        <row r="1">
          <cell r="A1" t="str">
            <v>CV TRITUNGGAL SENTOSA</v>
          </cell>
        </row>
      </sheetData>
      <sheetData sheetId="26057">
        <row r="1">
          <cell r="A1" t="str">
            <v>CV TRITUNGGAL SENTOSA</v>
          </cell>
        </row>
      </sheetData>
      <sheetData sheetId="26058">
        <row r="1">
          <cell r="A1" t="str">
            <v>CV TRITUNGGAL SENTOSA</v>
          </cell>
        </row>
      </sheetData>
      <sheetData sheetId="26059">
        <row r="1">
          <cell r="A1" t="str">
            <v>CV TRITUNGGAL SENTOSA</v>
          </cell>
        </row>
      </sheetData>
      <sheetData sheetId="26060"/>
      <sheetData sheetId="26061"/>
      <sheetData sheetId="26062"/>
      <sheetData sheetId="26063"/>
      <sheetData sheetId="26064"/>
      <sheetData sheetId="26065"/>
      <sheetData sheetId="26066">
        <row r="1">
          <cell r="A1" t="str">
            <v>DEPARTEMEN KEUANGAN REPUBLIK INDONESIA</v>
          </cell>
        </row>
      </sheetData>
      <sheetData sheetId="26067">
        <row r="2">
          <cell r="A2" t="str">
            <v>AXA QUARTERLY REPORTING
P&amp;C data base (1/2)</v>
          </cell>
        </row>
      </sheetData>
      <sheetData sheetId="26068"/>
      <sheetData sheetId="26069"/>
      <sheetData sheetId="26070">
        <row r="2">
          <cell r="A2" t="str">
            <v>AXA QUARTERLY REPORTING
P&amp;C data base (1/2)</v>
          </cell>
        </row>
      </sheetData>
      <sheetData sheetId="26071"/>
      <sheetData sheetId="26072"/>
      <sheetData sheetId="26073"/>
      <sheetData sheetId="26074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>
        <row r="2">
          <cell r="B2" t="str">
            <v>PT. TRIPUTRA AGRO PERSADA</v>
          </cell>
        </row>
      </sheetData>
      <sheetData sheetId="26091">
        <row r="1">
          <cell r="A1" t="str">
            <v>PT. GAWI BAHANDEP SAWIT MEKAR</v>
          </cell>
        </row>
      </sheetData>
      <sheetData sheetId="26092">
        <row r="1">
          <cell r="A1" t="str">
            <v>PT. GAWI BAHANDEP SAWIT MEKAR</v>
          </cell>
        </row>
      </sheetData>
      <sheetData sheetId="26093">
        <row r="1">
          <cell r="A1" t="str">
            <v>DAFTAR STOCK MATERIAL &amp; SPARE PART</v>
          </cell>
        </row>
      </sheetData>
      <sheetData sheetId="26094">
        <row r="2">
          <cell r="B2" t="str">
            <v>PT. TRIPUTRA AGRO PERSADA</v>
          </cell>
        </row>
      </sheetData>
      <sheetData sheetId="26095">
        <row r="2">
          <cell r="B2" t="str">
            <v>PT. TRIPUTRA AGRO PERSADA</v>
          </cell>
        </row>
      </sheetData>
      <sheetData sheetId="26096">
        <row r="1">
          <cell r="A1" t="str">
            <v>PT. GAWI BAHANDEP SAWIT MEKAR</v>
          </cell>
        </row>
      </sheetData>
      <sheetData sheetId="26097">
        <row r="1">
          <cell r="A1" t="str">
            <v>DAFTAR STOCK MATERIAL &amp; SPARE PART</v>
          </cell>
        </row>
      </sheetData>
      <sheetData sheetId="26098">
        <row r="1">
          <cell r="A1" t="str">
            <v>DAFTAR STOCK MATERIAL &amp; SPARE PART</v>
          </cell>
        </row>
      </sheetData>
      <sheetData sheetId="26099">
        <row r="2">
          <cell r="B2" t="str">
            <v>PT. TRIPUTRA AGRO PERSADA</v>
          </cell>
        </row>
      </sheetData>
      <sheetData sheetId="26100">
        <row r="2">
          <cell r="B2" t="str">
            <v>PT. TRIPUTRA AGRO PERSADA</v>
          </cell>
        </row>
      </sheetData>
      <sheetData sheetId="26101">
        <row r="1">
          <cell r="A1" t="str">
            <v>PT. GAWI BAHANDEP SAWIT MEKAR</v>
          </cell>
        </row>
      </sheetData>
      <sheetData sheetId="26102">
        <row r="1">
          <cell r="A1" t="str">
            <v>KODE_TOKO</v>
          </cell>
        </row>
      </sheetData>
      <sheetData sheetId="26103"/>
      <sheetData sheetId="26104"/>
      <sheetData sheetId="26105"/>
      <sheetData sheetId="26106"/>
      <sheetData sheetId="26107">
        <row r="2">
          <cell r="A2" t="str">
            <v>AXA QUARTERLY REPORTING
P&amp;C data base (1/2)</v>
          </cell>
        </row>
      </sheetData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/>
      <sheetData sheetId="26125">
        <row r="8">
          <cell r="A8" t="str">
            <v>1011-000</v>
          </cell>
        </row>
      </sheetData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>
        <row r="1">
          <cell r="B1" t="str">
            <v>DPI</v>
          </cell>
        </row>
      </sheetData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/>
      <sheetData sheetId="26173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/>
      <sheetData sheetId="26185" refreshError="1"/>
      <sheetData sheetId="26186" refreshError="1"/>
      <sheetData sheetId="26187" refreshError="1"/>
      <sheetData sheetId="26188" refreshError="1"/>
      <sheetData sheetId="26189"/>
      <sheetData sheetId="26190"/>
      <sheetData sheetId="2619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>
        <row r="9">
          <cell r="C9" t="str">
            <v>1.002.726.6-026</v>
          </cell>
        </row>
      </sheetData>
      <sheetData sheetId="26204" refreshError="1"/>
      <sheetData sheetId="26205">
        <row r="10">
          <cell r="C10" t="str">
            <v>01.061.608.4-056.000</v>
          </cell>
        </row>
      </sheetData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>
        <row r="7">
          <cell r="D7" t="str">
            <v>PT CERES</v>
          </cell>
        </row>
      </sheetData>
      <sheetData sheetId="26267"/>
      <sheetData sheetId="26268"/>
      <sheetData sheetId="26269"/>
      <sheetData sheetId="26270"/>
      <sheetData sheetId="2627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/>
      <sheetData sheetId="26296"/>
      <sheetData sheetId="26297">
        <row r="1">
          <cell r="A1" t="str">
            <v>DEPARTEMEN KEUANGAN REPUBLIK INDONESIA</v>
          </cell>
        </row>
      </sheetData>
      <sheetData sheetId="26298">
        <row r="2">
          <cell r="A2" t="str">
            <v>AXA QUARTERLY REPORTING
P&amp;C data base (1/2)</v>
          </cell>
        </row>
      </sheetData>
      <sheetData sheetId="26299"/>
      <sheetData sheetId="26300"/>
      <sheetData sheetId="26301"/>
      <sheetData sheetId="26302"/>
      <sheetData sheetId="26303"/>
      <sheetData sheetId="26304">
        <row r="4">
          <cell r="O4">
            <v>37929</v>
          </cell>
        </row>
      </sheetData>
      <sheetData sheetId="26305">
        <row r="8">
          <cell r="A8" t="str">
            <v>1011-000</v>
          </cell>
        </row>
      </sheetData>
      <sheetData sheetId="26306">
        <row r="1">
          <cell r="M1" t="str">
            <v>P:\CBIAccr</v>
          </cell>
        </row>
      </sheetData>
      <sheetData sheetId="26307">
        <row r="1">
          <cell r="A1" t="str">
            <v>Account</v>
          </cell>
        </row>
      </sheetData>
      <sheetData sheetId="26308">
        <row r="8">
          <cell r="A8" t="str">
            <v>1011-000</v>
          </cell>
        </row>
      </sheetData>
      <sheetData sheetId="26309"/>
      <sheetData sheetId="26310">
        <row r="8">
          <cell r="A8" t="str">
            <v>1011-000</v>
          </cell>
        </row>
      </sheetData>
      <sheetData sheetId="26311">
        <row r="8">
          <cell r="A8" t="str">
            <v>1011-000</v>
          </cell>
        </row>
      </sheetData>
      <sheetData sheetId="26312">
        <row r="7">
          <cell r="E7" t="str">
            <v>PT. Surya Siam Keramik</v>
          </cell>
        </row>
      </sheetData>
      <sheetData sheetId="26313"/>
      <sheetData sheetId="26314"/>
      <sheetData sheetId="26315">
        <row r="8">
          <cell r="A8" t="str">
            <v>1011-000</v>
          </cell>
        </row>
      </sheetData>
      <sheetData sheetId="26316"/>
      <sheetData sheetId="26317"/>
      <sheetData sheetId="26318"/>
      <sheetData sheetId="26319"/>
      <sheetData sheetId="26320"/>
      <sheetData sheetId="26321"/>
      <sheetData sheetId="26322"/>
      <sheetData sheetId="26323"/>
      <sheetData sheetId="26324">
        <row r="1">
          <cell r="A1" t="str">
            <v>DEPARTEMEN KEUANGAN REPUBLIK INDONESIA</v>
          </cell>
        </row>
      </sheetData>
      <sheetData sheetId="26325" refreshError="1"/>
      <sheetData sheetId="26326" refreshError="1"/>
      <sheetData sheetId="26327" refreshError="1"/>
      <sheetData sheetId="26328" refreshError="1"/>
      <sheetData sheetId="26329">
        <row r="9">
          <cell r="C9" t="str">
            <v>1.002.726.6-026</v>
          </cell>
        </row>
      </sheetData>
      <sheetData sheetId="26330">
        <row r="10">
          <cell r="C10" t="str">
            <v>01.132.922.4-611.000</v>
          </cell>
        </row>
      </sheetData>
      <sheetData sheetId="26331"/>
      <sheetData sheetId="26332"/>
      <sheetData sheetId="26333">
        <row r="8">
          <cell r="A8" t="str">
            <v>1011-000</v>
          </cell>
        </row>
      </sheetData>
      <sheetData sheetId="26334">
        <row r="2">
          <cell r="A2" t="str">
            <v>AXA QUARTERLY REPORTING
P&amp;C data base (1/2)</v>
          </cell>
        </row>
      </sheetData>
      <sheetData sheetId="26335">
        <row r="11">
          <cell r="C11" t="str">
            <v>01.957.310.4-026.000</v>
          </cell>
        </row>
      </sheetData>
      <sheetData sheetId="26336">
        <row r="12">
          <cell r="C12" t="str">
            <v>01.002.726.6-026.000</v>
          </cell>
        </row>
      </sheetData>
      <sheetData sheetId="26337">
        <row r="9">
          <cell r="C9" t="str">
            <v>01.310.774.3-015.000</v>
          </cell>
        </row>
      </sheetData>
      <sheetData sheetId="26338">
        <row r="35">
          <cell r="AE35">
            <v>0</v>
          </cell>
        </row>
      </sheetData>
      <sheetData sheetId="26339"/>
      <sheetData sheetId="26340"/>
      <sheetData sheetId="26341">
        <row r="12">
          <cell r="C12" t="str">
            <v>01.071.314.7-056.000</v>
          </cell>
        </row>
      </sheetData>
      <sheetData sheetId="26342">
        <row r="15">
          <cell r="C15" t="str">
            <v>01.067.835.7-054.000</v>
          </cell>
        </row>
      </sheetData>
      <sheetData sheetId="26343">
        <row r="18">
          <cell r="C18" t="str">
            <v>01.241.497.5-403.000</v>
          </cell>
        </row>
      </sheetData>
      <sheetData sheetId="26344"/>
      <sheetData sheetId="26345">
        <row r="12">
          <cell r="C12" t="str">
            <v>01.000.283.0.034.000</v>
          </cell>
        </row>
      </sheetData>
      <sheetData sheetId="26346"/>
      <sheetData sheetId="26347">
        <row r="32">
          <cell r="L32">
            <v>3302563638</v>
          </cell>
        </row>
      </sheetData>
      <sheetData sheetId="26348">
        <row r="7">
          <cell r="E7" t="str">
            <v>PT KARYA YASANTARA CAKTI</v>
          </cell>
        </row>
      </sheetData>
      <sheetData sheetId="26349">
        <row r="8">
          <cell r="A8" t="str">
            <v>1011-000</v>
          </cell>
        </row>
      </sheetData>
      <sheetData sheetId="26350">
        <row r="2">
          <cell r="A2" t="str">
            <v>AXA QUARTERLY REPORTING
P&amp;C data base (1/2)</v>
          </cell>
        </row>
      </sheetData>
      <sheetData sheetId="26351">
        <row r="7">
          <cell r="E7" t="str">
            <v>PT. Surya Siam Keramik</v>
          </cell>
        </row>
      </sheetData>
      <sheetData sheetId="26352">
        <row r="8">
          <cell r="A8" t="str">
            <v>1011-000</v>
          </cell>
        </row>
      </sheetData>
      <sheetData sheetId="26353">
        <row r="8">
          <cell r="A8" t="str">
            <v>1011-000</v>
          </cell>
        </row>
      </sheetData>
      <sheetData sheetId="26354">
        <row r="8">
          <cell r="A8" t="str">
            <v>1011-000</v>
          </cell>
        </row>
      </sheetData>
      <sheetData sheetId="26355" refreshError="1"/>
      <sheetData sheetId="26356" refreshError="1"/>
      <sheetData sheetId="26357"/>
      <sheetData sheetId="26358">
        <row r="5">
          <cell r="I5" t="str">
            <v>PT Mega Kemiraya</v>
          </cell>
        </row>
      </sheetData>
      <sheetData sheetId="26359">
        <row r="1">
          <cell r="A1" t="str">
            <v>NPWP</v>
          </cell>
        </row>
      </sheetData>
      <sheetData sheetId="26360">
        <row r="2">
          <cell r="F2" t="str">
            <v>Preliminary</v>
          </cell>
        </row>
      </sheetData>
      <sheetData sheetId="26361">
        <row r="5">
          <cell r="J5">
            <v>53000</v>
          </cell>
        </row>
      </sheetData>
      <sheetData sheetId="26362"/>
      <sheetData sheetId="26363" refreshError="1"/>
      <sheetData sheetId="26364">
        <row r="2">
          <cell r="A2" t="str">
            <v>AXA QUARTERLY REPORTING
P&amp;C data base (1/2)</v>
          </cell>
        </row>
      </sheetData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>
        <row r="19">
          <cell r="G19">
            <v>0.42</v>
          </cell>
        </row>
      </sheetData>
      <sheetData sheetId="26383"/>
      <sheetData sheetId="26384"/>
      <sheetData sheetId="26385"/>
      <sheetData sheetId="26386"/>
      <sheetData sheetId="26387"/>
      <sheetData sheetId="26388"/>
      <sheetData sheetId="26389">
        <row r="7">
          <cell r="C7" t="str">
            <v>receivables</v>
          </cell>
        </row>
      </sheetData>
      <sheetData sheetId="26390"/>
      <sheetData sheetId="26391">
        <row r="8">
          <cell r="A8" t="str">
            <v>1011-000</v>
          </cell>
        </row>
      </sheetData>
      <sheetData sheetId="26392">
        <row r="3">
          <cell r="E3">
            <v>2002</v>
          </cell>
        </row>
      </sheetData>
      <sheetData sheetId="26393">
        <row r="9">
          <cell r="C9" t="str">
            <v>01.562.308.5-028.000</v>
          </cell>
        </row>
      </sheetData>
      <sheetData sheetId="26394">
        <row r="13">
          <cell r="C13" t="str">
            <v>01.304.266.8-011.000</v>
          </cell>
        </row>
      </sheetData>
      <sheetData sheetId="26395">
        <row r="9">
          <cell r="C9" t="str">
            <v>01.562.308.5-028.000</v>
          </cell>
        </row>
      </sheetData>
      <sheetData sheetId="26396">
        <row r="5">
          <cell r="I5" t="str">
            <v>PT Mega Kemiraya</v>
          </cell>
        </row>
      </sheetData>
      <sheetData sheetId="26397">
        <row r="12">
          <cell r="C12" t="str">
            <v>01.000.283.0.034.000</v>
          </cell>
        </row>
      </sheetData>
      <sheetData sheetId="26398" refreshError="1"/>
      <sheetData sheetId="26399" refreshError="1"/>
      <sheetData sheetId="26400" refreshError="1"/>
      <sheetData sheetId="26401" refreshError="1"/>
      <sheetData sheetId="26402"/>
      <sheetData sheetId="26403"/>
      <sheetData sheetId="26404"/>
      <sheetData sheetId="26405"/>
      <sheetData sheetId="26406"/>
      <sheetData sheetId="26407"/>
      <sheetData sheetId="26408"/>
      <sheetData sheetId="26409">
        <row r="4">
          <cell r="I4">
            <v>0</v>
          </cell>
        </row>
      </sheetData>
      <sheetData sheetId="26410"/>
      <sheetData sheetId="26411"/>
      <sheetData sheetId="26412"/>
      <sheetData sheetId="26413">
        <row r="1">
          <cell r="A1" t="str">
            <v>KODE_TOKO</v>
          </cell>
        </row>
      </sheetData>
      <sheetData sheetId="26414"/>
      <sheetData sheetId="26415"/>
      <sheetData sheetId="26416">
        <row r="8">
          <cell r="A8" t="str">
            <v>1011-000</v>
          </cell>
        </row>
      </sheetData>
      <sheetData sheetId="26417"/>
      <sheetData sheetId="26418"/>
      <sheetData sheetId="26419"/>
      <sheetData sheetId="26420"/>
      <sheetData sheetId="26421">
        <row r="36">
          <cell r="E36">
            <v>0</v>
          </cell>
        </row>
      </sheetData>
      <sheetData sheetId="26422"/>
      <sheetData sheetId="26423"/>
      <sheetData sheetId="26424"/>
      <sheetData sheetId="26425"/>
      <sheetData sheetId="26426">
        <row r="19">
          <cell r="G19">
            <v>0.42</v>
          </cell>
        </row>
      </sheetData>
      <sheetData sheetId="26427">
        <row r="1">
          <cell r="A1" t="str">
            <v>KODE_TOKO</v>
          </cell>
        </row>
      </sheetData>
      <sheetData sheetId="26428"/>
      <sheetData sheetId="26429"/>
      <sheetData sheetId="26430"/>
      <sheetData sheetId="26431"/>
      <sheetData sheetId="26432"/>
      <sheetData sheetId="26433"/>
      <sheetData sheetId="26434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/>
      <sheetData sheetId="26454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/>
      <sheetData sheetId="26461">
        <row r="9">
          <cell r="C9" t="str">
            <v>1.309.323.2-054</v>
          </cell>
        </row>
      </sheetData>
      <sheetData sheetId="26462" refreshError="1"/>
      <sheetData sheetId="26463" refreshError="1"/>
      <sheetData sheetId="26464" refreshError="1"/>
      <sheetData sheetId="26465" refreshError="1"/>
      <sheetData sheetId="26466">
        <row r="32">
          <cell r="L32">
            <v>3302563638</v>
          </cell>
        </row>
      </sheetData>
      <sheetData sheetId="26467" refreshError="1"/>
      <sheetData sheetId="26468"/>
      <sheetData sheetId="26469" refreshError="1"/>
      <sheetData sheetId="26470"/>
      <sheetData sheetId="26471"/>
      <sheetData sheetId="26472">
        <row r="2">
          <cell r="A2" t="str">
            <v>AXA QUARTERLY REPORTING
P&amp;C data base (1/2)</v>
          </cell>
        </row>
      </sheetData>
      <sheetData sheetId="26473"/>
      <sheetData sheetId="26474"/>
      <sheetData sheetId="26475"/>
      <sheetData sheetId="26476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>
        <row r="8">
          <cell r="A8" t="str">
            <v>1011-000</v>
          </cell>
        </row>
      </sheetData>
      <sheetData sheetId="26496"/>
      <sheetData sheetId="26497" refreshError="1"/>
      <sheetData sheetId="26498"/>
      <sheetData sheetId="26499"/>
      <sheetData sheetId="26500" refreshError="1"/>
      <sheetData sheetId="26501" refreshError="1"/>
      <sheetData sheetId="26502" refreshError="1"/>
      <sheetData sheetId="26503" refreshError="1"/>
      <sheetData sheetId="26504"/>
      <sheetData sheetId="26505"/>
      <sheetData sheetId="26506"/>
      <sheetData sheetId="26507"/>
      <sheetData sheetId="26508"/>
      <sheetData sheetId="26509">
        <row r="7">
          <cell r="B7">
            <v>0</v>
          </cell>
        </row>
      </sheetData>
      <sheetData sheetId="26510"/>
      <sheetData sheetId="26511">
        <row r="8">
          <cell r="A8" t="str">
            <v>1011-000</v>
          </cell>
        </row>
      </sheetData>
      <sheetData sheetId="26512">
        <row r="12">
          <cell r="C12" t="str">
            <v>01.002.726.6-026.000</v>
          </cell>
        </row>
      </sheetData>
      <sheetData sheetId="26513"/>
      <sheetData sheetId="26514">
        <row r="8">
          <cell r="A8" t="str">
            <v>1011-000</v>
          </cell>
        </row>
      </sheetData>
      <sheetData sheetId="26515">
        <row r="8">
          <cell r="A8" t="str">
            <v>1011-000</v>
          </cell>
        </row>
      </sheetData>
      <sheetData sheetId="26516">
        <row r="32">
          <cell r="L32">
            <v>3302563638</v>
          </cell>
        </row>
      </sheetData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>
        <row r="8">
          <cell r="A8" t="str">
            <v>1011-000</v>
          </cell>
        </row>
      </sheetData>
      <sheetData sheetId="26540">
        <row r="8">
          <cell r="A8" t="str">
            <v>1011-000</v>
          </cell>
        </row>
      </sheetData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/>
      <sheetData sheetId="26552">
        <row r="1">
          <cell r="A1" t="str">
            <v>PT Samudera Shipping Services (PT SSS)</v>
          </cell>
        </row>
      </sheetData>
      <sheetData sheetId="26553" refreshError="1"/>
      <sheetData sheetId="26554">
        <row r="1">
          <cell r="A1" t="str">
            <v>PT Samudera Shipping Services (PT SSS)</v>
          </cell>
        </row>
      </sheetData>
      <sheetData sheetId="26555" refreshError="1"/>
      <sheetData sheetId="26556" refreshError="1"/>
      <sheetData sheetId="26557">
        <row r="1">
          <cell r="A1" t="str">
            <v>PT Samudera Shipping Services (PT SSS)</v>
          </cell>
        </row>
      </sheetData>
      <sheetData sheetId="26558">
        <row r="1">
          <cell r="A1" t="str">
            <v>PT Samudera Shipping Services (PT SSS)</v>
          </cell>
        </row>
      </sheetData>
      <sheetData sheetId="26559">
        <row r="1">
          <cell r="A1" t="str">
            <v>PT Samudera Shipping Services (PT SSS)</v>
          </cell>
        </row>
      </sheetData>
      <sheetData sheetId="26560">
        <row r="1">
          <cell r="A1" t="str">
            <v>PT Samudera Shipping Services (PT SSS)</v>
          </cell>
        </row>
      </sheetData>
      <sheetData sheetId="26561">
        <row r="1">
          <cell r="A1" t="str">
            <v>PT Samudera Shipping Services (PT SSS)</v>
          </cell>
        </row>
      </sheetData>
      <sheetData sheetId="26562">
        <row r="1">
          <cell r="A1" t="str">
            <v>PT Samudera Shipping Services (PT SSS)</v>
          </cell>
        </row>
      </sheetData>
      <sheetData sheetId="26563">
        <row r="1">
          <cell r="A1" t="str">
            <v>PT Samudera Shipping Services (PT SSS)</v>
          </cell>
        </row>
      </sheetData>
      <sheetData sheetId="26564">
        <row r="1">
          <cell r="A1" t="str">
            <v>PT Samudera Shipping Services (PT SSS)</v>
          </cell>
        </row>
      </sheetData>
      <sheetData sheetId="26565">
        <row r="1">
          <cell r="A1" t="str">
            <v>PT Samudera Shipping Services (PT SSS)</v>
          </cell>
        </row>
      </sheetData>
      <sheetData sheetId="26566">
        <row r="1">
          <cell r="A1" t="str">
            <v>PT Samudera Shipping Services (PT SSS)</v>
          </cell>
        </row>
      </sheetData>
      <sheetData sheetId="26567">
        <row r="1">
          <cell r="A1" t="str">
            <v>PT. GAWI BAHANDEP SAWIT MEKAR</v>
          </cell>
        </row>
      </sheetData>
      <sheetData sheetId="26568">
        <row r="1">
          <cell r="A1" t="str">
            <v>PT Samudera Shipping Services (PT SSS)</v>
          </cell>
        </row>
      </sheetData>
      <sheetData sheetId="26569">
        <row r="1">
          <cell r="A1" t="str">
            <v>PT Samudera Shipping Services (PT SSS)</v>
          </cell>
        </row>
      </sheetData>
      <sheetData sheetId="26570" refreshError="1"/>
      <sheetData sheetId="26571" refreshError="1"/>
      <sheetData sheetId="26572" refreshError="1"/>
      <sheetData sheetId="26573" refreshError="1"/>
      <sheetData sheetId="26574">
        <row r="1">
          <cell r="A1" t="str">
            <v>PT Samudera Shipping Services (PT SSS)</v>
          </cell>
        </row>
      </sheetData>
      <sheetData sheetId="26575">
        <row r="1">
          <cell r="A1" t="str">
            <v>PT Samudera Shipping Services (PT SSS)</v>
          </cell>
        </row>
      </sheetData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>
        <row r="8">
          <cell r="A8" t="str">
            <v>1011-000</v>
          </cell>
        </row>
      </sheetData>
      <sheetData sheetId="26597" refreshError="1"/>
      <sheetData sheetId="26598" refreshError="1"/>
      <sheetData sheetId="26599" refreshError="1"/>
      <sheetData sheetId="26600" refreshError="1"/>
      <sheetData sheetId="26601">
        <row r="3">
          <cell r="C3">
            <v>38291</v>
          </cell>
        </row>
      </sheetData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/>
      <sheetData sheetId="26620"/>
      <sheetData sheetId="26621"/>
      <sheetData sheetId="26622"/>
      <sheetData sheetId="26623"/>
      <sheetData sheetId="26624">
        <row r="15">
          <cell r="C15" t="str">
            <v>1.337.800.5-407</v>
          </cell>
        </row>
      </sheetData>
      <sheetData sheetId="26625">
        <row r="9">
          <cell r="C9" t="str">
            <v>1.309.323.2-054</v>
          </cell>
        </row>
      </sheetData>
      <sheetData sheetId="26626"/>
      <sheetData sheetId="26627"/>
      <sheetData sheetId="26628"/>
      <sheetData sheetId="26629">
        <row r="9">
          <cell r="C9" t="str">
            <v>1.002.726.6-026</v>
          </cell>
        </row>
      </sheetData>
      <sheetData sheetId="26630"/>
      <sheetData sheetId="26631"/>
      <sheetData sheetId="26632"/>
      <sheetData sheetId="26633"/>
      <sheetData sheetId="26634"/>
      <sheetData sheetId="26635" refreshError="1"/>
      <sheetData sheetId="26636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/>
      <sheetData sheetId="26673"/>
      <sheetData sheetId="26674"/>
      <sheetData sheetId="26675"/>
      <sheetData sheetId="26676">
        <row r="1">
          <cell r="A1" t="str">
            <v>DEPARTEMEN KEUANGAN REPUBLIK INDONESIA</v>
          </cell>
        </row>
      </sheetData>
      <sheetData sheetId="26677"/>
      <sheetData sheetId="26678"/>
      <sheetData sheetId="26679"/>
      <sheetData sheetId="26680"/>
      <sheetData sheetId="26681"/>
      <sheetData sheetId="26682">
        <row r="15">
          <cell r="C15" t="str">
            <v>1.337.800.5-407</v>
          </cell>
        </row>
      </sheetData>
      <sheetData sheetId="26683">
        <row r="8">
          <cell r="A8" t="str">
            <v>1011-000</v>
          </cell>
        </row>
      </sheetData>
      <sheetData sheetId="26684">
        <row r="7">
          <cell r="E7" t="str">
            <v>PT. Surya Siam Keramik</v>
          </cell>
        </row>
      </sheetData>
      <sheetData sheetId="26685">
        <row r="8">
          <cell r="A8" t="str">
            <v>1011-000</v>
          </cell>
        </row>
      </sheetData>
      <sheetData sheetId="26686">
        <row r="9">
          <cell r="C9" t="str">
            <v>1.002.726.6-026</v>
          </cell>
        </row>
      </sheetData>
      <sheetData sheetId="26687">
        <row r="7">
          <cell r="B7">
            <v>0</v>
          </cell>
        </row>
      </sheetData>
      <sheetData sheetId="26688">
        <row r="8">
          <cell r="A8" t="str">
            <v>1011-000</v>
          </cell>
        </row>
      </sheetData>
      <sheetData sheetId="26689">
        <row r="8">
          <cell r="A8" t="str">
            <v>1011-000</v>
          </cell>
        </row>
      </sheetData>
      <sheetData sheetId="26690">
        <row r="8">
          <cell r="A8" t="str">
            <v>1011-000</v>
          </cell>
        </row>
      </sheetData>
      <sheetData sheetId="26691"/>
      <sheetData sheetId="26692">
        <row r="8">
          <cell r="A8" t="str">
            <v>1011-000</v>
          </cell>
        </row>
      </sheetData>
      <sheetData sheetId="26693">
        <row r="8">
          <cell r="A8" t="str">
            <v>1011-000</v>
          </cell>
        </row>
      </sheetData>
      <sheetData sheetId="26694">
        <row r="32">
          <cell r="L32">
            <v>3302563638</v>
          </cell>
        </row>
      </sheetData>
      <sheetData sheetId="26695">
        <row r="9">
          <cell r="C9" t="str">
            <v>1.002.726.6-026</v>
          </cell>
        </row>
      </sheetData>
      <sheetData sheetId="26696"/>
      <sheetData sheetId="26697"/>
      <sheetData sheetId="26698"/>
      <sheetData sheetId="26699">
        <row r="7">
          <cell r="C7" t="str">
            <v>receivables</v>
          </cell>
        </row>
      </sheetData>
      <sheetData sheetId="26700">
        <row r="8">
          <cell r="A8" t="str">
            <v>1011-000</v>
          </cell>
        </row>
      </sheetData>
      <sheetData sheetId="26701">
        <row r="8">
          <cell r="A8" t="str">
            <v>1011-000</v>
          </cell>
        </row>
      </sheetData>
      <sheetData sheetId="26702">
        <row r="8">
          <cell r="A8" t="str">
            <v>1012-000</v>
          </cell>
        </row>
      </sheetData>
      <sheetData sheetId="26703">
        <row r="7">
          <cell r="D7" t="str">
            <v>PT CERES</v>
          </cell>
        </row>
      </sheetData>
      <sheetData sheetId="26704">
        <row r="8">
          <cell r="A8" t="str">
            <v>1011-000</v>
          </cell>
        </row>
      </sheetData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/>
      <sheetData sheetId="26908"/>
      <sheetData sheetId="26909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 refreshError="1"/>
      <sheetData sheetId="27022" refreshError="1"/>
      <sheetData sheetId="27023" refreshError="1"/>
      <sheetData sheetId="27024" refreshError="1"/>
      <sheetData sheetId="27025" refreshError="1"/>
      <sheetData sheetId="27026" refreshError="1"/>
      <sheetData sheetId="27027" refreshError="1"/>
      <sheetData sheetId="27028" refreshError="1"/>
      <sheetData sheetId="27029" refreshError="1"/>
      <sheetData sheetId="27030" refreshError="1"/>
      <sheetData sheetId="27031" refreshError="1"/>
      <sheetData sheetId="27032" refreshError="1"/>
      <sheetData sheetId="27033" refreshError="1"/>
      <sheetData sheetId="27034" refreshError="1"/>
      <sheetData sheetId="27035" refreshError="1"/>
      <sheetData sheetId="27036" refreshError="1"/>
      <sheetData sheetId="27037" refreshError="1"/>
      <sheetData sheetId="27038" refreshError="1"/>
      <sheetData sheetId="27039" refreshError="1"/>
      <sheetData sheetId="27040" refreshError="1"/>
      <sheetData sheetId="27041" refreshError="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 refreshError="1"/>
      <sheetData sheetId="27083" refreshError="1"/>
      <sheetData sheetId="27084" refreshError="1"/>
      <sheetData sheetId="27085" refreshError="1"/>
      <sheetData sheetId="27086" refreshError="1"/>
      <sheetData sheetId="27087" refreshError="1"/>
      <sheetData sheetId="27088" refreshError="1"/>
      <sheetData sheetId="27089" refreshError="1"/>
      <sheetData sheetId="27090" refreshError="1"/>
      <sheetData sheetId="27091" refreshError="1"/>
      <sheetData sheetId="27092" refreshError="1"/>
      <sheetData sheetId="27093" refreshError="1"/>
      <sheetData sheetId="27094" refreshError="1"/>
      <sheetData sheetId="27095" refreshError="1"/>
      <sheetData sheetId="27096" refreshError="1"/>
      <sheetData sheetId="27097" refreshError="1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 refreshError="1"/>
      <sheetData sheetId="27143" refreshError="1"/>
      <sheetData sheetId="27144" refreshError="1"/>
      <sheetData sheetId="27145" refreshError="1"/>
      <sheetData sheetId="27146" refreshError="1"/>
      <sheetData sheetId="27147" refreshError="1"/>
      <sheetData sheetId="27148" refreshError="1"/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 refreshError="1"/>
      <sheetData sheetId="27168" refreshError="1"/>
      <sheetData sheetId="27169" refreshError="1"/>
      <sheetData sheetId="27170" refreshError="1"/>
      <sheetData sheetId="27171" refreshError="1"/>
      <sheetData sheetId="27172"/>
      <sheetData sheetId="27173" refreshError="1"/>
      <sheetData sheetId="27174" refreshError="1"/>
      <sheetData sheetId="27175" refreshError="1"/>
      <sheetData sheetId="27176" refreshError="1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 refreshError="1"/>
      <sheetData sheetId="27200"/>
      <sheetData sheetId="27201" refreshError="1"/>
      <sheetData sheetId="27202" refreshError="1"/>
      <sheetData sheetId="27203" refreshError="1"/>
      <sheetData sheetId="27204" refreshError="1"/>
      <sheetData sheetId="27205" refreshError="1"/>
      <sheetData sheetId="27206" refreshError="1"/>
      <sheetData sheetId="27207" refreshError="1"/>
      <sheetData sheetId="27208" refreshError="1"/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/>
      <sheetData sheetId="27231" refreshError="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/>
      <sheetData sheetId="27245" refreshError="1"/>
      <sheetData sheetId="27246" refreshError="1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/>
      <sheetData sheetId="27264"/>
      <sheetData sheetId="27265"/>
      <sheetData sheetId="27266"/>
      <sheetData sheetId="27267"/>
      <sheetData sheetId="27268"/>
      <sheetData sheetId="27269"/>
      <sheetData sheetId="27270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>
        <row r="10">
          <cell r="G10">
            <v>1537500000</v>
          </cell>
        </row>
      </sheetData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>
        <row r="8">
          <cell r="F8">
            <v>526124.52500000002</v>
          </cell>
        </row>
      </sheetData>
      <sheetData sheetId="27294"/>
      <sheetData sheetId="27295" refreshError="1"/>
      <sheetData sheetId="27296" refreshError="1"/>
      <sheetData sheetId="27297" refreshError="1"/>
      <sheetData sheetId="27298" refreshError="1"/>
      <sheetData sheetId="27299" refreshError="1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/>
      <sheetData sheetId="27316" refreshError="1"/>
      <sheetData sheetId="27317">
        <row r="55">
          <cell r="H55" t="str">
            <v>WILLY BUDIONO</v>
          </cell>
        </row>
      </sheetData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 refreshError="1"/>
      <sheetData sheetId="27417" refreshError="1"/>
      <sheetData sheetId="27418" refreshError="1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 refreshError="1"/>
      <sheetData sheetId="27595" refreshError="1"/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 refreshError="1"/>
      <sheetData sheetId="27603" refreshError="1"/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 refreshError="1"/>
      <sheetData sheetId="27654" refreshError="1"/>
      <sheetData sheetId="27655" refreshError="1"/>
      <sheetData sheetId="27656" refreshError="1"/>
      <sheetData sheetId="27657" refreshError="1"/>
      <sheetData sheetId="27658" refreshError="1"/>
      <sheetData sheetId="27659" refreshError="1"/>
      <sheetData sheetId="27660" refreshError="1"/>
      <sheetData sheetId="27661" refreshError="1"/>
      <sheetData sheetId="27662" refreshError="1"/>
      <sheetData sheetId="27663" refreshError="1"/>
      <sheetData sheetId="27664" refreshError="1"/>
      <sheetData sheetId="27665" refreshError="1"/>
      <sheetData sheetId="27666" refreshError="1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>
        <row r="2">
          <cell r="A2" t="str">
            <v>-</v>
          </cell>
        </row>
      </sheetData>
      <sheetData sheetId="28191"/>
      <sheetData sheetId="28192">
        <row r="2">
          <cell r="A2" t="str">
            <v>Abang</v>
          </cell>
        </row>
      </sheetData>
      <sheetData sheetId="28193">
        <row r="2">
          <cell r="A2" t="str">
            <v>Administrasi Loan</v>
          </cell>
        </row>
      </sheetData>
      <sheetData sheetId="28194" refreshError="1"/>
      <sheetData sheetId="28195">
        <row r="2">
          <cell r="A2" t="str">
            <v>-</v>
          </cell>
        </row>
      </sheetData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/>
      <sheetData sheetId="28223"/>
      <sheetData sheetId="28224">
        <row r="2">
          <cell r="A2" t="str">
            <v>-</v>
          </cell>
        </row>
      </sheetData>
      <sheetData sheetId="28225">
        <row r="2">
          <cell r="A2" t="str">
            <v>-</v>
          </cell>
        </row>
      </sheetData>
      <sheetData sheetId="28226">
        <row r="2">
          <cell r="A2" t="str">
            <v>Abang</v>
          </cell>
        </row>
      </sheetData>
      <sheetData sheetId="28227">
        <row r="2">
          <cell r="A2" t="str">
            <v>Astinet (port)</v>
          </cell>
        </row>
      </sheetData>
      <sheetData sheetId="28228"/>
      <sheetData sheetId="28229"/>
      <sheetData sheetId="28230">
        <row r="2">
          <cell r="A2" t="str">
            <v>-</v>
          </cell>
        </row>
      </sheetData>
      <sheetData sheetId="28231"/>
      <sheetData sheetId="28232"/>
      <sheetData sheetId="28233">
        <row r="2">
          <cell r="A2" t="str">
            <v>-</v>
          </cell>
        </row>
      </sheetData>
      <sheetData sheetId="28234">
        <row r="2">
          <cell r="A2" t="str">
            <v>Abang</v>
          </cell>
        </row>
      </sheetData>
      <sheetData sheetId="28235">
        <row r="2">
          <cell r="A2" t="str">
            <v>Administrasi Loan</v>
          </cell>
        </row>
      </sheetData>
      <sheetData sheetId="28236">
        <row r="2">
          <cell r="A2" t="str">
            <v>Administrasi Loan</v>
          </cell>
        </row>
      </sheetData>
      <sheetData sheetId="28237">
        <row r="2">
          <cell r="A2" t="str">
            <v>Astinet (port)</v>
          </cell>
        </row>
      </sheetData>
      <sheetData sheetId="28238"/>
      <sheetData sheetId="28239"/>
      <sheetData sheetId="28240">
        <row r="2">
          <cell r="A2" t="str">
            <v>-</v>
          </cell>
        </row>
      </sheetData>
      <sheetData sheetId="28241"/>
      <sheetData sheetId="28242"/>
      <sheetData sheetId="28243">
        <row r="2">
          <cell r="A2" t="str">
            <v>-</v>
          </cell>
        </row>
      </sheetData>
      <sheetData sheetId="28244"/>
      <sheetData sheetId="28245">
        <row r="2">
          <cell r="A2" t="str">
            <v>20 K</v>
          </cell>
        </row>
      </sheetData>
      <sheetData sheetId="28246"/>
      <sheetData sheetId="28247">
        <row r="2">
          <cell r="A2" t="str">
            <v>Astinet (port)</v>
          </cell>
        </row>
      </sheetData>
      <sheetData sheetId="28248"/>
      <sheetData sheetId="28249"/>
      <sheetData sheetId="28250"/>
      <sheetData sheetId="28251"/>
      <sheetData sheetId="28252"/>
      <sheetData sheetId="28253" refreshError="1"/>
      <sheetData sheetId="28254" refreshError="1"/>
      <sheetData sheetId="28255">
        <row r="54">
          <cell r="G54">
            <v>2498511</v>
          </cell>
        </row>
      </sheetData>
      <sheetData sheetId="28256">
        <row r="54">
          <cell r="G54">
            <v>2498511</v>
          </cell>
        </row>
      </sheetData>
      <sheetData sheetId="28257"/>
      <sheetData sheetId="28258"/>
      <sheetData sheetId="28259"/>
      <sheetData sheetId="28260"/>
      <sheetData sheetId="28261">
        <row r="54">
          <cell r="G54">
            <v>2498511</v>
          </cell>
        </row>
      </sheetData>
      <sheetData sheetId="28262" refreshError="1"/>
      <sheetData sheetId="28263" refreshError="1"/>
      <sheetData sheetId="28264">
        <row r="330">
          <cell r="F330">
            <v>72035274125.529984</v>
          </cell>
        </row>
      </sheetData>
      <sheetData sheetId="28265">
        <row r="88">
          <cell r="F88">
            <v>10950133849.5</v>
          </cell>
        </row>
      </sheetData>
      <sheetData sheetId="28266">
        <row r="334">
          <cell r="F334">
            <v>17713418621.779999</v>
          </cell>
        </row>
      </sheetData>
      <sheetData sheetId="28267">
        <row r="911">
          <cell r="F911">
            <v>172968184109.72998</v>
          </cell>
        </row>
      </sheetData>
      <sheetData sheetId="28268">
        <row r="1162">
          <cell r="F1162">
            <v>38858389571.040001</v>
          </cell>
        </row>
      </sheetData>
      <sheetData sheetId="28269">
        <row r="231">
          <cell r="F231">
            <v>16244990323</v>
          </cell>
        </row>
      </sheetData>
      <sheetData sheetId="28270">
        <row r="93">
          <cell r="F93">
            <v>360160525</v>
          </cell>
        </row>
      </sheetData>
      <sheetData sheetId="28271">
        <row r="2044">
          <cell r="F2044">
            <v>26133193252.020008</v>
          </cell>
        </row>
      </sheetData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>
        <row r="2">
          <cell r="A2" t="str">
            <v>Astinet (port)</v>
          </cell>
        </row>
      </sheetData>
      <sheetData sheetId="28280"/>
      <sheetData sheetId="28281"/>
      <sheetData sheetId="28282">
        <row r="2">
          <cell r="A2" t="str">
            <v>-</v>
          </cell>
        </row>
      </sheetData>
      <sheetData sheetId="28283">
        <row r="2">
          <cell r="A2" t="str">
            <v>-</v>
          </cell>
        </row>
      </sheetData>
      <sheetData sheetId="28284">
        <row r="2">
          <cell r="A2" t="str">
            <v>Abang</v>
          </cell>
        </row>
      </sheetData>
      <sheetData sheetId="28285">
        <row r="2">
          <cell r="A2" t="str">
            <v>Administrasi Loan</v>
          </cell>
        </row>
      </sheetData>
      <sheetData sheetId="28286">
        <row r="2">
          <cell r="A2" t="str">
            <v>Astinet (port)</v>
          </cell>
        </row>
      </sheetData>
      <sheetData sheetId="28287"/>
      <sheetData sheetId="28288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/>
      <sheetData sheetId="28578"/>
      <sheetData sheetId="28579"/>
      <sheetData sheetId="28580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/>
      <sheetData sheetId="28605" refreshError="1"/>
      <sheetData sheetId="28606" refreshError="1"/>
      <sheetData sheetId="28607" refreshError="1"/>
      <sheetData sheetId="28608" refreshError="1"/>
      <sheetData sheetId="28609"/>
      <sheetData sheetId="28610"/>
      <sheetData sheetId="28611"/>
      <sheetData sheetId="28612"/>
      <sheetData sheetId="28613"/>
      <sheetData sheetId="28614" refreshError="1"/>
      <sheetData sheetId="28615" refreshError="1"/>
      <sheetData sheetId="28616">
        <row r="4">
          <cell r="A4">
            <v>1</v>
          </cell>
        </row>
      </sheetData>
      <sheetData sheetId="28617" refreshError="1"/>
      <sheetData sheetId="28618">
        <row r="10">
          <cell r="A10" t="str">
            <v>Production (Lbs.) - Net</v>
          </cell>
        </row>
      </sheetData>
      <sheetData sheetId="28619"/>
      <sheetData sheetId="28620">
        <row r="4">
          <cell r="A4">
            <v>1</v>
          </cell>
        </row>
      </sheetData>
      <sheetData sheetId="28621" refreshError="1"/>
      <sheetData sheetId="28622"/>
      <sheetData sheetId="28623"/>
      <sheetData sheetId="28624"/>
      <sheetData sheetId="28625"/>
      <sheetData sheetId="28626" refreshError="1"/>
      <sheetData sheetId="28627"/>
      <sheetData sheetId="28628"/>
      <sheetData sheetId="28629" refreshError="1"/>
      <sheetData sheetId="28630"/>
      <sheetData sheetId="28631"/>
      <sheetData sheetId="28632"/>
      <sheetData sheetId="28633"/>
      <sheetData sheetId="28634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>
        <row r="28">
          <cell r="O28">
            <v>201431336772</v>
          </cell>
        </row>
      </sheetData>
      <sheetData sheetId="28652"/>
      <sheetData sheetId="28653">
        <row r="2">
          <cell r="A2" t="str">
            <v>Acc</v>
          </cell>
        </row>
      </sheetData>
      <sheetData sheetId="28654"/>
      <sheetData sheetId="28655"/>
      <sheetData sheetId="28656">
        <row r="1">
          <cell r="A1" t="str">
            <v>Acct</v>
          </cell>
        </row>
      </sheetData>
      <sheetData sheetId="28657" refreshError="1"/>
      <sheetData sheetId="28658" refreshError="1"/>
      <sheetData sheetId="28659" refreshError="1"/>
      <sheetData sheetId="28660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 refreshError="1"/>
      <sheetData sheetId="28821" refreshError="1"/>
      <sheetData sheetId="28822" refreshError="1"/>
      <sheetData sheetId="28823" refreshError="1"/>
      <sheetData sheetId="28824" refreshError="1"/>
      <sheetData sheetId="28825" refreshError="1"/>
      <sheetData sheetId="28826" refreshError="1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/>
      <sheetData sheetId="28879"/>
      <sheetData sheetId="28880"/>
      <sheetData sheetId="28881"/>
      <sheetData sheetId="28882"/>
      <sheetData sheetId="28883">
        <row r="16">
          <cell r="C16" t="str">
            <v>SUN</v>
          </cell>
        </row>
      </sheetData>
      <sheetData sheetId="28884" refreshError="1"/>
      <sheetData sheetId="28885"/>
      <sheetData sheetId="28886" refreshError="1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/>
      <sheetData sheetId="28918"/>
      <sheetData sheetId="28919"/>
      <sheetData sheetId="28920"/>
      <sheetData sheetId="28921"/>
      <sheetData sheetId="28922"/>
      <sheetData sheetId="28923"/>
      <sheetData sheetId="28924"/>
      <sheetData sheetId="28925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>
        <row r="1">
          <cell r="C1" t="str">
            <v>Kode</v>
          </cell>
        </row>
      </sheetData>
      <sheetData sheetId="28995">
        <row r="1">
          <cell r="A1" t="str">
            <v>NPWP</v>
          </cell>
        </row>
      </sheetData>
      <sheetData sheetId="28996"/>
      <sheetData sheetId="28997" refreshError="1"/>
      <sheetData sheetId="28998" refreshError="1"/>
      <sheetData sheetId="28999" refreshError="1"/>
      <sheetData sheetId="29000" refreshError="1"/>
      <sheetData sheetId="29001" refreshError="1"/>
      <sheetData sheetId="29002" refreshError="1"/>
      <sheetData sheetId="29003" refreshError="1"/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 refreshError="1"/>
      <sheetData sheetId="29011" refreshError="1"/>
      <sheetData sheetId="29012" refreshError="1"/>
      <sheetData sheetId="29013" refreshError="1"/>
      <sheetData sheetId="29014" refreshError="1"/>
      <sheetData sheetId="29015" refreshError="1"/>
      <sheetData sheetId="29016" refreshError="1"/>
      <sheetData sheetId="29017" refreshError="1"/>
      <sheetData sheetId="29018" refreshError="1"/>
      <sheetData sheetId="29019" refreshError="1"/>
      <sheetData sheetId="29020" refreshError="1"/>
      <sheetData sheetId="29021" refreshError="1"/>
      <sheetData sheetId="29022" refreshError="1"/>
      <sheetData sheetId="29023" refreshError="1"/>
      <sheetData sheetId="29024"/>
      <sheetData sheetId="29025" refreshError="1"/>
      <sheetData sheetId="29026" refreshError="1"/>
      <sheetData sheetId="29027" refreshError="1"/>
      <sheetData sheetId="29028"/>
      <sheetData sheetId="29029"/>
      <sheetData sheetId="29030" refreshError="1"/>
      <sheetData sheetId="29031"/>
      <sheetData sheetId="29032"/>
      <sheetData sheetId="29033"/>
      <sheetData sheetId="29034"/>
      <sheetData sheetId="29035"/>
      <sheetData sheetId="29036"/>
      <sheetData sheetId="29037"/>
      <sheetData sheetId="29038"/>
      <sheetData sheetId="29039">
        <row r="3">
          <cell r="M3" t="str">
            <v>- 2 -</v>
          </cell>
        </row>
      </sheetData>
      <sheetData sheetId="29040"/>
      <sheetData sheetId="29041"/>
      <sheetData sheetId="29042">
        <row r="1">
          <cell r="B1" t="str">
            <v>Jan</v>
          </cell>
        </row>
      </sheetData>
      <sheetData sheetId="29043">
        <row r="59">
          <cell r="AG59">
            <v>38077</v>
          </cell>
        </row>
      </sheetData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>
        <row r="16">
          <cell r="T16" t="str">
            <v>Konsultan</v>
          </cell>
        </row>
      </sheetData>
      <sheetData sheetId="29053">
        <row r="28">
          <cell r="O28">
            <v>23625000</v>
          </cell>
        </row>
      </sheetData>
      <sheetData sheetId="29054">
        <row r="45">
          <cell r="O45">
            <v>14000000000</v>
          </cell>
        </row>
      </sheetData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 refreshError="1"/>
      <sheetData sheetId="29065" refreshError="1"/>
      <sheetData sheetId="29066" refreshError="1"/>
      <sheetData sheetId="29067" refreshError="1"/>
      <sheetData sheetId="29068" refreshError="1"/>
      <sheetData sheetId="29069" refreshError="1"/>
      <sheetData sheetId="29070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/>
      <sheetData sheetId="29120"/>
      <sheetData sheetId="29121"/>
      <sheetData sheetId="29122"/>
      <sheetData sheetId="29123"/>
      <sheetData sheetId="29124"/>
      <sheetData sheetId="29125"/>
      <sheetData sheetId="29126"/>
      <sheetData sheetId="29127"/>
      <sheetData sheetId="29128"/>
      <sheetData sheetId="29129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 refreshError="1"/>
      <sheetData sheetId="29162" refreshError="1"/>
      <sheetData sheetId="29163" refreshError="1"/>
      <sheetData sheetId="29164" refreshError="1"/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/>
      <sheetData sheetId="29248"/>
      <sheetData sheetId="29249"/>
      <sheetData sheetId="29250"/>
      <sheetData sheetId="29251"/>
      <sheetData sheetId="29252"/>
      <sheetData sheetId="29253">
        <row r="4">
          <cell r="G4">
            <v>305</v>
          </cell>
        </row>
      </sheetData>
      <sheetData sheetId="29254"/>
      <sheetData sheetId="29255"/>
      <sheetData sheetId="29256"/>
      <sheetData sheetId="29257"/>
      <sheetData sheetId="29258" refreshError="1"/>
      <sheetData sheetId="29259" refreshError="1"/>
      <sheetData sheetId="29260"/>
      <sheetData sheetId="29261"/>
      <sheetData sheetId="29262"/>
      <sheetData sheetId="29263"/>
      <sheetData sheetId="29264"/>
      <sheetData sheetId="29265"/>
      <sheetData sheetId="29266"/>
      <sheetData sheetId="29267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 refreshError="1"/>
      <sheetData sheetId="29284" refreshError="1"/>
      <sheetData sheetId="29285" refreshError="1"/>
      <sheetData sheetId="29286"/>
      <sheetData sheetId="29287"/>
      <sheetData sheetId="29288" refreshError="1"/>
      <sheetData sheetId="29289"/>
      <sheetData sheetId="29290" refreshError="1"/>
      <sheetData sheetId="29291"/>
      <sheetData sheetId="29292" refreshError="1"/>
      <sheetData sheetId="29293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>
        <row r="7">
          <cell r="H7">
            <v>8500000</v>
          </cell>
        </row>
      </sheetData>
      <sheetData sheetId="29370"/>
      <sheetData sheetId="29371">
        <row r="2">
          <cell r="A2" t="str">
            <v>Acc</v>
          </cell>
        </row>
      </sheetData>
      <sheetData sheetId="29372">
        <row r="35">
          <cell r="Q35">
            <v>0</v>
          </cell>
        </row>
      </sheetData>
      <sheetData sheetId="29373">
        <row r="8">
          <cell r="G8">
            <v>1690000000</v>
          </cell>
        </row>
      </sheetData>
      <sheetData sheetId="29374" refreshError="1"/>
      <sheetData sheetId="29375" refreshError="1"/>
      <sheetData sheetId="29376" refreshError="1"/>
      <sheetData sheetId="29377" refreshError="1"/>
      <sheetData sheetId="29378" refreshError="1"/>
      <sheetData sheetId="29379" refreshError="1"/>
      <sheetData sheetId="29380" refreshError="1"/>
      <sheetData sheetId="29381" refreshError="1"/>
      <sheetData sheetId="29382" refreshError="1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 refreshError="1"/>
      <sheetData sheetId="29409" refreshError="1"/>
      <sheetData sheetId="29410" refreshError="1"/>
      <sheetData sheetId="29411" refreshError="1"/>
      <sheetData sheetId="29412" refreshError="1"/>
      <sheetData sheetId="29413" refreshError="1"/>
      <sheetData sheetId="29414" refreshError="1"/>
      <sheetData sheetId="29415" refreshError="1"/>
      <sheetData sheetId="29416" refreshError="1"/>
      <sheetData sheetId="29417" refreshError="1"/>
      <sheetData sheetId="29418" refreshError="1"/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 refreshError="1"/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 refreshError="1"/>
      <sheetData sheetId="29437" refreshError="1"/>
      <sheetData sheetId="29438" refreshError="1"/>
      <sheetData sheetId="29439" refreshError="1"/>
      <sheetData sheetId="29440" refreshError="1"/>
      <sheetData sheetId="29441" refreshError="1"/>
      <sheetData sheetId="29442" refreshError="1"/>
      <sheetData sheetId="29443" refreshError="1"/>
      <sheetData sheetId="29444" refreshError="1"/>
      <sheetData sheetId="29445" refreshError="1"/>
      <sheetData sheetId="29446" refreshError="1"/>
      <sheetData sheetId="29447" refreshError="1"/>
      <sheetData sheetId="29448" refreshError="1"/>
      <sheetData sheetId="29449" refreshError="1"/>
      <sheetData sheetId="29450" refreshError="1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>
        <row r="18">
          <cell r="F18">
            <v>0</v>
          </cell>
        </row>
      </sheetData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/>
      <sheetData sheetId="29487" refreshError="1"/>
      <sheetData sheetId="29488" refreshError="1"/>
      <sheetData sheetId="29489" refreshError="1"/>
      <sheetData sheetId="29490" refreshError="1"/>
      <sheetData sheetId="29491" refreshError="1"/>
      <sheetData sheetId="29492" refreshError="1"/>
      <sheetData sheetId="29493" refreshError="1"/>
      <sheetData sheetId="29494" refreshError="1"/>
      <sheetData sheetId="29495" refreshError="1"/>
      <sheetData sheetId="29496" refreshError="1"/>
      <sheetData sheetId="29497" refreshError="1"/>
      <sheetData sheetId="29498" refreshError="1"/>
      <sheetData sheetId="29499" refreshError="1"/>
      <sheetData sheetId="29500" refreshError="1"/>
      <sheetData sheetId="29501" refreshError="1"/>
      <sheetData sheetId="29502" refreshError="1"/>
      <sheetData sheetId="29503" refreshError="1"/>
      <sheetData sheetId="29504" refreshError="1"/>
      <sheetData sheetId="29505" refreshError="1"/>
      <sheetData sheetId="29506" refreshError="1"/>
      <sheetData sheetId="29507" refreshError="1"/>
      <sheetData sheetId="29508" refreshError="1"/>
      <sheetData sheetId="29509" refreshError="1"/>
      <sheetData sheetId="29510" refreshError="1"/>
      <sheetData sheetId="29511" refreshError="1"/>
      <sheetData sheetId="29512" refreshError="1"/>
      <sheetData sheetId="29513">
        <row r="15">
          <cell r="J15">
            <v>234158829</v>
          </cell>
        </row>
      </sheetData>
      <sheetData sheetId="29514" refreshError="1"/>
      <sheetData sheetId="29515" refreshError="1"/>
      <sheetData sheetId="29516" refreshError="1"/>
      <sheetData sheetId="29517" refreshError="1"/>
      <sheetData sheetId="29518" refreshError="1"/>
      <sheetData sheetId="29519" refreshError="1"/>
      <sheetData sheetId="29520" refreshError="1"/>
      <sheetData sheetId="29521" refreshError="1"/>
      <sheetData sheetId="29522">
        <row r="127">
          <cell r="E127">
            <v>1576793.9525000001</v>
          </cell>
        </row>
      </sheetData>
      <sheetData sheetId="29523" refreshError="1"/>
      <sheetData sheetId="29524" refreshError="1"/>
      <sheetData sheetId="29525"/>
      <sheetData sheetId="29526"/>
      <sheetData sheetId="29527"/>
      <sheetData sheetId="29528"/>
      <sheetData sheetId="29529"/>
      <sheetData sheetId="29530"/>
      <sheetData sheetId="29531"/>
      <sheetData sheetId="29532"/>
      <sheetData sheetId="29533"/>
      <sheetData sheetId="29534"/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 refreshError="1"/>
      <sheetData sheetId="29553" refreshError="1"/>
      <sheetData sheetId="29554" refreshError="1"/>
      <sheetData sheetId="29555" refreshError="1"/>
      <sheetData sheetId="29556" refreshError="1"/>
      <sheetData sheetId="29557"/>
      <sheetData sheetId="29558"/>
      <sheetData sheetId="29559"/>
      <sheetData sheetId="29560">
        <row r="6">
          <cell r="B6" t="str">
            <v>73-065</v>
          </cell>
        </row>
      </sheetData>
      <sheetData sheetId="29561"/>
      <sheetData sheetId="29562"/>
      <sheetData sheetId="29563"/>
      <sheetData sheetId="29564"/>
      <sheetData sheetId="29565"/>
      <sheetData sheetId="29566"/>
      <sheetData sheetId="29567" refreshError="1"/>
      <sheetData sheetId="29568"/>
      <sheetData sheetId="29569"/>
      <sheetData sheetId="29570" refreshError="1"/>
      <sheetData sheetId="29571" refreshError="1"/>
      <sheetData sheetId="29572" refreshError="1"/>
      <sheetData sheetId="29573"/>
      <sheetData sheetId="29574" refreshError="1"/>
      <sheetData sheetId="29575" refreshError="1"/>
      <sheetData sheetId="29576" refreshError="1"/>
      <sheetData sheetId="29577" refreshError="1"/>
      <sheetData sheetId="29578" refreshError="1"/>
      <sheetData sheetId="29579" refreshError="1"/>
      <sheetData sheetId="29580" refreshError="1"/>
      <sheetData sheetId="29581" refreshError="1"/>
      <sheetData sheetId="29582" refreshError="1"/>
      <sheetData sheetId="29583" refreshError="1"/>
      <sheetData sheetId="29584" refreshError="1"/>
      <sheetData sheetId="29585" refreshError="1"/>
      <sheetData sheetId="29586" refreshError="1"/>
      <sheetData sheetId="29587"/>
      <sheetData sheetId="29588"/>
      <sheetData sheetId="29589"/>
      <sheetData sheetId="29590"/>
      <sheetData sheetId="29591" refreshError="1"/>
      <sheetData sheetId="29592"/>
      <sheetData sheetId="29593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/>
      <sheetData sheetId="29608"/>
      <sheetData sheetId="29609"/>
      <sheetData sheetId="29610"/>
      <sheetData sheetId="29611"/>
      <sheetData sheetId="29612"/>
      <sheetData sheetId="29613"/>
      <sheetData sheetId="29614"/>
      <sheetData sheetId="29615"/>
      <sheetData sheetId="29616"/>
      <sheetData sheetId="29617"/>
      <sheetData sheetId="29618"/>
      <sheetData sheetId="29619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 refreshError="1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 refreshError="1"/>
      <sheetData sheetId="29645"/>
      <sheetData sheetId="29646" refreshError="1"/>
      <sheetData sheetId="29647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/>
      <sheetData sheetId="29674"/>
      <sheetData sheetId="29675"/>
      <sheetData sheetId="29676"/>
      <sheetData sheetId="29677" refreshError="1"/>
      <sheetData sheetId="29678"/>
      <sheetData sheetId="29679" refreshError="1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/>
      <sheetData sheetId="29689">
        <row r="12">
          <cell r="A12" t="str">
            <v>KAS DAN BANK</v>
          </cell>
        </row>
      </sheetData>
      <sheetData sheetId="29690" refreshError="1"/>
      <sheetData sheetId="29691"/>
      <sheetData sheetId="29692"/>
      <sheetData sheetId="29693"/>
      <sheetData sheetId="29694"/>
      <sheetData sheetId="29695"/>
      <sheetData sheetId="29696"/>
      <sheetData sheetId="29697" refreshError="1"/>
      <sheetData sheetId="29698"/>
      <sheetData sheetId="29699"/>
      <sheetData sheetId="29700"/>
      <sheetData sheetId="29701"/>
      <sheetData sheetId="29702" refreshError="1"/>
      <sheetData sheetId="29703" refreshError="1"/>
      <sheetData sheetId="29704"/>
      <sheetData sheetId="29705" refreshError="1"/>
      <sheetData sheetId="29706" refreshError="1"/>
      <sheetData sheetId="29707" refreshError="1"/>
      <sheetData sheetId="29708" refreshError="1"/>
      <sheetData sheetId="29709" refreshError="1"/>
      <sheetData sheetId="29710" refreshError="1"/>
      <sheetData sheetId="29711" refreshError="1"/>
      <sheetData sheetId="29712"/>
      <sheetData sheetId="29713" refreshError="1"/>
      <sheetData sheetId="29714" refreshError="1"/>
      <sheetData sheetId="29715"/>
      <sheetData sheetId="29716" refreshError="1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/>
      <sheetData sheetId="29726"/>
      <sheetData sheetId="29727"/>
      <sheetData sheetId="29728"/>
      <sheetData sheetId="29729"/>
      <sheetData sheetId="29730"/>
      <sheetData sheetId="29731"/>
      <sheetData sheetId="29732"/>
      <sheetData sheetId="29733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 refreshError="1"/>
      <sheetData sheetId="29864" refreshError="1"/>
      <sheetData sheetId="29865" refreshError="1"/>
      <sheetData sheetId="29866" refreshError="1"/>
      <sheetData sheetId="29867" refreshError="1"/>
      <sheetData sheetId="29868" refreshError="1"/>
      <sheetData sheetId="29869"/>
      <sheetData sheetId="29870" refreshError="1"/>
      <sheetData sheetId="29871" refreshError="1"/>
      <sheetData sheetId="29872" refreshError="1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>
        <row r="25">
          <cell r="L25">
            <v>141000</v>
          </cell>
        </row>
      </sheetData>
      <sheetData sheetId="29882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>
        <row r="25">
          <cell r="L25">
            <v>141000</v>
          </cell>
        </row>
      </sheetData>
      <sheetData sheetId="29893"/>
      <sheetData sheetId="29894"/>
      <sheetData sheetId="29895">
        <row r="8">
          <cell r="A8" t="str">
            <v>1011-000</v>
          </cell>
        </row>
      </sheetData>
      <sheetData sheetId="29896">
        <row r="8">
          <cell r="A8" t="str">
            <v>1011-000</v>
          </cell>
        </row>
      </sheetData>
      <sheetData sheetId="29897"/>
      <sheetData sheetId="29898"/>
      <sheetData sheetId="29899">
        <row r="8">
          <cell r="A8" t="str">
            <v>1011-000</v>
          </cell>
        </row>
      </sheetData>
      <sheetData sheetId="29900">
        <row r="8">
          <cell r="A8" t="str">
            <v>1012-000</v>
          </cell>
        </row>
      </sheetData>
      <sheetData sheetId="29901"/>
      <sheetData sheetId="29902"/>
      <sheetData sheetId="29903"/>
      <sheetData sheetId="29904">
        <row r="8">
          <cell r="A8" t="str">
            <v>1011-000</v>
          </cell>
        </row>
      </sheetData>
      <sheetData sheetId="29905"/>
      <sheetData sheetId="29906"/>
      <sheetData sheetId="29907"/>
      <sheetData sheetId="29908"/>
      <sheetData sheetId="29909" refreshError="1"/>
      <sheetData sheetId="29910" refreshError="1"/>
      <sheetData sheetId="29911" refreshError="1"/>
      <sheetData sheetId="29912" refreshError="1"/>
      <sheetData sheetId="29913" refreshError="1"/>
      <sheetData sheetId="29914" refreshError="1"/>
      <sheetData sheetId="29915" refreshError="1"/>
      <sheetData sheetId="29916" refreshError="1"/>
      <sheetData sheetId="29917" refreshError="1"/>
      <sheetData sheetId="29918" refreshError="1"/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 refreshError="1"/>
      <sheetData sheetId="29951"/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/>
      <sheetData sheetId="29958"/>
      <sheetData sheetId="29959"/>
      <sheetData sheetId="29960"/>
      <sheetData sheetId="29961"/>
      <sheetData sheetId="29962"/>
      <sheetData sheetId="29963"/>
      <sheetData sheetId="29964" refreshError="1"/>
      <sheetData sheetId="29965"/>
      <sheetData sheetId="29966"/>
      <sheetData sheetId="29967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>
        <row r="1">
          <cell r="A1" t="str">
            <v>DAFTAR RINCIAN AKTIVA TETAP &amp; PENYUSUTANNYA</v>
          </cell>
        </row>
      </sheetData>
      <sheetData sheetId="29980">
        <row r="1">
          <cell r="A1" t="str">
            <v>CV TRITUNGGAL SENTOSA</v>
          </cell>
        </row>
      </sheetData>
      <sheetData sheetId="29981">
        <row r="1">
          <cell r="A1" t="str">
            <v>CV TRITUNGGAL SENTOSA</v>
          </cell>
        </row>
      </sheetData>
      <sheetData sheetId="29982">
        <row r="1">
          <cell r="A1" t="str">
            <v>CV TRITUNGGAL SENTOSA</v>
          </cell>
        </row>
      </sheetData>
      <sheetData sheetId="29983">
        <row r="1">
          <cell r="A1" t="str">
            <v>CV TRITUNGGAL SENTOSA</v>
          </cell>
        </row>
      </sheetData>
      <sheetData sheetId="29984">
        <row r="1">
          <cell r="A1" t="str">
            <v>CV TRITUNGGAL SENTOSA</v>
          </cell>
        </row>
      </sheetData>
      <sheetData sheetId="29985" refreshError="1"/>
      <sheetData sheetId="29986" refreshError="1"/>
      <sheetData sheetId="29987"/>
      <sheetData sheetId="29988"/>
      <sheetData sheetId="29989"/>
      <sheetData sheetId="29990"/>
      <sheetData sheetId="29991"/>
      <sheetData sheetId="29992"/>
      <sheetData sheetId="29993"/>
      <sheetData sheetId="29994"/>
      <sheetData sheetId="29995"/>
      <sheetData sheetId="29996"/>
      <sheetData sheetId="29997"/>
      <sheetData sheetId="29998"/>
      <sheetData sheetId="29999"/>
      <sheetData sheetId="30000"/>
      <sheetData sheetId="30001"/>
      <sheetData sheetId="30002"/>
      <sheetData sheetId="30003"/>
      <sheetData sheetId="30004"/>
      <sheetData sheetId="30005"/>
      <sheetData sheetId="30006"/>
      <sheetData sheetId="30007"/>
      <sheetData sheetId="30008"/>
      <sheetData sheetId="30009"/>
      <sheetData sheetId="30010"/>
      <sheetData sheetId="30011" refreshError="1"/>
      <sheetData sheetId="30012"/>
      <sheetData sheetId="30013" refreshError="1"/>
      <sheetData sheetId="30014"/>
      <sheetData sheetId="30015" refreshError="1"/>
      <sheetData sheetId="30016"/>
      <sheetData sheetId="30017"/>
      <sheetData sheetId="30018"/>
      <sheetData sheetId="30019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/>
      <sheetData sheetId="30028"/>
      <sheetData sheetId="30029"/>
      <sheetData sheetId="30030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 refreshError="1"/>
      <sheetData sheetId="30044" refreshError="1"/>
      <sheetData sheetId="30045" refreshError="1"/>
      <sheetData sheetId="30046" refreshError="1"/>
      <sheetData sheetId="30047" refreshError="1"/>
      <sheetData sheetId="30048" refreshError="1"/>
      <sheetData sheetId="30049" refreshError="1"/>
      <sheetData sheetId="30050" refreshError="1"/>
      <sheetData sheetId="30051" refreshError="1"/>
      <sheetData sheetId="30052" refreshError="1"/>
      <sheetData sheetId="30053" refreshError="1"/>
      <sheetData sheetId="30054" refreshError="1"/>
      <sheetData sheetId="30055" refreshError="1"/>
      <sheetData sheetId="30056" refreshError="1"/>
      <sheetData sheetId="30057" refreshError="1"/>
      <sheetData sheetId="30058" refreshError="1"/>
      <sheetData sheetId="30059" refreshError="1"/>
      <sheetData sheetId="30060" refreshError="1"/>
      <sheetData sheetId="30061" refreshError="1"/>
      <sheetData sheetId="30062" refreshError="1"/>
      <sheetData sheetId="30063" refreshError="1"/>
      <sheetData sheetId="30064" refreshError="1"/>
      <sheetData sheetId="30065" refreshError="1"/>
      <sheetData sheetId="30066" refreshError="1"/>
      <sheetData sheetId="30067" refreshError="1"/>
      <sheetData sheetId="30068" refreshError="1"/>
      <sheetData sheetId="30069" refreshError="1"/>
      <sheetData sheetId="30070" refreshError="1"/>
      <sheetData sheetId="30071" refreshError="1"/>
      <sheetData sheetId="30072" refreshError="1"/>
      <sheetData sheetId="30073" refreshError="1"/>
      <sheetData sheetId="30074" refreshError="1"/>
      <sheetData sheetId="30075" refreshError="1"/>
      <sheetData sheetId="30076" refreshError="1"/>
      <sheetData sheetId="30077" refreshError="1"/>
      <sheetData sheetId="30078" refreshError="1"/>
      <sheetData sheetId="30079" refreshError="1"/>
      <sheetData sheetId="30080" refreshError="1"/>
      <sheetData sheetId="30081" refreshError="1"/>
      <sheetData sheetId="30082" refreshError="1"/>
      <sheetData sheetId="30083" refreshError="1"/>
      <sheetData sheetId="30084" refreshError="1"/>
      <sheetData sheetId="30085" refreshError="1"/>
      <sheetData sheetId="30086" refreshError="1"/>
      <sheetData sheetId="30087" refreshError="1"/>
      <sheetData sheetId="30088" refreshError="1"/>
      <sheetData sheetId="30089" refreshError="1"/>
      <sheetData sheetId="30090" refreshError="1"/>
      <sheetData sheetId="30091" refreshError="1"/>
      <sheetData sheetId="30092" refreshError="1"/>
      <sheetData sheetId="30093"/>
      <sheetData sheetId="30094"/>
      <sheetData sheetId="30095"/>
      <sheetData sheetId="30096"/>
      <sheetData sheetId="30097"/>
      <sheetData sheetId="30098"/>
      <sheetData sheetId="30099"/>
      <sheetData sheetId="30100"/>
      <sheetData sheetId="30101" refreshError="1"/>
      <sheetData sheetId="30102" refreshError="1"/>
      <sheetData sheetId="30103" refreshError="1"/>
      <sheetData sheetId="30104"/>
      <sheetData sheetId="30105"/>
      <sheetData sheetId="30106"/>
      <sheetData sheetId="30107" refreshError="1"/>
      <sheetData sheetId="30108" refreshError="1"/>
      <sheetData sheetId="30109" refreshError="1"/>
      <sheetData sheetId="30110" refreshError="1"/>
      <sheetData sheetId="30111" refreshError="1"/>
      <sheetData sheetId="30112" refreshError="1"/>
      <sheetData sheetId="30113" refreshError="1"/>
      <sheetData sheetId="30114" refreshError="1"/>
      <sheetData sheetId="30115"/>
      <sheetData sheetId="30116"/>
      <sheetData sheetId="30117"/>
      <sheetData sheetId="30118"/>
      <sheetData sheetId="30119"/>
      <sheetData sheetId="30120"/>
      <sheetData sheetId="30121" refreshError="1"/>
      <sheetData sheetId="30122" refreshError="1"/>
      <sheetData sheetId="30123" refreshError="1"/>
      <sheetData sheetId="30124" refreshError="1"/>
      <sheetData sheetId="30125" refreshError="1"/>
      <sheetData sheetId="30126" refreshError="1"/>
      <sheetData sheetId="30127" refreshError="1"/>
      <sheetData sheetId="30128" refreshError="1"/>
      <sheetData sheetId="30129" refreshError="1"/>
      <sheetData sheetId="30130" refreshError="1"/>
      <sheetData sheetId="30131" refreshError="1"/>
      <sheetData sheetId="30132" refreshError="1"/>
      <sheetData sheetId="30133" refreshError="1"/>
      <sheetData sheetId="30134" refreshError="1"/>
      <sheetData sheetId="30135" refreshError="1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/>
      <sheetData sheetId="30154"/>
      <sheetData sheetId="30155"/>
      <sheetData sheetId="30156"/>
      <sheetData sheetId="30157"/>
      <sheetData sheetId="30158"/>
      <sheetData sheetId="30159"/>
      <sheetData sheetId="30160"/>
      <sheetData sheetId="30161" refreshError="1"/>
      <sheetData sheetId="30162" refreshError="1"/>
      <sheetData sheetId="30163" refreshError="1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 refreshError="1"/>
      <sheetData sheetId="30183" refreshError="1"/>
      <sheetData sheetId="30184" refreshError="1"/>
      <sheetData sheetId="30185" refreshError="1"/>
      <sheetData sheetId="30186" refreshError="1"/>
      <sheetData sheetId="30187" refreshError="1"/>
      <sheetData sheetId="30188" refreshError="1"/>
      <sheetData sheetId="30189" refreshError="1"/>
      <sheetData sheetId="30190" refreshError="1"/>
      <sheetData sheetId="30191" refreshError="1"/>
      <sheetData sheetId="30192" refreshError="1"/>
      <sheetData sheetId="30193" refreshError="1"/>
      <sheetData sheetId="30194" refreshError="1"/>
      <sheetData sheetId="30195" refreshError="1"/>
      <sheetData sheetId="30196" refreshError="1"/>
      <sheetData sheetId="30197" refreshError="1"/>
      <sheetData sheetId="30198"/>
      <sheetData sheetId="30199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 refreshError="1"/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/>
      <sheetData sheetId="30226" refreshError="1"/>
      <sheetData sheetId="30227" refreshError="1"/>
      <sheetData sheetId="30228" refreshError="1"/>
      <sheetData sheetId="30229" refreshError="1"/>
      <sheetData sheetId="30230" refreshError="1"/>
      <sheetData sheetId="30231" refreshError="1"/>
      <sheetData sheetId="30232" refreshError="1"/>
      <sheetData sheetId="30233" refreshError="1"/>
      <sheetData sheetId="30234" refreshError="1"/>
      <sheetData sheetId="30235" refreshError="1"/>
      <sheetData sheetId="30236" refreshError="1"/>
      <sheetData sheetId="30237" refreshError="1"/>
      <sheetData sheetId="30238" refreshError="1"/>
      <sheetData sheetId="30239" refreshError="1"/>
      <sheetData sheetId="30240" refreshError="1"/>
      <sheetData sheetId="30241" refreshError="1"/>
      <sheetData sheetId="30242" refreshError="1"/>
      <sheetData sheetId="30243" refreshError="1"/>
      <sheetData sheetId="30244" refreshError="1"/>
      <sheetData sheetId="30245" refreshError="1"/>
      <sheetData sheetId="30246" refreshError="1"/>
      <sheetData sheetId="30247" refreshError="1"/>
      <sheetData sheetId="30248" refreshError="1"/>
      <sheetData sheetId="30249" refreshError="1"/>
      <sheetData sheetId="30250" refreshError="1"/>
      <sheetData sheetId="30251" refreshError="1"/>
      <sheetData sheetId="30252" refreshError="1"/>
      <sheetData sheetId="30253" refreshError="1"/>
      <sheetData sheetId="30254" refreshError="1"/>
      <sheetData sheetId="30255" refreshError="1"/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 refreshError="1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 refreshError="1"/>
      <sheetData sheetId="30396" refreshError="1"/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 refreshError="1"/>
      <sheetData sheetId="30491" refreshError="1"/>
      <sheetData sheetId="30492" refreshError="1"/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 refreshError="1"/>
      <sheetData sheetId="30519" refreshError="1"/>
      <sheetData sheetId="30520" refreshError="1"/>
      <sheetData sheetId="30521" refreshError="1"/>
      <sheetData sheetId="30522" refreshError="1"/>
      <sheetData sheetId="30523" refreshError="1"/>
      <sheetData sheetId="30524" refreshError="1"/>
      <sheetData sheetId="30525" refreshError="1"/>
      <sheetData sheetId="30526" refreshError="1"/>
      <sheetData sheetId="30527" refreshError="1"/>
      <sheetData sheetId="30528" refreshError="1"/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 refreshError="1"/>
      <sheetData sheetId="30537" refreshError="1"/>
      <sheetData sheetId="30538" refreshError="1"/>
      <sheetData sheetId="30539" refreshError="1"/>
      <sheetData sheetId="30540" refreshError="1"/>
      <sheetData sheetId="30541" refreshError="1"/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 refreshError="1"/>
      <sheetData sheetId="30583" refreshError="1"/>
      <sheetData sheetId="30584" refreshError="1"/>
      <sheetData sheetId="30585" refreshError="1"/>
      <sheetData sheetId="30586" refreshError="1"/>
      <sheetData sheetId="30587" refreshError="1"/>
      <sheetData sheetId="30588" refreshError="1"/>
      <sheetData sheetId="30589" refreshError="1"/>
      <sheetData sheetId="30590" refreshError="1"/>
      <sheetData sheetId="30591" refreshError="1"/>
      <sheetData sheetId="30592" refreshError="1"/>
      <sheetData sheetId="30593" refreshError="1"/>
      <sheetData sheetId="30594" refreshError="1"/>
      <sheetData sheetId="30595" refreshError="1"/>
      <sheetData sheetId="30596" refreshError="1"/>
      <sheetData sheetId="30597" refreshError="1"/>
      <sheetData sheetId="30598" refreshError="1"/>
      <sheetData sheetId="30599" refreshError="1"/>
      <sheetData sheetId="30600" refreshError="1"/>
      <sheetData sheetId="30601" refreshError="1"/>
      <sheetData sheetId="30602" refreshError="1"/>
      <sheetData sheetId="30603" refreshError="1"/>
      <sheetData sheetId="30604" refreshError="1"/>
      <sheetData sheetId="30605" refreshError="1"/>
      <sheetData sheetId="30606" refreshError="1"/>
      <sheetData sheetId="30607" refreshError="1"/>
      <sheetData sheetId="30608" refreshError="1"/>
      <sheetData sheetId="30609" refreshError="1"/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 refreshError="1"/>
      <sheetData sheetId="30617" refreshError="1"/>
      <sheetData sheetId="30618" refreshError="1"/>
      <sheetData sheetId="30619" refreshError="1"/>
      <sheetData sheetId="30620" refreshError="1"/>
      <sheetData sheetId="30621" refreshError="1"/>
      <sheetData sheetId="30622" refreshError="1"/>
      <sheetData sheetId="30623" refreshError="1"/>
      <sheetData sheetId="30624" refreshError="1"/>
      <sheetData sheetId="30625" refreshError="1"/>
      <sheetData sheetId="30626" refreshError="1"/>
      <sheetData sheetId="30627" refreshError="1"/>
      <sheetData sheetId="30628" refreshError="1"/>
      <sheetData sheetId="30629" refreshError="1"/>
      <sheetData sheetId="30630" refreshError="1"/>
      <sheetData sheetId="30631" refreshError="1"/>
      <sheetData sheetId="30632" refreshError="1"/>
      <sheetData sheetId="30633" refreshError="1"/>
      <sheetData sheetId="30634" refreshError="1"/>
      <sheetData sheetId="30635" refreshError="1"/>
      <sheetData sheetId="30636" refreshError="1"/>
      <sheetData sheetId="30637" refreshError="1"/>
      <sheetData sheetId="30638" refreshError="1"/>
      <sheetData sheetId="30639" refreshError="1"/>
      <sheetData sheetId="30640" refreshError="1"/>
      <sheetData sheetId="30641" refreshError="1"/>
      <sheetData sheetId="30642" refreshError="1"/>
      <sheetData sheetId="30643" refreshError="1"/>
      <sheetData sheetId="30644" refreshError="1"/>
      <sheetData sheetId="30645" refreshError="1"/>
      <sheetData sheetId="30646" refreshError="1"/>
      <sheetData sheetId="30647" refreshError="1"/>
      <sheetData sheetId="30648" refreshError="1"/>
      <sheetData sheetId="30649" refreshError="1"/>
      <sheetData sheetId="30650" refreshError="1"/>
      <sheetData sheetId="30651" refreshError="1"/>
      <sheetData sheetId="30652" refreshError="1"/>
      <sheetData sheetId="30653" refreshError="1"/>
      <sheetData sheetId="30654" refreshError="1"/>
      <sheetData sheetId="30655" refreshError="1"/>
      <sheetData sheetId="30656" refreshError="1"/>
      <sheetData sheetId="30657" refreshError="1"/>
      <sheetData sheetId="30658" refreshError="1"/>
      <sheetData sheetId="30659" refreshError="1"/>
      <sheetData sheetId="30660" refreshError="1"/>
      <sheetData sheetId="30661" refreshError="1"/>
      <sheetData sheetId="30662" refreshError="1"/>
      <sheetData sheetId="30663" refreshError="1"/>
      <sheetData sheetId="30664" refreshError="1"/>
      <sheetData sheetId="30665" refreshError="1"/>
      <sheetData sheetId="30666" refreshError="1"/>
      <sheetData sheetId="30667" refreshError="1"/>
      <sheetData sheetId="30668" refreshError="1"/>
      <sheetData sheetId="30669" refreshError="1"/>
      <sheetData sheetId="30670" refreshError="1"/>
      <sheetData sheetId="30671" refreshError="1"/>
      <sheetData sheetId="30672" refreshError="1"/>
      <sheetData sheetId="30673" refreshError="1"/>
      <sheetData sheetId="30674" refreshError="1"/>
      <sheetData sheetId="30675" refreshError="1"/>
      <sheetData sheetId="30676" refreshError="1"/>
      <sheetData sheetId="30677" refreshError="1"/>
      <sheetData sheetId="30678" refreshError="1"/>
      <sheetData sheetId="30679" refreshError="1"/>
      <sheetData sheetId="30680" refreshError="1"/>
      <sheetData sheetId="30681" refreshError="1"/>
      <sheetData sheetId="30682" refreshError="1"/>
      <sheetData sheetId="30683" refreshError="1"/>
      <sheetData sheetId="30684" refreshError="1"/>
      <sheetData sheetId="30685" refreshError="1"/>
      <sheetData sheetId="30686" refreshError="1"/>
      <sheetData sheetId="30687" refreshError="1"/>
      <sheetData sheetId="30688" refreshError="1"/>
      <sheetData sheetId="30689" refreshError="1"/>
      <sheetData sheetId="30690" refreshError="1"/>
      <sheetData sheetId="30691" refreshError="1"/>
      <sheetData sheetId="30692" refreshError="1"/>
      <sheetData sheetId="30693" refreshError="1"/>
      <sheetData sheetId="30694" refreshError="1"/>
      <sheetData sheetId="30695" refreshError="1"/>
      <sheetData sheetId="30696" refreshError="1"/>
      <sheetData sheetId="30697" refreshError="1"/>
      <sheetData sheetId="30698" refreshError="1"/>
      <sheetData sheetId="30699" refreshError="1"/>
      <sheetData sheetId="30700" refreshError="1"/>
      <sheetData sheetId="30701"/>
      <sheetData sheetId="30702"/>
      <sheetData sheetId="30703"/>
      <sheetData sheetId="30704"/>
      <sheetData sheetId="30705"/>
      <sheetData sheetId="30706"/>
      <sheetData sheetId="30707"/>
      <sheetData sheetId="30708"/>
      <sheetData sheetId="30709"/>
      <sheetData sheetId="30710" refreshError="1"/>
      <sheetData sheetId="30711" refreshError="1"/>
      <sheetData sheetId="30712" refreshError="1"/>
      <sheetData sheetId="30713" refreshError="1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/>
      <sheetData sheetId="30737"/>
      <sheetData sheetId="30738"/>
      <sheetData sheetId="30739"/>
      <sheetData sheetId="30740"/>
      <sheetData sheetId="30741"/>
      <sheetData sheetId="30742"/>
      <sheetData sheetId="30743"/>
      <sheetData sheetId="30744"/>
      <sheetData sheetId="30745"/>
      <sheetData sheetId="30746"/>
      <sheetData sheetId="30747"/>
      <sheetData sheetId="30748"/>
      <sheetData sheetId="30749"/>
      <sheetData sheetId="30750"/>
      <sheetData sheetId="30751" refreshError="1"/>
      <sheetData sheetId="30752" refreshError="1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/>
      <sheetData sheetId="30772" refreshError="1"/>
      <sheetData sheetId="30773" refreshError="1"/>
      <sheetData sheetId="30774" refreshError="1"/>
      <sheetData sheetId="30775"/>
      <sheetData sheetId="30776"/>
      <sheetData sheetId="30777"/>
      <sheetData sheetId="30778"/>
      <sheetData sheetId="30779" refreshError="1"/>
      <sheetData sheetId="30780" refreshError="1"/>
      <sheetData sheetId="30781"/>
      <sheetData sheetId="30782"/>
      <sheetData sheetId="30783"/>
      <sheetData sheetId="30784"/>
      <sheetData sheetId="30785" refreshError="1"/>
      <sheetData sheetId="30786" refreshError="1"/>
      <sheetData sheetId="30787" refreshError="1"/>
      <sheetData sheetId="30788" refreshError="1"/>
      <sheetData sheetId="30789" refreshError="1"/>
      <sheetData sheetId="30790" refreshError="1"/>
      <sheetData sheetId="30791" refreshError="1"/>
      <sheetData sheetId="30792" refreshError="1"/>
      <sheetData sheetId="30793" refreshError="1"/>
      <sheetData sheetId="30794" refreshError="1"/>
      <sheetData sheetId="30795" refreshError="1"/>
      <sheetData sheetId="30796"/>
      <sheetData sheetId="30797"/>
      <sheetData sheetId="30798"/>
      <sheetData sheetId="30799"/>
      <sheetData sheetId="30800"/>
      <sheetData sheetId="30801" refreshError="1"/>
      <sheetData sheetId="30802"/>
      <sheetData sheetId="30803" refreshError="1"/>
      <sheetData sheetId="30804" refreshError="1"/>
      <sheetData sheetId="30805" refreshError="1"/>
      <sheetData sheetId="30806" refreshError="1"/>
      <sheetData sheetId="30807" refreshError="1"/>
      <sheetData sheetId="30808" refreshError="1"/>
      <sheetData sheetId="30809" refreshError="1"/>
      <sheetData sheetId="30810" refreshError="1"/>
      <sheetData sheetId="30811" refreshError="1"/>
      <sheetData sheetId="30812"/>
      <sheetData sheetId="30813"/>
      <sheetData sheetId="30814" refreshError="1"/>
      <sheetData sheetId="30815"/>
      <sheetData sheetId="30816"/>
      <sheetData sheetId="30817"/>
      <sheetData sheetId="30818"/>
      <sheetData sheetId="30819"/>
      <sheetData sheetId="30820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 refreshError="1"/>
      <sheetData sheetId="30829" refreshError="1"/>
      <sheetData sheetId="30830" refreshError="1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 refreshError="1"/>
      <sheetData sheetId="30839" refreshError="1"/>
      <sheetData sheetId="30840" refreshError="1"/>
      <sheetData sheetId="30841" refreshError="1"/>
      <sheetData sheetId="30842" refreshError="1"/>
      <sheetData sheetId="30843" refreshError="1"/>
      <sheetData sheetId="30844" refreshError="1"/>
      <sheetData sheetId="30845" refreshError="1"/>
      <sheetData sheetId="30846" refreshError="1"/>
      <sheetData sheetId="30847" refreshError="1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 refreshError="1"/>
      <sheetData sheetId="30969" refreshError="1"/>
      <sheetData sheetId="30970" refreshError="1"/>
      <sheetData sheetId="30971" refreshError="1"/>
      <sheetData sheetId="30972" refreshError="1"/>
      <sheetData sheetId="30973" refreshError="1"/>
      <sheetData sheetId="30974" refreshError="1"/>
      <sheetData sheetId="30975" refreshError="1"/>
      <sheetData sheetId="30976" refreshError="1"/>
      <sheetData sheetId="30977" refreshError="1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 refreshError="1"/>
      <sheetData sheetId="31025" refreshError="1"/>
      <sheetData sheetId="31026" refreshError="1"/>
      <sheetData sheetId="31027" refreshError="1"/>
      <sheetData sheetId="31028" refreshError="1"/>
      <sheetData sheetId="31029" refreshError="1"/>
      <sheetData sheetId="31030" refreshError="1"/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 refreshError="1"/>
      <sheetData sheetId="31072" refreshError="1"/>
      <sheetData sheetId="31073" refreshError="1"/>
      <sheetData sheetId="31074" refreshError="1"/>
      <sheetData sheetId="31075" refreshError="1"/>
      <sheetData sheetId="31076" refreshError="1"/>
      <sheetData sheetId="31077" refreshError="1"/>
      <sheetData sheetId="31078" refreshError="1"/>
      <sheetData sheetId="31079" refreshError="1"/>
      <sheetData sheetId="31080" refreshError="1"/>
      <sheetData sheetId="31081" refreshError="1"/>
      <sheetData sheetId="31082" refreshError="1"/>
      <sheetData sheetId="31083" refreshError="1"/>
      <sheetData sheetId="31084" refreshError="1"/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>
        <row r="1">
          <cell r="A1" t="str">
            <v>CV TRITUNGGAL SENTOSA</v>
          </cell>
        </row>
      </sheetData>
      <sheetData sheetId="31095">
        <row r="1">
          <cell r="A1" t="str">
            <v>CV TRITUNGGAL SENTOSA</v>
          </cell>
        </row>
      </sheetData>
      <sheetData sheetId="31096">
        <row r="1">
          <cell r="A1" t="str">
            <v>DAFTAR RINCIAN AKTIVA TETAP &amp; PENYUSUTANNYA</v>
          </cell>
        </row>
      </sheetData>
      <sheetData sheetId="31097">
        <row r="1">
          <cell r="A1" t="str">
            <v>CV TRITUNGGAL SENTOSA</v>
          </cell>
        </row>
      </sheetData>
      <sheetData sheetId="31098">
        <row r="1">
          <cell r="A1" t="str">
            <v>CV TRITUNGGAL SENTOSA</v>
          </cell>
        </row>
      </sheetData>
      <sheetData sheetId="31099">
        <row r="1">
          <cell r="A1" t="str">
            <v>CV TRITUNGGAL SENTOSA</v>
          </cell>
        </row>
      </sheetData>
      <sheetData sheetId="31100">
        <row r="1">
          <cell r="A1" t="str">
            <v>CV TRITUNGGAL SENTOSA</v>
          </cell>
        </row>
      </sheetData>
      <sheetData sheetId="31101">
        <row r="1">
          <cell r="A1" t="str">
            <v>CV TRITUNGGAL SENTOSA</v>
          </cell>
        </row>
      </sheetData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 refreshError="1"/>
      <sheetData sheetId="31158" refreshError="1"/>
      <sheetData sheetId="31159" refreshError="1"/>
      <sheetData sheetId="31160" refreshError="1"/>
      <sheetData sheetId="31161" refreshError="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 refreshError="1"/>
      <sheetData sheetId="31169" refreshError="1"/>
      <sheetData sheetId="31170" refreshError="1"/>
      <sheetData sheetId="31171" refreshError="1"/>
      <sheetData sheetId="31172" refreshError="1"/>
      <sheetData sheetId="31173" refreshError="1"/>
      <sheetData sheetId="31174" refreshError="1"/>
      <sheetData sheetId="31175" refreshError="1"/>
      <sheetData sheetId="31176" refreshError="1"/>
      <sheetData sheetId="31177" refreshError="1"/>
      <sheetData sheetId="31178" refreshError="1"/>
      <sheetData sheetId="31179" refreshError="1"/>
      <sheetData sheetId="31180" refreshError="1"/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 refreshError="1"/>
      <sheetData sheetId="31313" refreshError="1"/>
      <sheetData sheetId="31314" refreshError="1"/>
      <sheetData sheetId="31315" refreshError="1"/>
      <sheetData sheetId="31316" refreshError="1"/>
      <sheetData sheetId="31317" refreshError="1"/>
      <sheetData sheetId="31318" refreshError="1"/>
      <sheetData sheetId="31319" refreshError="1"/>
      <sheetData sheetId="31320" refreshError="1"/>
      <sheetData sheetId="31321" refreshError="1"/>
      <sheetData sheetId="31322" refreshError="1"/>
      <sheetData sheetId="31323" refreshError="1"/>
      <sheetData sheetId="31324" refreshError="1"/>
      <sheetData sheetId="31325" refreshError="1"/>
      <sheetData sheetId="31326" refreshError="1"/>
      <sheetData sheetId="31327" refreshError="1"/>
      <sheetData sheetId="31328" refreshError="1"/>
      <sheetData sheetId="31329" refreshError="1"/>
      <sheetData sheetId="31330" refreshError="1"/>
      <sheetData sheetId="31331" refreshError="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 refreshError="1"/>
      <sheetData sheetId="31509" refreshError="1"/>
      <sheetData sheetId="31510" refreshError="1"/>
      <sheetData sheetId="31511" refreshError="1"/>
      <sheetData sheetId="31512" refreshError="1"/>
      <sheetData sheetId="31513" refreshError="1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 refreshError="1"/>
      <sheetData sheetId="31810" refreshError="1"/>
      <sheetData sheetId="31811" refreshError="1"/>
      <sheetData sheetId="31812" refreshError="1"/>
      <sheetData sheetId="31813" refreshError="1"/>
      <sheetData sheetId="31814" refreshError="1"/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 refreshError="1"/>
      <sheetData sheetId="31830" refreshError="1"/>
      <sheetData sheetId="31831" refreshError="1"/>
      <sheetData sheetId="31832" refreshError="1"/>
      <sheetData sheetId="31833" refreshError="1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 refreshError="1"/>
      <sheetData sheetId="31841" refreshError="1"/>
      <sheetData sheetId="31842" refreshError="1"/>
      <sheetData sheetId="31843" refreshError="1"/>
      <sheetData sheetId="31844" refreshError="1"/>
      <sheetData sheetId="31845" refreshError="1"/>
      <sheetData sheetId="31846" refreshError="1"/>
      <sheetData sheetId="31847" refreshError="1"/>
      <sheetData sheetId="31848" refreshError="1"/>
      <sheetData sheetId="31849" refreshError="1"/>
      <sheetData sheetId="31850" refreshError="1"/>
      <sheetData sheetId="31851" refreshError="1"/>
      <sheetData sheetId="31852" refreshError="1"/>
      <sheetData sheetId="31853" refreshError="1"/>
      <sheetData sheetId="31854" refreshError="1"/>
      <sheetData sheetId="31855" refreshError="1"/>
      <sheetData sheetId="31856" refreshError="1"/>
      <sheetData sheetId="31857" refreshError="1"/>
      <sheetData sheetId="31858" refreshError="1"/>
      <sheetData sheetId="31859" refreshError="1"/>
      <sheetData sheetId="31860" refreshError="1"/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/>
      <sheetData sheetId="31893">
        <row r="15">
          <cell r="F15">
            <v>0</v>
          </cell>
        </row>
      </sheetData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 refreshError="1"/>
      <sheetData sheetId="31910" refreshError="1"/>
      <sheetData sheetId="31911" refreshError="1"/>
      <sheetData sheetId="31912" refreshError="1"/>
      <sheetData sheetId="31913" refreshError="1"/>
      <sheetData sheetId="31914" refreshError="1"/>
      <sheetData sheetId="31915" refreshError="1"/>
      <sheetData sheetId="31916" refreshError="1"/>
      <sheetData sheetId="31917" refreshError="1"/>
      <sheetData sheetId="31918" refreshError="1"/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 refreshError="1"/>
      <sheetData sheetId="31945" refreshError="1"/>
      <sheetData sheetId="31946" refreshError="1"/>
      <sheetData sheetId="31947" refreshError="1"/>
      <sheetData sheetId="31948" refreshError="1"/>
      <sheetData sheetId="31949" refreshError="1"/>
      <sheetData sheetId="31950" refreshError="1"/>
      <sheetData sheetId="31951" refreshError="1"/>
      <sheetData sheetId="31952" refreshError="1"/>
      <sheetData sheetId="31953" refreshError="1"/>
      <sheetData sheetId="31954" refreshError="1"/>
      <sheetData sheetId="31955" refreshError="1"/>
      <sheetData sheetId="31956" refreshError="1"/>
      <sheetData sheetId="31957" refreshError="1"/>
      <sheetData sheetId="31958" refreshError="1"/>
      <sheetData sheetId="31959" refreshError="1"/>
      <sheetData sheetId="31960" refreshError="1"/>
      <sheetData sheetId="31961" refreshError="1"/>
      <sheetData sheetId="31962" refreshError="1"/>
      <sheetData sheetId="31963" refreshError="1"/>
      <sheetData sheetId="31964" refreshError="1"/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 refreshError="1"/>
      <sheetData sheetId="31991" refreshError="1"/>
      <sheetData sheetId="31992" refreshError="1"/>
      <sheetData sheetId="31993" refreshError="1"/>
      <sheetData sheetId="31994" refreshError="1"/>
      <sheetData sheetId="31995" refreshError="1"/>
      <sheetData sheetId="31996" refreshError="1"/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 refreshError="1"/>
      <sheetData sheetId="32008" refreshError="1"/>
      <sheetData sheetId="32009" refreshError="1"/>
      <sheetData sheetId="32010" refreshError="1"/>
      <sheetData sheetId="32011" refreshError="1"/>
      <sheetData sheetId="32012" refreshError="1"/>
      <sheetData sheetId="32013" refreshError="1"/>
      <sheetData sheetId="32014" refreshError="1"/>
      <sheetData sheetId="32015" refreshError="1"/>
      <sheetData sheetId="32016" refreshError="1"/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/>
      <sheetData sheetId="32097" refreshError="1"/>
      <sheetData sheetId="32098" refreshError="1"/>
      <sheetData sheetId="32099" refreshError="1"/>
      <sheetData sheetId="32100"/>
      <sheetData sheetId="32101"/>
      <sheetData sheetId="32102"/>
      <sheetData sheetId="32103" refreshError="1"/>
      <sheetData sheetId="32104" refreshError="1"/>
      <sheetData sheetId="32105" refreshError="1"/>
      <sheetData sheetId="32106" refreshError="1"/>
      <sheetData sheetId="32107"/>
      <sheetData sheetId="32108"/>
      <sheetData sheetId="32109"/>
      <sheetData sheetId="32110"/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 refreshError="1"/>
      <sheetData sheetId="32126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>
        <row r="93">
          <cell r="I93">
            <v>27314200</v>
          </cell>
        </row>
      </sheetData>
      <sheetData sheetId="32134">
        <row r="31">
          <cell r="F31">
            <v>218</v>
          </cell>
        </row>
      </sheetData>
      <sheetData sheetId="32135">
        <row r="31">
          <cell r="F31">
            <v>218</v>
          </cell>
        </row>
      </sheetData>
      <sheetData sheetId="32136">
        <row r="31">
          <cell r="F31">
            <v>218</v>
          </cell>
        </row>
      </sheetData>
      <sheetData sheetId="32137">
        <row r="31">
          <cell r="F31">
            <v>218</v>
          </cell>
        </row>
      </sheetData>
      <sheetData sheetId="32138">
        <row r="31">
          <cell r="F31">
            <v>210</v>
          </cell>
        </row>
      </sheetData>
      <sheetData sheetId="32139">
        <row r="31">
          <cell r="F31">
            <v>210</v>
          </cell>
        </row>
      </sheetData>
      <sheetData sheetId="32140">
        <row r="31">
          <cell r="F31">
            <v>209</v>
          </cell>
        </row>
      </sheetData>
      <sheetData sheetId="32141">
        <row r="31">
          <cell r="F31">
            <v>210</v>
          </cell>
        </row>
      </sheetData>
      <sheetData sheetId="32142">
        <row r="31">
          <cell r="D31">
            <v>210</v>
          </cell>
        </row>
      </sheetData>
      <sheetData sheetId="32143">
        <row r="31">
          <cell r="F31">
            <v>199</v>
          </cell>
        </row>
      </sheetData>
      <sheetData sheetId="32144">
        <row r="31">
          <cell r="F31">
            <v>199</v>
          </cell>
        </row>
      </sheetData>
      <sheetData sheetId="32145">
        <row r="31">
          <cell r="F31">
            <v>199</v>
          </cell>
        </row>
      </sheetData>
      <sheetData sheetId="32146"/>
      <sheetData sheetId="32147"/>
      <sheetData sheetId="32148"/>
      <sheetData sheetId="32149" refreshError="1"/>
      <sheetData sheetId="32150"/>
      <sheetData sheetId="32151"/>
      <sheetData sheetId="32152">
        <row r="15">
          <cell r="E15">
            <v>11203161657</v>
          </cell>
        </row>
      </sheetData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>
        <row r="2">
          <cell r="A2" t="str">
            <v>IDR</v>
          </cell>
        </row>
      </sheetData>
      <sheetData sheetId="32166">
        <row r="7">
          <cell r="A7">
            <v>1</v>
          </cell>
        </row>
      </sheetData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 refreshError="1"/>
      <sheetData sheetId="32314" refreshError="1"/>
      <sheetData sheetId="32315" refreshError="1"/>
      <sheetData sheetId="32316" refreshError="1"/>
      <sheetData sheetId="32317" refreshError="1"/>
      <sheetData sheetId="32318" refreshError="1"/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/>
      <sheetData sheetId="32475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 refreshError="1"/>
      <sheetData sheetId="32514" refreshError="1"/>
      <sheetData sheetId="32515" refreshError="1"/>
      <sheetData sheetId="32516" refreshError="1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 refreshError="1"/>
      <sheetData sheetId="32536" refreshError="1"/>
      <sheetData sheetId="32537" refreshError="1"/>
      <sheetData sheetId="32538" refreshError="1"/>
      <sheetData sheetId="32539" refreshError="1"/>
      <sheetData sheetId="32540" refreshError="1"/>
      <sheetData sheetId="32541" refreshError="1"/>
      <sheetData sheetId="32542" refreshError="1"/>
      <sheetData sheetId="32543" refreshError="1"/>
      <sheetData sheetId="32544"/>
      <sheetData sheetId="32545" refreshError="1"/>
      <sheetData sheetId="32546" refreshError="1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/>
      <sheetData sheetId="32560"/>
      <sheetData sheetId="32561"/>
      <sheetData sheetId="32562"/>
      <sheetData sheetId="32563"/>
      <sheetData sheetId="32564"/>
      <sheetData sheetId="32565"/>
      <sheetData sheetId="32566"/>
      <sheetData sheetId="32567"/>
      <sheetData sheetId="32568"/>
      <sheetData sheetId="32569"/>
      <sheetData sheetId="32570"/>
      <sheetData sheetId="32571"/>
      <sheetData sheetId="32572"/>
      <sheetData sheetId="32573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 refreshError="1"/>
      <sheetData sheetId="32664" refreshError="1"/>
      <sheetData sheetId="32665" refreshError="1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>
        <row r="1335">
          <cell r="D1335">
            <v>0</v>
          </cell>
        </row>
      </sheetData>
      <sheetData sheetId="32721"/>
      <sheetData sheetId="32722">
        <row r="8">
          <cell r="G8">
            <v>160000000</v>
          </cell>
        </row>
      </sheetData>
      <sheetData sheetId="32723"/>
      <sheetData sheetId="32724"/>
      <sheetData sheetId="32725"/>
      <sheetData sheetId="32726">
        <row r="2">
          <cell r="A2" t="str">
            <v>Acc</v>
          </cell>
        </row>
      </sheetData>
      <sheetData sheetId="32727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/>
      <sheetData sheetId="33010"/>
      <sheetData sheetId="33011"/>
      <sheetData sheetId="33012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 refreshError="1"/>
      <sheetData sheetId="33042" refreshError="1"/>
      <sheetData sheetId="33043" refreshError="1"/>
      <sheetData sheetId="33044" refreshError="1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 refreshError="1"/>
      <sheetData sheetId="33064" refreshError="1"/>
      <sheetData sheetId="33065" refreshError="1"/>
      <sheetData sheetId="33066" refreshError="1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 refreshError="1"/>
      <sheetData sheetId="33135" refreshError="1"/>
      <sheetData sheetId="33136" refreshError="1"/>
      <sheetData sheetId="33137" refreshError="1"/>
      <sheetData sheetId="33138" refreshError="1"/>
      <sheetData sheetId="33139" refreshError="1"/>
      <sheetData sheetId="33140" refreshError="1"/>
      <sheetData sheetId="33141" refreshError="1"/>
      <sheetData sheetId="33142" refreshError="1"/>
      <sheetData sheetId="33143" refreshError="1"/>
      <sheetData sheetId="33144" refreshError="1"/>
      <sheetData sheetId="33145" refreshError="1"/>
      <sheetData sheetId="33146" refreshError="1"/>
      <sheetData sheetId="33147" refreshError="1"/>
      <sheetData sheetId="33148" refreshError="1"/>
      <sheetData sheetId="33149" refreshError="1"/>
      <sheetData sheetId="33150" refreshError="1"/>
      <sheetData sheetId="33151" refreshError="1"/>
      <sheetData sheetId="33152" refreshError="1"/>
      <sheetData sheetId="33153" refreshError="1"/>
      <sheetData sheetId="33154" refreshError="1"/>
      <sheetData sheetId="33155" refreshError="1"/>
      <sheetData sheetId="33156" refreshError="1"/>
      <sheetData sheetId="33157" refreshError="1"/>
      <sheetData sheetId="33158" refreshError="1"/>
      <sheetData sheetId="33159" refreshError="1"/>
      <sheetData sheetId="33160" refreshError="1"/>
      <sheetData sheetId="33161" refreshError="1"/>
      <sheetData sheetId="33162" refreshError="1"/>
      <sheetData sheetId="33163" refreshError="1"/>
      <sheetData sheetId="33164" refreshError="1"/>
      <sheetData sheetId="33165" refreshError="1"/>
      <sheetData sheetId="33166" refreshError="1"/>
      <sheetData sheetId="33167" refreshError="1"/>
      <sheetData sheetId="33168" refreshError="1"/>
      <sheetData sheetId="33169" refreshError="1"/>
      <sheetData sheetId="33170" refreshError="1"/>
      <sheetData sheetId="33171" refreshError="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 refreshError="1"/>
      <sheetData sheetId="33209" refreshError="1"/>
      <sheetData sheetId="33210" refreshError="1"/>
      <sheetData sheetId="33211" refreshError="1"/>
      <sheetData sheetId="33212" refreshError="1"/>
      <sheetData sheetId="33213" refreshError="1"/>
      <sheetData sheetId="33214" refreshError="1"/>
      <sheetData sheetId="33215" refreshError="1"/>
      <sheetData sheetId="33216" refreshError="1"/>
      <sheetData sheetId="33217" refreshError="1"/>
      <sheetData sheetId="33218" refreshError="1"/>
      <sheetData sheetId="33219" refreshError="1"/>
      <sheetData sheetId="33220" refreshError="1"/>
      <sheetData sheetId="33221" refreshError="1"/>
      <sheetData sheetId="33222" refreshError="1"/>
      <sheetData sheetId="33223" refreshError="1"/>
      <sheetData sheetId="33224" refreshError="1"/>
      <sheetData sheetId="33225" refreshError="1"/>
      <sheetData sheetId="33226" refreshError="1"/>
      <sheetData sheetId="33227" refreshError="1"/>
      <sheetData sheetId="33228" refreshError="1"/>
      <sheetData sheetId="33229" refreshError="1"/>
      <sheetData sheetId="33230" refreshError="1"/>
      <sheetData sheetId="33231" refreshError="1"/>
      <sheetData sheetId="33232" refreshError="1"/>
      <sheetData sheetId="33233" refreshError="1"/>
      <sheetData sheetId="33234" refreshError="1"/>
      <sheetData sheetId="33235" refreshError="1"/>
      <sheetData sheetId="33236" refreshError="1"/>
      <sheetData sheetId="33237" refreshError="1"/>
      <sheetData sheetId="33238" refreshError="1"/>
      <sheetData sheetId="33239" refreshError="1"/>
      <sheetData sheetId="33240" refreshError="1"/>
      <sheetData sheetId="33241" refreshError="1"/>
      <sheetData sheetId="33242" refreshError="1"/>
      <sheetData sheetId="33243" refreshError="1"/>
      <sheetData sheetId="33244" refreshError="1"/>
      <sheetData sheetId="33245" refreshError="1"/>
      <sheetData sheetId="33246" refreshError="1"/>
      <sheetData sheetId="33247" refreshError="1"/>
      <sheetData sheetId="33248" refreshError="1"/>
      <sheetData sheetId="33249" refreshError="1"/>
      <sheetData sheetId="33250" refreshError="1"/>
      <sheetData sheetId="33251" refreshError="1"/>
      <sheetData sheetId="33252" refreshError="1"/>
      <sheetData sheetId="33253" refreshError="1"/>
      <sheetData sheetId="33254" refreshError="1"/>
      <sheetData sheetId="33255" refreshError="1"/>
      <sheetData sheetId="33256" refreshError="1"/>
      <sheetData sheetId="33257" refreshError="1"/>
      <sheetData sheetId="33258" refreshError="1"/>
      <sheetData sheetId="33259" refreshError="1"/>
      <sheetData sheetId="33260" refreshError="1"/>
      <sheetData sheetId="33261" refreshError="1"/>
      <sheetData sheetId="33262" refreshError="1"/>
      <sheetData sheetId="33263" refreshError="1"/>
      <sheetData sheetId="33264" refreshError="1"/>
      <sheetData sheetId="33265" refreshError="1"/>
      <sheetData sheetId="33266" refreshError="1"/>
      <sheetData sheetId="33267" refreshError="1"/>
      <sheetData sheetId="33268" refreshError="1"/>
      <sheetData sheetId="33269" refreshError="1"/>
      <sheetData sheetId="33270" refreshError="1"/>
      <sheetData sheetId="33271" refreshError="1"/>
      <sheetData sheetId="33272" refreshError="1"/>
      <sheetData sheetId="33273" refreshError="1"/>
      <sheetData sheetId="33274" refreshError="1"/>
      <sheetData sheetId="33275" refreshError="1"/>
      <sheetData sheetId="33276" refreshError="1"/>
      <sheetData sheetId="33277" refreshError="1"/>
      <sheetData sheetId="33278" refreshError="1"/>
      <sheetData sheetId="33279" refreshError="1"/>
      <sheetData sheetId="33280" refreshError="1"/>
      <sheetData sheetId="33281" refreshError="1"/>
      <sheetData sheetId="33282" refreshError="1"/>
      <sheetData sheetId="33283" refreshError="1"/>
      <sheetData sheetId="33284" refreshError="1"/>
      <sheetData sheetId="33285" refreshError="1"/>
      <sheetData sheetId="33286" refreshError="1"/>
      <sheetData sheetId="33287" refreshError="1"/>
      <sheetData sheetId="33288" refreshError="1"/>
      <sheetData sheetId="33289" refreshError="1"/>
      <sheetData sheetId="33290" refreshError="1"/>
      <sheetData sheetId="33291" refreshError="1"/>
      <sheetData sheetId="33292" refreshError="1"/>
      <sheetData sheetId="33293" refreshError="1"/>
      <sheetData sheetId="33294" refreshError="1"/>
      <sheetData sheetId="33295" refreshError="1"/>
      <sheetData sheetId="33296" refreshError="1"/>
      <sheetData sheetId="33297" refreshError="1"/>
      <sheetData sheetId="33298" refreshError="1"/>
      <sheetData sheetId="33299" refreshError="1"/>
      <sheetData sheetId="33300" refreshError="1"/>
      <sheetData sheetId="33301" refreshError="1"/>
      <sheetData sheetId="33302" refreshError="1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 refreshError="1"/>
      <sheetData sheetId="33319" refreshError="1"/>
      <sheetData sheetId="33320" refreshError="1"/>
      <sheetData sheetId="33321" refreshError="1"/>
      <sheetData sheetId="33322" refreshError="1"/>
      <sheetData sheetId="33323" refreshError="1"/>
      <sheetData sheetId="33324"/>
      <sheetData sheetId="33325"/>
      <sheetData sheetId="33326" refreshError="1"/>
      <sheetData sheetId="33327" refreshError="1"/>
      <sheetData sheetId="33328" refreshError="1"/>
      <sheetData sheetId="33329" refreshError="1"/>
      <sheetData sheetId="33330" refreshError="1"/>
      <sheetData sheetId="33331" refreshError="1"/>
      <sheetData sheetId="33332"/>
      <sheetData sheetId="33333" refreshError="1"/>
      <sheetData sheetId="33334" refreshError="1"/>
      <sheetData sheetId="33335" refreshError="1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0000"/>
      <sheetName val="1000"/>
      <sheetName val="lb-rugi"/>
      <sheetName val="ADJ 2003"/>
      <sheetName val="worksheet"/>
      <sheetName val="nrcaktv"/>
      <sheetName val="Neraca psv"/>
      <sheetName val="Neraca"/>
      <sheetName val="laba rugi"/>
      <sheetName val="Equitas"/>
      <sheetName val="ArusKas"/>
      <sheetName val="deffered tax"/>
      <sheetName val="BBM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worksheet"/>
      <sheetName val="Konsolidasi rekon Fiskal "/>
      <sheetName val="rekons.fiskal.sumsel"/>
      <sheetName val="Rekon.fiskal.lampung"/>
      <sheetName val="Rekon.Fiskal.Bengkulu"/>
      <sheetName val="Bapu"/>
      <sheetName val="Bergen"/>
      <sheetName val="Kandir"/>
      <sheetName val="P3RI"/>
      <sheetName val="Pewa"/>
      <sheetName val="Primer"/>
      <sheetName val="way galih"/>
      <sheetName val="Bekri"/>
      <sheetName val="DSKP"/>
      <sheetName val="DSPT"/>
      <sheetName val="Patu"/>
      <sheetName val="Buma"/>
      <sheetName val="Tubu"/>
      <sheetName val="Resa"/>
      <sheetName val="Wabe"/>
      <sheetName val="Wali"/>
      <sheetName val="Basin"/>
      <sheetName val="Mula"/>
      <sheetName val="Tebe"/>
      <sheetName val="Beka"/>
      <sheetName val="Betung"/>
      <sheetName val="Bentayan"/>
      <sheetName val="Tasa"/>
      <sheetName val="Cima"/>
      <sheetName val="Baja"/>
      <sheetName val="Beri"/>
      <sheetName val="Suni"/>
      <sheetName val="Suli"/>
      <sheetName val="UBSME"/>
      <sheetName val="Senabing"/>
      <sheetName val="Pala"/>
      <sheetName val="Sheet17"/>
      <sheetName val="UBS"/>
      <sheetName val="Keta"/>
      <sheetName val="Pawi"/>
      <sheetName val="Tapi"/>
      <sheetName val="Sheet5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>
        <row r="50">
          <cell r="E50">
            <v>714872493.32666695</v>
          </cell>
        </row>
      </sheetData>
      <sheetData sheetId="21"/>
      <sheetData sheetId="22">
        <row r="33">
          <cell r="E33">
            <v>2523421.5</v>
          </cell>
        </row>
      </sheetData>
      <sheetData sheetId="23"/>
      <sheetData sheetId="24"/>
      <sheetData sheetId="25">
        <row r="63">
          <cell r="F63">
            <v>101585743.152778</v>
          </cell>
        </row>
      </sheetData>
      <sheetData sheetId="26"/>
      <sheetData sheetId="27">
        <row r="65">
          <cell r="D65">
            <v>44505206.541666701</v>
          </cell>
        </row>
      </sheetData>
      <sheetData sheetId="28">
        <row r="24">
          <cell r="C24">
            <v>4863281680.2333298</v>
          </cell>
        </row>
      </sheetData>
      <sheetData sheetId="29">
        <row r="86">
          <cell r="F86">
            <v>111239051.95999999</v>
          </cell>
        </row>
      </sheetData>
      <sheetData sheetId="30">
        <row r="88">
          <cell r="F88">
            <v>414813080.888354</v>
          </cell>
        </row>
      </sheetData>
      <sheetData sheetId="31"/>
      <sheetData sheetId="32"/>
      <sheetData sheetId="33"/>
      <sheetData sheetId="34"/>
      <sheetData sheetId="35">
        <row r="49">
          <cell r="K49">
            <v>-572949278.66666698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Catatn AT"/>
      <sheetName val="COVER"/>
      <sheetName val="Daftar Isi"/>
      <sheetName val="info manajemen"/>
      <sheetName val="info auditor"/>
      <sheetName val="REKAP SHU"/>
      <sheetName val="NERACA"/>
      <sheetName val="SHU"/>
      <sheetName val="KEKAYAAN"/>
      <sheetName val="ARUS KAS"/>
      <sheetName val="pos LK"/>
      <sheetName val="Sheet4"/>
      <sheetName val="RATIO"/>
      <sheetName val="KKP_eLIMINASI"/>
      <sheetName val="KKP_kONSOLIDASI"/>
      <sheetName val="konsolidasi Lampung"/>
      <sheetName val="LAMP"/>
      <sheetName val="NR LMPUNG"/>
      <sheetName val="NR PER WIL1"/>
      <sheetName val="NR WIL2"/>
      <sheetName val="NR WIL3"/>
      <sheetName val="NR WIL4"/>
      <sheetName val="NR Penj L 1"/>
      <sheetName val="NR Penj L 2"/>
      <sheetName val="NR Penj L 3"/>
      <sheetName val="NR Penj L 4"/>
      <sheetName val="SHU LMPUNG"/>
      <sheetName val="SHU LPG1"/>
      <sheetName val="SHU LPG2"/>
      <sheetName val="SHU LPG3"/>
      <sheetName val="SHU P1"/>
      <sheetName val="SHU P2"/>
      <sheetName val="SHU P3"/>
      <sheetName val="NR SUMSEL"/>
      <sheetName val="NR PL1"/>
      <sheetName val="NR PL2"/>
      <sheetName val="NR PL3"/>
      <sheetName val="NR PL4"/>
      <sheetName val="NR PL5"/>
      <sheetName val="Worksheet Palembang"/>
      <sheetName val="PNJLSN NR1"/>
      <sheetName val="NR2"/>
      <sheetName val="NR3"/>
      <sheetName val="NR4"/>
      <sheetName val="NR5"/>
      <sheetName val="SHU SUMSEL"/>
      <sheetName val="SHU PL1"/>
      <sheetName val="SHU PL2"/>
      <sheetName val="SHU PL3"/>
      <sheetName val="SHU PL4"/>
      <sheetName val="Sheet2"/>
      <sheetName val="PL SHU1"/>
      <sheetName val="PL SHU2"/>
      <sheetName val="PL SHU3"/>
      <sheetName val="PL SHU4"/>
      <sheetName val="NR BENGKLU"/>
      <sheetName val="NR BNGKL1"/>
      <sheetName val="WS_BENGKULU"/>
      <sheetName val="NR Penj BNGKL 1"/>
      <sheetName val="SHU BNGKLU"/>
      <sheetName val="SHU BKL1"/>
      <sheetName val="Sheet3"/>
      <sheetName val="pjls SHU bk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Proses"/>
      <sheetName val="tabukar"/>
      <sheetName val="HPPtoko"/>
      <sheetName val="TokoOPL"/>
      <sheetName val="PPh Psl 23"/>
      <sheetName val="BEKRI Awal"/>
      <sheetName val="AJP"/>
      <sheetName val="NR Konsol"/>
      <sheetName val="SHU Konsol"/>
      <sheetName val="Kor Fis Konsol"/>
      <sheetName val="AT Konsol"/>
      <sheetName val="AT Fis Kons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>
        <row r="14">
          <cell r="E14">
            <v>-20926360365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Sheet3"/>
      <sheetName val="Neraca"/>
      <sheetName val="SHU"/>
      <sheetName val="fiskal"/>
      <sheetName val="AT"/>
      <sheetName val="AT_Fiskal"/>
      <sheetName val="AJP"/>
      <sheetName val="KKP"/>
      <sheetName val="Paja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21">
          <cell r="K121">
            <v>235409352.30833301</v>
          </cell>
        </row>
      </sheetData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rove Langsir"/>
      <sheetName val="Improve Drainase"/>
      <sheetName val="langsir 04"/>
      <sheetName val="Time frame"/>
      <sheetName val="Map KTU"/>
      <sheetName val="Data langsir"/>
      <sheetName val="master plan"/>
      <sheetName val="ACT KA.TEKNIK"/>
      <sheetName val="KPI Asst Teknik "/>
      <sheetName val="KPI Ka Teknik"/>
      <sheetName val="IPP Asst Teknik"/>
      <sheetName val="IPP Ka Teknik"/>
      <sheetName val="INVES (2)"/>
      <sheetName val="KPI"/>
      <sheetName val="INVES"/>
      <sheetName val="PREMI"/>
      <sheetName val="Catatn AT"/>
      <sheetName val="COVER"/>
      <sheetName val="Daftar Isi"/>
      <sheetName val="info manajemen"/>
      <sheetName val="info auditor"/>
      <sheetName val="pos LK"/>
      <sheetName val="NERACA"/>
      <sheetName val="SHU"/>
      <sheetName val="KEKAYAAN"/>
      <sheetName val="ARUS KAS"/>
      <sheetName val="KKP_eLIMINASI"/>
      <sheetName val="KKP_kONSOLIDASI"/>
      <sheetName val="NR LMPUNG"/>
      <sheetName val="NR PER WIL1"/>
      <sheetName val="NR WIL2"/>
      <sheetName val="NR WIL3"/>
      <sheetName val="NR WIL4"/>
      <sheetName val="SHU LMPUNG"/>
      <sheetName val="SHU LPG1"/>
      <sheetName val="SHU LPG2"/>
      <sheetName val="SHU LPG3"/>
      <sheetName val="konsolidasi Lampung"/>
      <sheetName val="Sheet2"/>
      <sheetName val="Sheet3"/>
      <sheetName val="Sheet1"/>
      <sheetName val="NR SUMSEL"/>
      <sheetName val="Worksheet Palembang"/>
      <sheetName val="NR PL1"/>
      <sheetName val="NR PL2"/>
      <sheetName val="NR PL3"/>
      <sheetName val="NR PL4"/>
      <sheetName val="NR PL5"/>
      <sheetName val="PNJLSN NR1"/>
      <sheetName val="NR2"/>
      <sheetName val="NR3"/>
      <sheetName val="NR4"/>
      <sheetName val="NR5"/>
      <sheetName val="SHU SUMSEL"/>
      <sheetName val="SHU PL1"/>
      <sheetName val="SHU PL2"/>
      <sheetName val="SHU PL3"/>
      <sheetName val="SHU PL4"/>
      <sheetName val="PL SHU1"/>
      <sheetName val="PL SHU4"/>
      <sheetName val="PL SHU2"/>
      <sheetName val="PL SHU3"/>
      <sheetName val="NR BENGKLU"/>
      <sheetName val="NR BNGKL1"/>
      <sheetName val="SHU BNGKLU"/>
      <sheetName val="SHU BKL1"/>
      <sheetName val="WS_BENGKULU"/>
      <sheetName val="pjls SHU bk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KOPERASI KARYAWAN RUWA JURAI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Cs (2)"/>
      <sheetName val="TB Cs"/>
      <sheetName val="Contra "/>
      <sheetName val="Journal "/>
      <sheetName val="Payment "/>
      <sheetName val="Receipt "/>
      <sheetName val="Sales "/>
      <sheetName val="Sheet1"/>
      <sheetName val="Sheet2"/>
      <sheetName val="Sheet4"/>
      <sheetName val="KKPindomrco"/>
      <sheetName val="AJP_Ind"/>
      <sheetName val="Konsol"/>
      <sheetName val="AJP Konsol"/>
      <sheetName val="BUMA"/>
      <sheetName val="AJP 2017"/>
      <sheetName val="Koreksi Fiskal"/>
      <sheetName val="NR Konsol"/>
      <sheetName val="SHU Konsol"/>
      <sheetName val="DAT 2017"/>
      <sheetName val="AT_Fis"/>
      <sheetName val="REKON FISKAL"/>
      <sheetName val="ML"/>
      <sheetName val="NR BUMa"/>
      <sheetName val="SHU BUMA"/>
      <sheetName val="AJP"/>
      <sheetName val="AT_Konsol"/>
      <sheetName val="AT Ind"/>
      <sheetName val="Compatibility Report"/>
      <sheetName val="rekap PPN"/>
      <sheetName val="TOP PPN"/>
      <sheetName val="UM PPh 23 2016"/>
      <sheetName val="PPh 21"/>
      <sheetName val="beban"/>
      <sheetName val="Selisih kas opname"/>
      <sheetName val="Pendapatan Toko"/>
      <sheetName val="Konfirmasi Ban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85">
          <cell r="L185">
            <v>230727149.38161501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Ketapang Full"/>
      <sheetName val="TB Ketapang"/>
      <sheetName val="Debit Note"/>
      <sheetName val="Journal"/>
      <sheetName val="Payment"/>
      <sheetName val="Purchase"/>
      <sheetName val="Receipt"/>
      <sheetName val="Sheet1"/>
      <sheetName val="Sheet2"/>
      <sheetName val="Sheet9"/>
      <sheetName val="PPh Psl 23 dipot"/>
      <sheetName val="WAYLIMA_awal"/>
      <sheetName val="AJP"/>
      <sheetName val="NR"/>
      <sheetName val="SHU"/>
      <sheetName val="AT Komersil"/>
      <sheetName val="Kor Fiskal"/>
      <sheetName val="AT Fisk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TB"/>
      <sheetName val="Contra"/>
      <sheetName val="Ekspor"/>
      <sheetName val="Journal"/>
      <sheetName val="Lokal"/>
      <sheetName val="Payment"/>
      <sheetName val="Purchase"/>
      <sheetName val="Raw Material"/>
      <sheetName val="Receipt"/>
      <sheetName val="Sheet1"/>
      <sheetName val="Sheet2"/>
      <sheetName val="TUBU"/>
      <sheetName val="AJP"/>
      <sheetName val="AT FISKAL"/>
      <sheetName val="AT KOMERSIL"/>
      <sheetName val="NR"/>
      <sheetName val="SHU"/>
      <sheetName val="Kor Fis Konsol"/>
      <sheetName val="AT Konsol New (2)"/>
      <sheetName val="coba hapus"/>
      <sheetName val="Omset"/>
      <sheetName val="TOP PPN"/>
      <sheetName val="Pph 23"/>
      <sheetName val="PPN"/>
      <sheetName val="Konfirmasi 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>
        <row r="31">
          <cell r="F31">
            <v>207443947.65208301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Cs (2)"/>
      <sheetName val="TB Cs"/>
      <sheetName val="Journal"/>
      <sheetName val="Payment"/>
      <sheetName val="Receipt"/>
      <sheetName val="Sheet1"/>
      <sheetName val="Sheet2"/>
      <sheetName val="Sheet4"/>
      <sheetName val="Sheet3"/>
      <sheetName val="AJE"/>
      <sheetName val="BETUNG_WS"/>
      <sheetName val="NR"/>
      <sheetName val="SHU"/>
      <sheetName val="AT (2)"/>
      <sheetName val="Rekon Fiskal"/>
      <sheetName val="AT Fiskal2"/>
      <sheetName val="BP23"/>
      <sheetName val="bp23_2015"/>
      <sheetName val="Temuan"/>
      <sheetName val="AJP_awal"/>
      <sheetName val="Temuan Print"/>
      <sheetName val="Kor Fis Usipa"/>
      <sheetName val="Kor Fis Jasa"/>
      <sheetName val="Kor Fis Konsumen"/>
      <sheetName val="Kor Fis Konsol"/>
      <sheetName val="NR Usipa"/>
      <sheetName val="NR Jasa"/>
      <sheetName val="NR Konsumen"/>
      <sheetName val="SHU Usipa"/>
      <sheetName val="SHU Jasa"/>
      <sheetName val="NR Konsol"/>
      <sheetName val="SHU Konsumen"/>
      <sheetName val="Pemisahan"/>
      <sheetName val="SHU Konsol"/>
      <sheetName val="AT USIPA_fix"/>
      <sheetName val="at_jasa fix"/>
      <sheetName val="at_jasa fix (2)"/>
      <sheetName val="AT Usipa"/>
      <sheetName val="AT Jasa"/>
      <sheetName val="AT Konsumen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>
        <row r="47">
          <cell r="C47">
            <v>6666937329.6833296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"/>
      <sheetName val="SRC Resume (2)"/>
      <sheetName val="PAJE"/>
      <sheetName val="WBS1-wp "/>
      <sheetName val="PRJE"/>
      <sheetName val="WBS2-WP"/>
      <sheetName val="WPL WP"/>
      <sheetName val="WBS1"/>
      <sheetName val="WBS2"/>
      <sheetName val="WPL"/>
      <sheetName val=" (A)"/>
      <sheetName val="A-1."/>
      <sheetName val="A-2."/>
      <sheetName val="A-1-1"/>
      <sheetName val="A-2-1."/>
      <sheetName val="A-1"/>
      <sheetName val="A-3."/>
      <sheetName val="A-3.1"/>
      <sheetName val="A-4"/>
      <sheetName val="A-2-1"/>
      <sheetName val="(C)"/>
      <sheetName val="C-1"/>
      <sheetName val="C-2"/>
      <sheetName val="C-3."/>
      <sheetName val="C-4."/>
      <sheetName val="C-1-1"/>
      <sheetName val="C-5"/>
      <sheetName val=" (D)"/>
      <sheetName val="D-1"/>
      <sheetName val="D-1.1-1"/>
      <sheetName val="D-1.1"/>
      <sheetName val="D-3"/>
      <sheetName val="D-3.1"/>
      <sheetName val="D-4"/>
      <sheetName val="D-5"/>
      <sheetName val="prepaid Taxes (E)"/>
      <sheetName val="E-1"/>
      <sheetName val="E-2"/>
      <sheetName val="Prepayments (F)"/>
      <sheetName val="F-1"/>
      <sheetName val="F-2"/>
      <sheetName val="AR Others (G)"/>
      <sheetName val="Fixed Assets (J)"/>
      <sheetName val="list of FA"/>
      <sheetName val="J-2"/>
      <sheetName val="J-1"/>
      <sheetName val="J-3"/>
      <sheetName val="J-4"/>
      <sheetName val="J-5"/>
      <sheetName val="J-6"/>
      <sheetName val="deferred expenses (L)"/>
      <sheetName val="Accounts Payable (AA)"/>
      <sheetName val="AA-2"/>
      <sheetName val="Bank Loan (BB)"/>
      <sheetName val="BB-1"/>
      <sheetName val="BB-2"/>
      <sheetName val="Taxes Payable (CC)"/>
      <sheetName val="CC-1"/>
      <sheetName val="CC-2"/>
      <sheetName val="AP-Other (DD)"/>
      <sheetName val="DD-1"/>
      <sheetName val="Advance Received (EE) "/>
      <sheetName val=" EE-1"/>
      <sheetName val="Affiliate Payable (FF)"/>
      <sheetName val="FF-1"/>
      <sheetName val="Accrued Exp. (HH)"/>
      <sheetName val=" HH-1"/>
      <sheetName val="DTA (JJ)"/>
      <sheetName val="JJ-1"/>
      <sheetName val=" Equity (KK)"/>
      <sheetName val="Revenue (10)"/>
      <sheetName val="10-1"/>
      <sheetName val="10-1-1"/>
      <sheetName val="COG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INVES"/>
      <sheetName val="AJP 2016"/>
      <sheetName val="PaLa 2017"/>
      <sheetName val="Koreksi Fiskal"/>
      <sheetName val="NR"/>
      <sheetName val="SHU"/>
      <sheetName val="AT Komersil"/>
      <sheetName val="AT Fiskal"/>
      <sheetName val="Kor Fis Konsol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>
        <row r="182">
          <cell r="AH182">
            <v>10158425315.4615</v>
          </cell>
        </row>
      </sheetData>
      <sheetData sheetId="85" refreshError="1"/>
      <sheetData sheetId="86" refreshError="1"/>
      <sheetData sheetId="87">
        <row r="31">
          <cell r="E31">
            <v>187821748.682033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pst"/>
      <sheetName val="mks"/>
      <sheetName val="bppn"/>
      <sheetName val="smd"/>
      <sheetName val="bit"/>
      <sheetName val="amb"/>
      <sheetName val="srg"/>
      <sheetName val="jpr"/>
      <sheetName val="trk"/>
      <sheetName val="ptl"/>
      <sheetName val="kdr"/>
      <sheetName val="tnt"/>
      <sheetName val="biak"/>
      <sheetName val="mrk"/>
      <sheetName val="gto"/>
      <sheetName val="pares"/>
      <sheetName val="mkw"/>
      <sheetName val="faks"/>
      <sheetName val="nnk"/>
      <sheetName val="btg"/>
      <sheetName val="sgt"/>
      <sheetName val="Accounts Payable (AA)"/>
      <sheetName val="10-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-03"/>
      <sheetName val="BBM-03 (2)"/>
      <sheetName val="jpr"/>
    </sheetNames>
    <sheetDataSet>
      <sheetData sheetId="0"/>
      <sheetData sheetId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"/>
      <sheetName val="BBM-03"/>
      <sheetName val="jpr"/>
      <sheetName val="Accounts Payable (AA)"/>
      <sheetName val="10-1-1"/>
      <sheetName val="Ekspor"/>
      <sheetName val="Cont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LC"/>
      <sheetName val="BBM-03"/>
      <sheetName val="jpr"/>
      <sheetName val="Journal"/>
      <sheetName val="Payment"/>
      <sheetName val="Receip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etary"/>
      <sheetName val="TC"/>
      <sheetName val="LC"/>
      <sheetName val="BBM-03"/>
      <sheetName val="Accounts Payable (AA)"/>
      <sheetName val="10-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"/>
      <sheetName val="L"/>
      <sheetName val="Monetary"/>
      <sheetName val="TC"/>
      <sheetName val="BBM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Item"/>
      <sheetName val="L"/>
      <sheetName val="Monetary"/>
      <sheetName val="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GC"/>
      <sheetName val="Item"/>
      <sheetName val="L"/>
      <sheetName val="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Balance"/>
      <sheetName val="GC"/>
      <sheetName val="Item"/>
      <sheetName val="Monet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y"/>
      <sheetName val="Sheet"/>
      <sheetName val="Balance"/>
      <sheetName val="GC"/>
      <sheetName val="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Monitory"/>
      <sheetName val="Sheet"/>
      <sheetName val="Balance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KP"/>
      <sheetName val="PPh"/>
      <sheetName val="PPh Jan"/>
      <sheetName val="PPh Feb"/>
      <sheetName val="PPh Mar"/>
      <sheetName val="PPh April"/>
      <sheetName val="PPh Mei"/>
      <sheetName val="PPh Juni"/>
      <sheetName val="PPh Juli"/>
      <sheetName val="PPh Agst"/>
      <sheetName val="PPh Spt"/>
      <sheetName val="PPh Okt"/>
      <sheetName val="PPh Nop"/>
      <sheetName val="PPh Des"/>
      <sheetName val="gaji&amp;Tunjanga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LIst Reklas BDD n UM (3)"/>
      <sheetName val="LIst Reklas BDD n UM (2)"/>
      <sheetName val="LIst Reklas BDD n UM"/>
      <sheetName val="NS"/>
      <sheetName val="Periode"/>
      <sheetName val="Profil"/>
      <sheetName val="HIGKLIGHTS"/>
      <sheetName val="IS"/>
      <sheetName val="BS"/>
      <sheetName val="Sheet5"/>
      <sheetName val="Sumber dana"/>
      <sheetName val="SALE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LK"/>
      <sheetName val="ANATUNG PERMATA"/>
      <sheetName val="VINTAGE PERMATA"/>
      <sheetName val="AYDA"/>
      <sheetName val="ANABPKB"/>
      <sheetName val="BI"/>
      <sheetName val="Form1"/>
      <sheetName val="Form2"/>
      <sheetName val="Form3"/>
      <sheetName val="Form4"/>
      <sheetName val="Form5"/>
      <sheetName val="Form6"/>
      <sheetName val="Sheet1"/>
      <sheetName val="1 Th"/>
      <sheetName val="Sheet2"/>
      <sheetName val="Rinci"/>
      <sheetName val="PTK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 (2)"/>
      <sheetName val="NS"/>
      <sheetName val="Sheet1"/>
      <sheetName val="Periode"/>
      <sheetName val="2016"/>
      <sheetName val="CTATAN"/>
      <sheetName val="AJP_awal"/>
      <sheetName val="NR"/>
      <sheetName val="SHU"/>
      <sheetName val="MUSI LANDAS_awal"/>
      <sheetName val="Rekon Fiskal"/>
      <sheetName val="AT (2)"/>
      <sheetName val="AT _Fiskal"/>
      <sheetName val="Rekap 23"/>
      <sheetName val="Pemisahan"/>
      <sheetName val="NR Usipa"/>
      <sheetName val="SHU Usipa"/>
      <sheetName val="NR Jasa"/>
      <sheetName val="SHU Jasa"/>
      <sheetName val="NR Konsumen"/>
      <sheetName val="SHU Konsumen"/>
      <sheetName val="NR Konsol"/>
      <sheetName val="SHU Konsol"/>
      <sheetName val="Temuan"/>
      <sheetName val="Kor Fis Usipa"/>
      <sheetName val="Kor Fis Jasa"/>
      <sheetName val="Kor Fis Konsumen"/>
      <sheetName val="Kor Fis Konsol"/>
      <sheetName val="AT Usipa"/>
      <sheetName val="AT Jasa"/>
      <sheetName val="AT Konsumen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357">
          <cell r="L357">
            <v>10547657262.5</v>
          </cell>
        </row>
      </sheetData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AA"/>
      <sheetName val="JU"/>
      <sheetName val="BB"/>
      <sheetName val="NR"/>
      <sheetName val="LR"/>
      <sheetName val="2"/>
      <sheetName val="Jurnal Reklas"/>
      <sheetName val="Neraca"/>
      <sheetName val="shu"/>
      <sheetName val="LR_Fiskal"/>
      <sheetName val="LR_Fiskal 2017"/>
      <sheetName val="KKP_KONSOL TAX"/>
      <sheetName val="Klasifikasi"/>
      <sheetName val="Reklas"/>
      <sheetName val="WS_BENGKULU TAX"/>
      <sheetName val="WS_Sumsel TAX"/>
      <sheetName val="WS_LAmpung TA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68">
          <cell r="AA268">
            <v>1175763340.4352801</v>
          </cell>
        </row>
      </sheetData>
      <sheetData sheetId="16">
        <row r="261">
          <cell r="M261">
            <v>147031259.954166</v>
          </cell>
        </row>
      </sheetData>
      <sheetData sheetId="1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ver"/>
      <sheetName val="Daftar Isi"/>
      <sheetName val="NR"/>
      <sheetName val="Sheet4"/>
      <sheetName val="Temuan"/>
      <sheetName val="AJP"/>
      <sheetName val="CLK"/>
      <sheetName val="WS REKAP"/>
      <sheetName val="WS EDIT (Izul)_DB"/>
      <sheetName val="AT Revisi"/>
      <sheetName val="RL"/>
      <sheetName val="LPPK-2013"/>
      <sheetName val="Arus Kas"/>
      <sheetName val="KertasKerja_DB"/>
      <sheetName val="Lamp"/>
      <sheetName val="WS"/>
      <sheetName val="Sheet5"/>
      <sheetName val="Sheet1 (2)"/>
      <sheetName val="Sheet2 (2)"/>
      <sheetName val="RKP Pembelian"/>
      <sheetName val="AT Fix"/>
      <sheetName val="Sheet3"/>
      <sheetName val="I"/>
      <sheetName val="II"/>
      <sheetName val="III"/>
      <sheetName val="IV"/>
      <sheetName val="V"/>
      <sheetName val="Sheet2"/>
      <sheetName val="IV (2)"/>
      <sheetName val="Penjualan"/>
      <sheetName val="Rinc_Penjualan"/>
      <sheetName val="Rinc_HPP"/>
      <sheetName val="HPP"/>
      <sheetName val="Rinc_HPP2"/>
      <sheetName val="LR"/>
      <sheetName val="LR (2)"/>
      <sheetName val="SHU"/>
      <sheetName val="SENABING"/>
      <sheetName val="Aktiva Tetap Komersil"/>
      <sheetName val="Rekon Fiskal"/>
      <sheetName val="Aktiva Tetap Fiskal"/>
    </sheetNames>
    <sheetDataSet>
      <sheetData sheetId="0" refreshError="1"/>
      <sheetData sheetId="1" refreshError="1"/>
      <sheetData sheetId="2"/>
      <sheetData sheetId="3">
        <row r="40">
          <cell r="C40">
            <v>3799916065.25667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ggal"/>
      <sheetName val="Renovasi"/>
      <sheetName val="x"/>
      <sheetName val="Sewa"/>
      <sheetName val="SAA"/>
      <sheetName val="Sheet1"/>
    </sheetNames>
    <sheetDataSet>
      <sheetData sheetId="0"/>
      <sheetData sheetId="1"/>
      <sheetData sheetId="2"/>
      <sheetData sheetId="3"/>
      <sheetData sheetId="4" refreshError="1"/>
      <sheetData sheetId="5">
        <row r="2">
          <cell r="B2" t="str">
            <v>Kas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KTR"/>
      <sheetName val="Absensi Kantor"/>
      <sheetName val="DU Bul Ktr"/>
      <sheetName val="DU KHT KTR"/>
      <sheetName val="DU KHL KTR"/>
      <sheetName val="ABS WKR"/>
      <sheetName val="Absensi Waker"/>
      <sheetName val="DU KHT WAKER"/>
      <sheetName val="DU KHL WAKER"/>
      <sheetName val="Absensi Bbt II "/>
      <sheetName val="DU Bul Bbt II"/>
      <sheetName val="DU KHT_ Bbt"/>
      <sheetName val="DU KHL_BBT"/>
      <sheetName val="BRG PTR BBT"/>
      <sheetName val="BRG LG BAG"/>
      <sheetName val="BRG BB BAG"/>
      <sheetName val="BRG BKR MT BBT"/>
      <sheetName val="BRG TSP BBT"/>
      <sheetName val="Abse Listrik"/>
      <sheetName val="DU KHT Listrik"/>
      <sheetName val="DU KHL Listrik"/>
      <sheetName val="Absensi Tehnik Civil"/>
      <sheetName val="DU Bul Tehnik Civil"/>
      <sheetName val="DU KHT Tehnik Civil"/>
      <sheetName val="DU KHL Tehnik Civil"/>
      <sheetName val="Abse Work Shop"/>
      <sheetName val="DU Bul Work Shop"/>
      <sheetName val="DU KHT Work Shop"/>
      <sheetName val="DU KHL Work Shop"/>
      <sheetName val="Absensi Traksi"/>
      <sheetName val="DU Bul Traksi"/>
      <sheetName val="DU KHT Traksi"/>
      <sheetName val="DU KHL Traksi"/>
      <sheetName val="Absensi Survey"/>
      <sheetName val="DU Bul Survey"/>
      <sheetName val="DU KHT Survey"/>
      <sheetName val="DU KHL Survey"/>
      <sheetName val="Absensi LC1"/>
      <sheetName val="DU BUL LC1"/>
      <sheetName val="DU KHT LC1"/>
      <sheetName val="DU KHL LC1"/>
      <sheetName val="BRG LC1"/>
      <sheetName val="Absensi LC2"/>
      <sheetName val="DU BUL LC2"/>
      <sheetName val="DU KHT LC2"/>
      <sheetName val="DU KHL LC2"/>
      <sheetName val="BRG LC2"/>
      <sheetName val="Absensi_afd_1"/>
      <sheetName val="DU BUL Afd_1"/>
      <sheetName val="DU KHT Afdeling_1"/>
      <sheetName val="DU KHL Afd_1"/>
      <sheetName val="Absensi Afd_ 2"/>
      <sheetName val="DU BUL Afd_ 2"/>
      <sheetName val="DU KHT Afd_ 2"/>
      <sheetName val="DU KHL Afd_ 2"/>
      <sheetName val="Absensi Afd_ 3"/>
      <sheetName val="DU KHT Afd_ 3"/>
      <sheetName val="DU KHL Afd_ 3"/>
      <sheetName val="Absensi_afd_4"/>
      <sheetName val="DU BUL Afd_4"/>
      <sheetName val="DU KHT Afd_4"/>
      <sheetName val="DU KHL Afd_4"/>
      <sheetName val="Absensi Staff"/>
      <sheetName val="DU STAF"/>
      <sheetName val="Abs_Traksi (2)"/>
      <sheetName val="Absensi Traksi (2)"/>
      <sheetName val="DU KHL Traksi (2)"/>
      <sheetName val="Rekpitulasi Beras"/>
      <sheetName val="REKAP UPAH"/>
      <sheetName val="Absensi Bbt II  (2)"/>
      <sheetName val="DU Bul Bbt II (2)"/>
      <sheetName val="Slip Gaji KHT"/>
      <sheetName val="Sheet2"/>
      <sheetName val="CAT"/>
      <sheetName val="AJE"/>
      <sheetName val="NR"/>
      <sheetName val="SHU"/>
      <sheetName val="BETUNG_WS"/>
      <sheetName val="AT (2)"/>
      <sheetName val="Rekon Fiskal"/>
      <sheetName val="AT Fiskal2"/>
      <sheetName val="BP23"/>
      <sheetName val="bp23_2015"/>
      <sheetName val="bp23_2016"/>
      <sheetName val="Sheet1"/>
      <sheetName val="Temuan"/>
      <sheetName val="AJP_awal"/>
      <sheetName val="Temuan Print"/>
      <sheetName val="Kor Fis Usipa"/>
      <sheetName val="Kor Fis Jasa"/>
      <sheetName val="Kor Fis Konsumen"/>
      <sheetName val="Kor Fis Konsol"/>
      <sheetName val="NR Usipa"/>
      <sheetName val="NR Jasa"/>
      <sheetName val="NR Konsumen"/>
      <sheetName val="SHU Usipa"/>
      <sheetName val="SHU Jasa"/>
      <sheetName val="NR Konsol"/>
      <sheetName val="SHU Konsumen"/>
      <sheetName val="Pemisahan"/>
      <sheetName val="SHU Konsol"/>
      <sheetName val="AT USIPA_fix"/>
      <sheetName val="at_jasa fix"/>
      <sheetName val="at_jasa fix (2)"/>
      <sheetName val="AT Usipa"/>
      <sheetName val="AT Jasa"/>
      <sheetName val="AT Konsumen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1">
          <cell r="C31">
            <v>197257743.59999901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Tanggal"/>
      <sheetName val="Sheet8"/>
      <sheetName val="AJE (2)"/>
      <sheetName val="Sheet6"/>
      <sheetName val="Sheet2"/>
      <sheetName val="Sheet7"/>
      <sheetName val="Rekon Fiskal"/>
      <sheetName val="TEBENAN_awal"/>
      <sheetName val="NR"/>
      <sheetName val="SHU"/>
      <sheetName val="AT"/>
      <sheetName val="Temuan"/>
      <sheetName val="AT (2)Fiskal"/>
      <sheetName val="Rekap 23"/>
      <sheetName val="AJP_awal"/>
      <sheetName val="Kor Fis Usipa"/>
      <sheetName val="Sheet4"/>
      <sheetName val="Sheet5"/>
      <sheetName val="Kor Fis Jasa"/>
      <sheetName val="Kor Fis Konsumen"/>
      <sheetName val="Kor Fis Konsol"/>
      <sheetName val="Pemisahan"/>
      <sheetName val="NR Usipa"/>
      <sheetName val="SHU Usipa"/>
      <sheetName val="NR Jasa"/>
      <sheetName val="SHU Jasa"/>
      <sheetName val="NR Konsumen"/>
      <sheetName val="SHU Konsumen"/>
      <sheetName val="NR Konsol"/>
      <sheetName val="SHU Konsol"/>
      <sheetName val="AT JASA_F"/>
      <sheetName val="AT KONSOLI"/>
      <sheetName val="AT Usipa"/>
      <sheetName val="AT Jasa"/>
      <sheetName val="AT Konsumen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>
        <row r="13">
          <cell r="C13">
            <v>-11201413096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Nl_A_RASO"/>
      <sheetName val="BATU AJO"/>
      <sheetName val="A_TOROP"/>
      <sheetName val="PEM_PEMB"/>
      <sheetName val="P_JWBN"/>
      <sheetName val="LM_62_8 "/>
      <sheetName val="LM_51"/>
      <sheetName val="Sheet1"/>
      <sheetName val="NR"/>
      <sheetName val="SHU"/>
      <sheetName val="AT"/>
      <sheetName val="UBS BANYUASIN"/>
      <sheetName val="AJP"/>
      <sheetName val="Rekon Fiskal"/>
      <sheetName val="AT Fiskal"/>
      <sheetName val="PPN"/>
      <sheetName val="PPH 23"/>
      <sheetName val="AT Fiskal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>
        <row r="17">
          <cell r="C17">
            <v>-572949278.66666698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Perkiraan"/>
      <sheetName val="Buku Bank (USD)"/>
      <sheetName val="Buku Bank (RP)"/>
      <sheetName val="Neraca saldo"/>
      <sheetName val="Jurnal Umum"/>
      <sheetName val="Rekap Penj"/>
      <sheetName val="Rekap Pemb"/>
      <sheetName val="PPh 23_15"/>
      <sheetName val="PPh 23_16"/>
      <sheetName val="Sheet1"/>
      <sheetName val="Temuan Print"/>
      <sheetName val="HUTANG USAHA"/>
      <sheetName val="Sheet2"/>
      <sheetName val="NR"/>
      <sheetName val="SHU"/>
      <sheetName val="AJP_awal"/>
      <sheetName val="B KERAO_awal"/>
      <sheetName val="Rekon Fiskal"/>
      <sheetName val="AT (2)"/>
      <sheetName val="AT Fiskal 2"/>
      <sheetName val="Kor Fis Usipa"/>
      <sheetName val="Kor Fis Jasa"/>
      <sheetName val="Kor Fis Konsumen"/>
      <sheetName val="Kor Fis Konsol"/>
      <sheetName val="Pemisahan"/>
      <sheetName val="NR Usipa"/>
      <sheetName val="SHU Usipa"/>
      <sheetName val="NR Jasa"/>
      <sheetName val="SHU Jasa"/>
      <sheetName val="NR Konsumen"/>
      <sheetName val="SHU Konsumen"/>
      <sheetName val="NR Konsol"/>
      <sheetName val="SHU Konsol"/>
      <sheetName val="AT (3)"/>
      <sheetName val="AT (4)"/>
      <sheetName val="AT Usipa"/>
      <sheetName val="AT Jasa"/>
      <sheetName val="AT Konsumen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bs"/>
      <sheetName val="pl"/>
      <sheetName val="AJE"/>
      <sheetName val="3000"/>
      <sheetName val="3100"/>
      <sheetName val="3200"/>
      <sheetName val="3300"/>
      <sheetName val="3400"/>
      <sheetName val="3500"/>
      <sheetName val="3550"/>
      <sheetName val="3800"/>
      <sheetName val="FA Movement"/>
      <sheetName val="4100"/>
      <sheetName val="4500"/>
      <sheetName val="4600"/>
      <sheetName val="4700"/>
      <sheetName val="4800"/>
      <sheetName val="5000"/>
      <sheetName val="6000"/>
      <sheetName val="6100"/>
      <sheetName val="6200"/>
      <sheetName val="6300"/>
      <sheetName val="Payroll"/>
      <sheetName val="JRNl_A_RASO"/>
      <sheetName val="rkp"/>
      <sheetName val="Sheet2"/>
      <sheetName val="Neraca"/>
      <sheetName val="SHU"/>
      <sheetName val="REKON FISKAL"/>
      <sheetName val="BENTAYAN_awal"/>
      <sheetName val="AT (VE) (2)"/>
      <sheetName val="Sheet4"/>
      <sheetName val="Sheet3"/>
      <sheetName val="Sheet1"/>
      <sheetName val="Pemisahan"/>
      <sheetName val="AT Fiskal2"/>
      <sheetName val="Temuan Print"/>
      <sheetName val="Kor Fis Usipa"/>
      <sheetName val="AJP_awal"/>
      <sheetName val="Kor Fis Jasa"/>
      <sheetName val="Kor Fis Konsumen"/>
      <sheetName val="Kor Fis Konsol"/>
      <sheetName val="NR Usipa"/>
      <sheetName val="NR Jasa"/>
      <sheetName val="NR Konsumen"/>
      <sheetName val="SHU Usipa"/>
      <sheetName val="SHU Jasa"/>
      <sheetName val="SHU Konsumen"/>
      <sheetName val="NR Konsol"/>
      <sheetName val="SHU Konsol"/>
      <sheetName val="AT Usipa"/>
      <sheetName val="AT Jasa"/>
      <sheetName val="AT Konsumen"/>
      <sheetName val="AT Konsol"/>
      <sheetName val="AT Fis Usipa"/>
      <sheetName val="AT Fis Jasa"/>
      <sheetName val="AT Fis Konsumen"/>
      <sheetName val="AT Fis Konsol"/>
      <sheetName val="SP&amp;SMK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badan"/>
      <sheetName val="WP"/>
      <sheetName val="PTKP"/>
      <sheetName val="pph"/>
      <sheetName val="PPh21"/>
      <sheetName val="Gaji dan Tunjangan"/>
      <sheetName val="1721Induk"/>
      <sheetName val=" 1721-T"/>
      <sheetName val="1721-II"/>
      <sheetName val="1721-I"/>
      <sheetName val="Daft. BP Final"/>
      <sheetName val="Daft. BP Non Final"/>
      <sheetName val="1721-A1 Hendry"/>
      <sheetName val="1721-A1 JoniW"/>
      <sheetName val="1721-A1 (3)"/>
      <sheetName val="1721-A2 "/>
      <sheetName val="BP(NonFinal)"/>
      <sheetName val="Juksi-BP(NonFinal)"/>
      <sheetName val="BP(Final)"/>
      <sheetName val="Juksi-BP(Final)"/>
      <sheetName val="AJP 2013"/>
      <sheetName val="AJP"/>
      <sheetName val="WS_CIMA"/>
      <sheetName val="Fiskal_2017"/>
      <sheetName val="NR"/>
      <sheetName val="SHU"/>
      <sheetName val="AT_2017"/>
      <sheetName val="AT_Fiskal_2017"/>
      <sheetName val="Omset_PPN"/>
      <sheetName val="SPT_PPN"/>
      <sheetName val="BP PPh2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>
        <row r="159">
          <cell r="N159">
            <v>1026823120.1686701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"/>
      <sheetName val="1721"/>
      <sheetName val="A"/>
      <sheetName val="A (2)"/>
      <sheetName val="A (3)"/>
      <sheetName val="A1"/>
      <sheetName val="A2"/>
      <sheetName val="B"/>
      <sheetName val="C"/>
      <sheetName val="NAMA"/>
      <sheetName val="PERHITUNGAN_bener"/>
      <sheetName val="PERHITUNGAN"/>
      <sheetName val="pph"/>
      <sheetName val="AJP_2017"/>
      <sheetName val="WS_Beringin"/>
      <sheetName val="NR"/>
      <sheetName val="SHU"/>
      <sheetName val="AT 2017"/>
      <sheetName val="LR Fiskal"/>
      <sheetName val="AT Fiskal"/>
      <sheetName val="Omset PPN"/>
      <sheetName val="BP PPh 23"/>
      <sheetName val="SPT MASA P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"/>
      <sheetName val="1721"/>
      <sheetName val="A"/>
      <sheetName val="A1"/>
      <sheetName val="A2"/>
      <sheetName val="B"/>
      <sheetName val="C"/>
      <sheetName val="Nama"/>
      <sheetName val="Perhitungan Benar"/>
      <sheetName val="Sheet2"/>
      <sheetName val="Omset PPN"/>
      <sheetName val="WS 2017"/>
      <sheetName val="AJP_Asli"/>
      <sheetName val="LR_Fiskal"/>
      <sheetName val="NR"/>
      <sheetName val="SHU"/>
      <sheetName val="AT Komersil"/>
      <sheetName val="AT Fiskal"/>
      <sheetName val="AJP Print (2)"/>
      <sheetName val="BP_PPh23"/>
      <sheetName val="BP_PPh22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KP"/>
      <sheetName val="PPh"/>
      <sheetName val="PPh Jan"/>
      <sheetName val="PPh Feb"/>
      <sheetName val="PPh Mar"/>
      <sheetName val="PPh April"/>
      <sheetName val="PPh Mei"/>
      <sheetName val="PPh Juni"/>
      <sheetName val="PPh Juli"/>
      <sheetName val="PPh Agst"/>
      <sheetName val="PPh Spt"/>
      <sheetName val="PPh Okt"/>
      <sheetName val="PPh Nop"/>
      <sheetName val="PPh Des"/>
      <sheetName val="gaji&amp;Tunjangan "/>
      <sheetName val="AJP2013"/>
      <sheetName val="AJP"/>
      <sheetName val="WS_SUTA"/>
      <sheetName val="NR"/>
      <sheetName val="SHU"/>
      <sheetName val="AT_2015"/>
      <sheetName val="Omset PPN"/>
      <sheetName val="FISKAL_2015"/>
      <sheetName val="SPT_PPN"/>
      <sheetName val="BP_PPh22"/>
      <sheetName val="BP_PPh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>
        <row r="31">
          <cell r="F31">
            <v>360514068.76458299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PTK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"/>
      <sheetName val="acp"/>
      <sheetName val="Sheet2"/>
      <sheetName val="Agustus (Jamsotek)"/>
      <sheetName val="AJP"/>
      <sheetName val="Pawi"/>
      <sheetName val="NR"/>
      <sheetName val="SHU"/>
      <sheetName val="Kor Fis Konsol"/>
      <sheetName val="AT Konsol"/>
      <sheetName val="AT Fis Usipa"/>
      <sheetName val="AT Fis Jasa"/>
      <sheetName val="AT Fis Konsumen"/>
      <sheetName val="AT Fis Konsol"/>
      <sheetName val="SP&amp;SMK"/>
      <sheetName val="Koreksi Fiskal"/>
      <sheetName val="AT Komersil"/>
      <sheetName val="AT Fiskal"/>
      <sheetName val="Rekap Bunga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>
        <row r="68">
          <cell r="E68">
            <v>913376456.09818196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XXXXXXXX0"/>
      <sheetName val="XXXXXXXX1"/>
      <sheetName val="Laba"/>
      <sheetName val="Ekuitas"/>
      <sheetName val="Neraca"/>
      <sheetName val="WPCF"/>
      <sheetName val="Cash Flow"/>
      <sheetName val="Management Letter"/>
      <sheetName val="MP"/>
      <sheetName val="WS"/>
      <sheetName val="Aje"/>
      <sheetName val="Rje"/>
      <sheetName val="5100"/>
      <sheetName val="5120"/>
      <sheetName val="5121"/>
      <sheetName val="5200"/>
      <sheetName val="5210"/>
      <sheetName val="5300"/>
      <sheetName val="5400"/>
      <sheetName val="5410"/>
      <sheetName val="5500"/>
      <sheetName val="asuransi"/>
      <sheetName val="5510"/>
      <sheetName val="5600"/>
      <sheetName val="5700"/>
      <sheetName val="5710"/>
      <sheetName val="5711"/>
      <sheetName val="5800"/>
      <sheetName val="5810"/>
      <sheetName val="5811"/>
      <sheetName val="5821"/>
      <sheetName val="5900"/>
      <sheetName val="ditangguhkan"/>
      <sheetName val="5950"/>
      <sheetName val="6200"/>
      <sheetName val="6210"/>
      <sheetName val="6300"/>
      <sheetName val="6310"/>
      <sheetName val="6320"/>
      <sheetName val="6400"/>
      <sheetName val="6400 (2)"/>
      <sheetName val="6500"/>
      <sheetName val="6511"/>
      <sheetName val="6600"/>
      <sheetName val="7000"/>
      <sheetName val="7100"/>
      <sheetName val="8100"/>
      <sheetName val="8100 (2)"/>
      <sheetName val="8110"/>
      <sheetName val="8111"/>
      <sheetName val="8120"/>
      <sheetName val="8121"/>
      <sheetName val="8200"/>
      <sheetName val="8210"/>
      <sheetName val="8211"/>
      <sheetName val="8212"/>
      <sheetName val="8213"/>
      <sheetName val="8214"/>
      <sheetName val="8220"/>
      <sheetName val="8221"/>
      <sheetName val="8222"/>
      <sheetName val="8263"/>
      <sheetName val="8300"/>
      <sheetName val="8310"/>
      <sheetName val="8311"/>
      <sheetName val="8312"/>
      <sheetName val="8313"/>
      <sheetName val="8314"/>
      <sheetName val="8315"/>
      <sheetName val="8400"/>
      <sheetName val="9000"/>
      <sheetName val="9100"/>
      <sheetName val="5511"/>
      <sheetName val="5910"/>
      <sheetName val="6100"/>
      <sheetName val="6110"/>
      <sheetName val="AJP_2017"/>
      <sheetName val="AJP 2018"/>
      <sheetName val="Ketahun awal"/>
      <sheetName val="NR"/>
      <sheetName val="SHU"/>
      <sheetName val="Koreksi Fiskal"/>
      <sheetName val="AT Komersil"/>
      <sheetName val="Kor Fis Konsol"/>
      <sheetName val="AT Konsol"/>
      <sheetName val="AT Fis Usipa"/>
      <sheetName val="AT Fis Jasa"/>
      <sheetName val="AT Fis Konsumen"/>
      <sheetName val="AT Fis Konsol"/>
      <sheetName val="SP&amp;SMK"/>
      <sheetName val="Aset Fiskal"/>
      <sheetName val="AT Fis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209">
          <cell r="L209">
            <v>327592771.19444501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Rekap biaya"/>
      <sheetName val="Tabel PErkiraan"/>
      <sheetName val="AKTIVA TETAP-Fiskal"/>
      <sheetName val="Neraca (2)"/>
      <sheetName val="Trial RL  (2)"/>
      <sheetName val="Trial RL "/>
      <sheetName val="Neraca"/>
      <sheetName val="bUKU  Bank  "/>
      <sheetName val="bUKU  Bank   "/>
      <sheetName val="Jurnal umum   "/>
      <sheetName val="Rekap Pendapatan "/>
      <sheetName val="Rekap FP"/>
      <sheetName val="JASA ANGKUTAN"/>
      <sheetName val="JASA EMKL"/>
      <sheetName val="Jurnal Pengeluaran Bank"/>
      <sheetName val="AJP"/>
      <sheetName val="NR"/>
      <sheetName val="SHU"/>
      <sheetName val="Ketahun 2012"/>
      <sheetName val="AT Komrsl"/>
      <sheetName val="Rekon Fiskal"/>
      <sheetName val="Rev&gt;&lt;Exp"/>
      <sheetName val="reklas pendapatan"/>
      <sheetName val="AT Fis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37">
          <cell r="C37">
            <v>261951857.830834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NS. AWAL"/>
      <sheetName val="AKT"/>
      <sheetName val="AKT Fiskal"/>
      <sheetName val="S.A hutang 2006"/>
      <sheetName val="BB Biaya"/>
      <sheetName val="BB AKtiva Lancar "/>
      <sheetName val="BB Aktiva Tetap"/>
      <sheetName val="BB Utang Lancar "/>
      <sheetName val="Rugi Laba"/>
      <sheetName val="Neraca   "/>
      <sheetName val="BB Pendapatan "/>
      <sheetName val="Rugi Laba Fiskal"/>
      <sheetName val="BB Modal "/>
      <sheetName val="Sheet4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LIst Reklas BDD n UM (3)"/>
      <sheetName val="LIst Reklas BDD n UM (2)"/>
      <sheetName val="LIst Reklas BDD n UM"/>
      <sheetName val="NS"/>
      <sheetName val="Periode"/>
      <sheetName val="Profil"/>
      <sheetName val="HIGKLIGHTS"/>
      <sheetName val="IS"/>
      <sheetName val="BS"/>
      <sheetName val="Sheet5"/>
      <sheetName val="Sumber dana"/>
      <sheetName val="SALE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LK"/>
      <sheetName val="ANATUNG PERMATA"/>
      <sheetName val="VINTAGE PERMATA"/>
      <sheetName val="AYDA"/>
      <sheetName val="ANABPKB"/>
      <sheetName val="BI"/>
      <sheetName val="Form1"/>
      <sheetName val="Form2"/>
      <sheetName val="Form3"/>
      <sheetName val="Form4"/>
      <sheetName val="Form5"/>
      <sheetName val="Form6"/>
      <sheetName val="Sheet1"/>
      <sheetName val="1 Th"/>
      <sheetName val="Sheet2"/>
      <sheetName val="Rinc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"/>
      <sheetName val="SRC Resume (2)"/>
      <sheetName val="PAJE"/>
      <sheetName val="WBS1-wp "/>
      <sheetName val="PRJE"/>
      <sheetName val="WBS2-WP"/>
      <sheetName val="WPL WP"/>
      <sheetName val="WBS1"/>
      <sheetName val="WBS2"/>
      <sheetName val="WPL"/>
      <sheetName val=" (A)"/>
      <sheetName val="A-1."/>
      <sheetName val="A-2."/>
      <sheetName val="A-1-1"/>
      <sheetName val="A-2-1."/>
      <sheetName val="A-1"/>
      <sheetName val="A-3."/>
      <sheetName val="A-3.1"/>
      <sheetName val="A-4"/>
      <sheetName val="A-2-1"/>
      <sheetName val="(C)"/>
      <sheetName val="C-1"/>
      <sheetName val="C-2"/>
      <sheetName val="C-3."/>
      <sheetName val="C-4."/>
      <sheetName val="C-1-1"/>
      <sheetName val="C-5"/>
      <sheetName val=" (D)"/>
      <sheetName val="D-1"/>
      <sheetName val="D-1.1-1"/>
      <sheetName val="D-1.1"/>
      <sheetName val="D-3"/>
      <sheetName val="D-3.1"/>
      <sheetName val="D-4"/>
      <sheetName val="D-5"/>
      <sheetName val="prepaid Taxes (E)"/>
      <sheetName val="E-1"/>
      <sheetName val="E-2"/>
      <sheetName val="Prepayments (F)"/>
      <sheetName val="F-1"/>
      <sheetName val="F-2"/>
      <sheetName val="AR Others (G)"/>
      <sheetName val="Fixed Assets (J)"/>
      <sheetName val="list of FA"/>
      <sheetName val="J-2"/>
      <sheetName val="J-1"/>
      <sheetName val="J-3"/>
      <sheetName val="J-4"/>
      <sheetName val="J-5"/>
      <sheetName val="J-6"/>
      <sheetName val="deferred expenses (L)"/>
      <sheetName val="Accounts Payable (AA)"/>
      <sheetName val="AA-2"/>
      <sheetName val="Bank Loan (BB)"/>
      <sheetName val="BB-1"/>
      <sheetName val="BB-2"/>
      <sheetName val="Taxes Payable (CC)"/>
      <sheetName val="CC-1"/>
      <sheetName val="CC-2"/>
      <sheetName val="AP-Other (DD)"/>
      <sheetName val="DD-1"/>
      <sheetName val="Advance Received (EE) "/>
      <sheetName val=" EE-1"/>
      <sheetName val="Affiliate Payable (FF)"/>
      <sheetName val="FF-1"/>
      <sheetName val="Accrued Exp. (HH)"/>
      <sheetName val=" HH-1"/>
      <sheetName val="DTA (JJ)"/>
      <sheetName val="JJ-1"/>
      <sheetName val=" Equity (KK)"/>
      <sheetName val="Revenue (10)"/>
      <sheetName val="10-1"/>
      <sheetName val="10-1-1"/>
      <sheetName val="COG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Peri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o American Seafoods, PT"/>
    </sheetNames>
    <sheetDataSet>
      <sheetData sheetId="0">
        <row r="14">
          <cell r="F14">
            <v>304700</v>
          </cell>
        </row>
        <row r="16">
          <cell r="F16">
            <v>408540</v>
          </cell>
        </row>
        <row r="18">
          <cell r="F18">
            <v>441760</v>
          </cell>
        </row>
        <row r="20">
          <cell r="F20">
            <v>513260</v>
          </cell>
        </row>
        <row r="22">
          <cell r="F22">
            <v>584760</v>
          </cell>
        </row>
        <row r="24">
          <cell r="F24">
            <v>245960</v>
          </cell>
        </row>
        <row r="36">
          <cell r="F36">
            <v>801020</v>
          </cell>
        </row>
        <row r="38">
          <cell r="F38">
            <v>572880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C1CE-DBA3-4D5A-AF9A-5F3ABEAC75E0}">
  <dimension ref="A2:R28"/>
  <sheetViews>
    <sheetView showGridLines="0" workbookViewId="0">
      <selection activeCell="T15" sqref="T15"/>
    </sheetView>
  </sheetViews>
  <sheetFormatPr defaultRowHeight="14.5"/>
  <cols>
    <col min="3" max="3" width="1.26953125" customWidth="1"/>
    <col min="4" max="4" width="20.36328125" customWidth="1"/>
    <col min="5" max="5" width="1.1796875" customWidth="1"/>
    <col min="6" max="6" width="20.36328125" hidden="1" customWidth="1"/>
    <col min="7" max="7" width="1.6328125" hidden="1" customWidth="1"/>
    <col min="8" max="8" width="20.36328125" hidden="1" customWidth="1"/>
    <col min="9" max="9" width="2.08984375" hidden="1" customWidth="1"/>
    <col min="10" max="10" width="14.81640625" bestFit="1" customWidth="1"/>
    <col min="11" max="11" width="3.1796875" customWidth="1"/>
    <col min="12" max="12" width="14.81640625" hidden="1" customWidth="1"/>
    <col min="13" max="13" width="2.54296875" hidden="1" customWidth="1"/>
    <col min="14" max="14" width="14.81640625" hidden="1" customWidth="1"/>
    <col min="15" max="15" width="3" hidden="1" customWidth="1"/>
    <col min="16" max="16" width="14.81640625" hidden="1" customWidth="1"/>
    <col min="18" max="18" width="12.1796875" hidden="1" customWidth="1"/>
    <col min="19" max="19" width="0" hidden="1" customWidth="1"/>
  </cols>
  <sheetData>
    <row r="2" spans="1:18">
      <c r="A2" s="21" t="s">
        <v>207</v>
      </c>
    </row>
    <row r="3" spans="1:18">
      <c r="D3" s="268">
        <v>45627</v>
      </c>
      <c r="F3" s="268">
        <v>45536</v>
      </c>
      <c r="H3" s="268">
        <v>45444</v>
      </c>
      <c r="J3" s="33">
        <v>2023</v>
      </c>
      <c r="L3" s="33">
        <v>2022</v>
      </c>
      <c r="M3" s="20"/>
      <c r="N3" s="33">
        <v>2021</v>
      </c>
      <c r="O3" s="20"/>
      <c r="P3" s="33">
        <v>2020</v>
      </c>
    </row>
    <row r="4" spans="1:18">
      <c r="L4" s="20"/>
      <c r="M4" s="20"/>
      <c r="N4" s="20"/>
      <c r="O4" s="20"/>
      <c r="P4" s="20"/>
    </row>
    <row r="5" spans="1:18">
      <c r="B5" s="34" t="s">
        <v>174</v>
      </c>
      <c r="C5" s="34"/>
      <c r="D5" s="223">
        <f>'Summary ISP'!D5+'Summay IAS'!E6</f>
        <v>2943699725.21</v>
      </c>
      <c r="E5" s="34"/>
      <c r="F5" s="223">
        <f>'Summary ISP'!F5+'Summay IAS'!G6</f>
        <v>7767072060.7200003</v>
      </c>
      <c r="G5" s="34"/>
      <c r="H5" s="221">
        <f>'Summay IAS'!I6+'Summary ISP'!H5</f>
        <v>8122728421.6100006</v>
      </c>
      <c r="I5" s="34"/>
      <c r="J5" s="223">
        <f>'Hutang Usaha IAS 23'!M164+'Hutang Usaha ISP 2023'!M225</f>
        <v>11409263368.999998</v>
      </c>
      <c r="K5" s="34"/>
      <c r="L5" s="249">
        <f>'Summary ISP'!L5+'Summay IAS'!M6</f>
        <v>21343364113</v>
      </c>
      <c r="N5" s="24">
        <f>'Summary ISP'!N5+'Summay IAS'!O6</f>
        <v>16067701246.5</v>
      </c>
      <c r="P5" s="16">
        <f>'Summary ISP'!P5+'Summay IAS'!Q6</f>
        <v>13648880412</v>
      </c>
    </row>
    <row r="6" spans="1:18">
      <c r="B6" s="34" t="s">
        <v>178</v>
      </c>
      <c r="C6" s="34"/>
      <c r="D6" s="223">
        <f>'Summary ISP'!D6+'Summay IAS'!E7</f>
        <v>2280717442.9000001</v>
      </c>
      <c r="E6" s="34"/>
      <c r="F6" s="223">
        <f>'Summary ISP'!F6+'Summay IAS'!G7</f>
        <v>2415568436.5</v>
      </c>
      <c r="G6" s="34"/>
      <c r="H6" s="221">
        <f>'Summay IAS'!I7+'Summary ISP'!H6</f>
        <v>4035960191.5999999</v>
      </c>
      <c r="I6" s="34"/>
      <c r="J6" s="223">
        <f>'Hutang Usaha IAS 23'!N164+'Hutang Usaha ISP 2023'!N225</f>
        <v>2194829693.0000296</v>
      </c>
      <c r="K6" s="34"/>
      <c r="L6" s="24">
        <f>'Summary ISP'!L6+'Summay IAS'!M7</f>
        <v>3600153738</v>
      </c>
      <c r="N6" s="249">
        <f>'Summary ISP'!N6+'Summay IAS'!O7</f>
        <v>9536016038.6399994</v>
      </c>
      <c r="P6" s="16">
        <f>'Summary ISP'!P6+'Summay IAS'!Q7</f>
        <v>2376774695</v>
      </c>
    </row>
    <row r="7" spans="1:18">
      <c r="B7" s="34" t="s">
        <v>175</v>
      </c>
      <c r="C7" s="34"/>
      <c r="D7" s="223">
        <f>'Summary ISP'!D7+'Summay IAS'!E8</f>
        <v>1073353781</v>
      </c>
      <c r="E7" s="34"/>
      <c r="F7" s="223">
        <f>'Summary ISP'!F7+'Summay IAS'!G8</f>
        <v>198335036</v>
      </c>
      <c r="G7" s="34"/>
      <c r="H7" s="221">
        <f>'Summay IAS'!I8+'Summary ISP'!H7</f>
        <v>682156919</v>
      </c>
      <c r="I7" s="34"/>
      <c r="J7" s="223">
        <f>'Hutang Usaha IAS 23'!O164+'Hutang Usaha ISP 2023'!O225</f>
        <v>835729636</v>
      </c>
      <c r="K7" s="34"/>
      <c r="L7" s="24">
        <f>'Summary ISP'!L7+'Summay IAS'!M8</f>
        <v>1960441734</v>
      </c>
      <c r="N7" s="24">
        <f>'Summary ISP'!N7+'Summay IAS'!O8</f>
        <v>1066105902</v>
      </c>
      <c r="P7" s="16">
        <f>'Summary ISP'!P7+'Summay IAS'!Q8</f>
        <v>1327345930</v>
      </c>
    </row>
    <row r="8" spans="1:18">
      <c r="B8" s="34" t="s">
        <v>176</v>
      </c>
      <c r="C8" s="34"/>
      <c r="D8" s="223">
        <f>'Summary ISP'!D8+'Summay IAS'!E9</f>
        <v>92483018</v>
      </c>
      <c r="E8" s="34"/>
      <c r="F8" s="223">
        <f>'Summary ISP'!F8+'Summay IAS'!G9</f>
        <v>90386309</v>
      </c>
      <c r="G8" s="34"/>
      <c r="H8" s="221">
        <f>'Summay IAS'!I9+'Summary ISP'!H8</f>
        <v>140700000</v>
      </c>
      <c r="I8" s="34"/>
      <c r="J8" s="223">
        <f>'Hutang Usaha IAS 23'!P164+'Hutang Usaha ISP 2023'!P225</f>
        <v>625732392</v>
      </c>
      <c r="K8" s="34"/>
      <c r="L8" s="24">
        <f>'Summary ISP'!L8+'Summay IAS'!M9</f>
        <v>1335608520</v>
      </c>
      <c r="N8" s="24">
        <f>'Summary ISP'!N8+'Summay IAS'!O9</f>
        <v>1161585758</v>
      </c>
      <c r="P8" s="16">
        <f>'Summary ISP'!P8+'Summay IAS'!Q9</f>
        <v>641088591</v>
      </c>
      <c r="R8" t="s">
        <v>597</v>
      </c>
    </row>
    <row r="9" spans="1:18">
      <c r="B9" s="34" t="s">
        <v>177</v>
      </c>
      <c r="C9" s="34"/>
      <c r="D9" s="226">
        <f>'Summary ISP'!D9+'Summay IAS'!E10</f>
        <v>222607955</v>
      </c>
      <c r="E9" s="34"/>
      <c r="F9" s="226">
        <f>'Summary ISP'!F9+'Summay IAS'!G10</f>
        <v>173732727.60999966</v>
      </c>
      <c r="G9" s="34"/>
      <c r="H9" s="311">
        <f>'Summay IAS'!I10+'Summary ISP'!H9</f>
        <v>1204746221.3399992</v>
      </c>
      <c r="I9" s="34"/>
      <c r="J9" s="228">
        <f>'Hutang Usaha IAS 23'!Q164+'Hutang Usaha ISP 2023'!Q225+R9</f>
        <v>5342346046.1199989</v>
      </c>
      <c r="K9" s="34"/>
      <c r="L9" s="121">
        <f>'Summary ISP'!L9+'Summay IAS'!M10</f>
        <v>1524723595</v>
      </c>
      <c r="N9" s="121">
        <f>'Summary ISP'!N9+'Summay IAS'!O10</f>
        <v>781551461.5</v>
      </c>
      <c r="P9" s="122">
        <f>'Summary ISP'!P9+'Summay IAS'!Q10</f>
        <v>143873935</v>
      </c>
      <c r="R9" s="16">
        <v>451584604</v>
      </c>
    </row>
    <row r="10" spans="1:18">
      <c r="B10" s="34"/>
      <c r="C10" s="34"/>
      <c r="D10" s="34"/>
      <c r="E10" s="34"/>
      <c r="F10" s="34"/>
      <c r="G10" s="34"/>
      <c r="H10" s="34"/>
      <c r="I10" s="34"/>
      <c r="J10" s="34"/>
      <c r="K10" s="34"/>
      <c r="P10" s="18"/>
    </row>
    <row r="11" spans="1:18" ht="15" thickBot="1">
      <c r="B11" s="34"/>
      <c r="C11" s="34"/>
      <c r="D11" s="42">
        <f>SUM(D5:D9)</f>
        <v>6612861922.1100006</v>
      </c>
      <c r="E11" s="34"/>
      <c r="F11" s="42">
        <f>SUM(F5:F9)</f>
        <v>10645094569.830002</v>
      </c>
      <c r="G11" s="34"/>
      <c r="H11" s="42">
        <f>SUM(H5:H9)</f>
        <v>14186291753.549999</v>
      </c>
      <c r="I11" s="34"/>
      <c r="J11" s="42">
        <f>SUM(J5:J9)</f>
        <v>20407901136.120026</v>
      </c>
      <c r="K11" s="34"/>
      <c r="L11" s="42">
        <f>SUM(L5:L9)</f>
        <v>29764291700</v>
      </c>
      <c r="N11" s="42">
        <f>SUM(N5:N9)</f>
        <v>28612960406.639999</v>
      </c>
      <c r="P11" s="42">
        <f>SUM(P5:P9)</f>
        <v>18137963563</v>
      </c>
    </row>
    <row r="12" spans="1:18" ht="15" hidden="1" thickTop="1">
      <c r="D12" s="18"/>
      <c r="F12" s="18">
        <v>10645094570</v>
      </c>
      <c r="J12" s="16">
        <v>19956316532</v>
      </c>
    </row>
    <row r="13" spans="1:18" hidden="1">
      <c r="D13" s="18">
        <f>D11-D12</f>
        <v>6612861922.1100006</v>
      </c>
      <c r="F13" s="18">
        <f>F11-F12</f>
        <v>-0.1699981689453125</v>
      </c>
      <c r="J13" s="18">
        <f>J12-J11</f>
        <v>-451584604.12002563</v>
      </c>
    </row>
    <row r="14" spans="1:18" ht="15" thickTop="1">
      <c r="D14" s="18"/>
      <c r="F14" s="18"/>
      <c r="J14" s="18"/>
    </row>
    <row r="15" spans="1:18">
      <c r="A15" s="21" t="s">
        <v>208</v>
      </c>
    </row>
    <row r="16" spans="1:18">
      <c r="D16" s="268">
        <f>D3</f>
        <v>45627</v>
      </c>
      <c r="F16" s="268">
        <f>F3</f>
        <v>45536</v>
      </c>
      <c r="H16" s="268">
        <f>H3</f>
        <v>45444</v>
      </c>
      <c r="J16" s="33">
        <v>2023</v>
      </c>
      <c r="L16" s="33">
        <v>2022</v>
      </c>
      <c r="M16" s="20"/>
      <c r="N16" s="33">
        <v>2021</v>
      </c>
      <c r="O16" s="20"/>
      <c r="P16" s="33">
        <v>2020</v>
      </c>
    </row>
    <row r="17" spans="2:16">
      <c r="L17" s="20"/>
      <c r="M17" s="20"/>
      <c r="N17" s="20"/>
      <c r="O17" s="20"/>
      <c r="P17" s="20"/>
    </row>
    <row r="18" spans="2:16">
      <c r="B18" s="34" t="s">
        <v>174</v>
      </c>
      <c r="C18" s="34"/>
      <c r="D18" s="223">
        <f>'Summary ISP'!D18+'Summay IAS'!E18</f>
        <v>92392364542.962006</v>
      </c>
      <c r="E18" s="34"/>
      <c r="F18" s="223">
        <f>'Summary ISP'!F18+'Summay IAS'!G18</f>
        <v>39695393769.300003</v>
      </c>
      <c r="G18" s="34"/>
      <c r="H18" s="223">
        <f>'Summay IAS'!I18+'Summary ISP'!H18</f>
        <v>26009582150.879997</v>
      </c>
      <c r="I18" s="34"/>
      <c r="J18" s="227">
        <f>'Piutang IAS 2023'!N27+'Piutang Usaha ISP 2023'!N19</f>
        <v>21412069572.371761</v>
      </c>
      <c r="K18" s="34"/>
      <c r="L18" s="16">
        <f>'Summary ISP'!L18+'Summay IAS'!M18</f>
        <v>17814611441.560001</v>
      </c>
      <c r="M18" s="16"/>
      <c r="N18" s="16">
        <f>'Summary ISP'!N18+'Summay IAS'!O18</f>
        <v>18022330645.200001</v>
      </c>
      <c r="O18" s="16"/>
      <c r="P18" s="16">
        <f>'Summary ISP'!P18+'Summay IAS'!Q18</f>
        <v>12963142547.74</v>
      </c>
    </row>
    <row r="19" spans="2:16">
      <c r="B19" s="34" t="s">
        <v>178</v>
      </c>
      <c r="C19" s="34"/>
      <c r="D19" s="223">
        <f>'Summary ISP'!D19+'Summay IAS'!E19</f>
        <v>57064075</v>
      </c>
      <c r="E19" s="34"/>
      <c r="F19" s="223">
        <f>'Summary ISP'!F19+'Summay IAS'!G19</f>
        <v>63909661.760002136</v>
      </c>
      <c r="G19" s="34"/>
      <c r="H19" s="223">
        <f>'Summay IAS'!I19+'Summary ISP'!H19</f>
        <v>210888877</v>
      </c>
      <c r="I19" s="34"/>
      <c r="J19" s="223">
        <f>'Piutang IAS 2023'!O27+'Piutang Usaha ISP 2023'!O19</f>
        <v>131324250.77824268</v>
      </c>
      <c r="K19" s="34"/>
      <c r="L19" s="16">
        <f>'Summary ISP'!L19+'Summay IAS'!M19</f>
        <v>7808151396</v>
      </c>
      <c r="M19" s="16"/>
      <c r="N19" s="16">
        <f>'Summary ISP'!N19+'Summay IAS'!O19</f>
        <v>9038288773</v>
      </c>
      <c r="P19" s="16">
        <f>'Summary ISP'!P19+'Summay IAS'!Q19</f>
        <v>3445391093</v>
      </c>
    </row>
    <row r="20" spans="2:16">
      <c r="B20" s="34" t="s">
        <v>175</v>
      </c>
      <c r="C20" s="34"/>
      <c r="D20" s="223">
        <f>'Summary ISP'!D20+'Summay IAS'!E20</f>
        <v>0</v>
      </c>
      <c r="E20" s="34"/>
      <c r="F20" s="223">
        <f>'Summary ISP'!F20+'Summay IAS'!G20</f>
        <v>0</v>
      </c>
      <c r="G20" s="34"/>
      <c r="H20" s="223">
        <f>'Summay IAS'!I20+'Summary ISP'!H20</f>
        <v>42280500</v>
      </c>
      <c r="I20" s="34"/>
      <c r="J20" s="223">
        <f>'Piutang IAS 2023'!P27+'Piutang Usaha ISP 2023'!P19</f>
        <v>0</v>
      </c>
      <c r="K20" s="34"/>
      <c r="L20" s="16">
        <f>'Summary ISP'!L20+'Summay IAS'!M20</f>
        <v>24721078650</v>
      </c>
      <c r="M20" s="16"/>
      <c r="N20" s="16">
        <f>'Summary ISP'!N20+'Summay IAS'!O20</f>
        <v>9104769380</v>
      </c>
      <c r="P20" s="16">
        <f>'Summary ISP'!P20+'Summay IAS'!Q20</f>
        <v>19885079001</v>
      </c>
    </row>
    <row r="21" spans="2:16">
      <c r="B21" s="34" t="s">
        <v>176</v>
      </c>
      <c r="C21" s="34"/>
      <c r="D21" s="223">
        <f>'Summary ISP'!D21+'Summay IAS'!E21</f>
        <v>37592200</v>
      </c>
      <c r="E21" s="34"/>
      <c r="F21" s="223">
        <f>'Summary ISP'!F21+'Summay IAS'!G21</f>
        <v>0</v>
      </c>
      <c r="G21" s="34"/>
      <c r="H21" s="223">
        <f>'Summay IAS'!I21+'Summary ISP'!H21</f>
        <v>170007675.41999996</v>
      </c>
      <c r="I21" s="34"/>
      <c r="J21" s="223">
        <f>'Piutang IAS 2023'!Q27+'Piutang Usaha ISP 2023'!Q19</f>
        <v>0</v>
      </c>
      <c r="K21" s="34"/>
      <c r="L21" s="16">
        <f>'Summary ISP'!L21+'Summay IAS'!M21</f>
        <v>6313862115</v>
      </c>
      <c r="M21" s="16"/>
      <c r="N21" s="16">
        <f>'Summary ISP'!N21+'Summay IAS'!O21</f>
        <v>14206236599</v>
      </c>
      <c r="P21" s="16">
        <f>'Summary ISP'!P21+'Summay IAS'!Q21</f>
        <v>378957063</v>
      </c>
    </row>
    <row r="22" spans="2:16">
      <c r="B22" s="34" t="s">
        <v>177</v>
      </c>
      <c r="C22" s="34"/>
      <c r="D22" s="226">
        <f>'Summary ISP'!D22+'Summay IAS'!E22</f>
        <v>305037330</v>
      </c>
      <c r="E22" s="34"/>
      <c r="F22" s="226">
        <f>'Summary ISP'!F22+'Summay IAS'!G22</f>
        <v>0</v>
      </c>
      <c r="G22" s="34"/>
      <c r="H22" s="226">
        <f>'Summay IAS'!I22+'Summary ISP'!H22</f>
        <v>1751895969</v>
      </c>
      <c r="I22" s="34"/>
      <c r="J22" s="226">
        <f>'Piutang Usaha ISP 2023'!R19+'Piutang IAS 2023'!R27</f>
        <v>211054410</v>
      </c>
      <c r="K22" s="34"/>
      <c r="L22" s="122">
        <f>'Summary ISP'!L22+'Summay IAS'!M22</f>
        <v>23799994791</v>
      </c>
      <c r="M22" s="16"/>
      <c r="N22" s="122">
        <f>'Summary ISP'!N22+'Summay IAS'!O22</f>
        <v>11603897335</v>
      </c>
      <c r="P22" s="122">
        <f>'Summary ISP'!P22+'Summay IAS'!Q22</f>
        <v>6511678305.2600002</v>
      </c>
    </row>
    <row r="24" spans="2:16" ht="15" thickBot="1">
      <c r="D24" s="42">
        <f>SUM(D18:D22)</f>
        <v>92792058147.962006</v>
      </c>
      <c r="F24" s="42">
        <f>SUM(F18:F22)</f>
        <v>39759303431.060005</v>
      </c>
      <c r="H24" s="42">
        <f>SUM(H18:H22)</f>
        <v>28184655172.299995</v>
      </c>
      <c r="J24" s="42">
        <f>SUM(J18:J22)</f>
        <v>21754448233.150005</v>
      </c>
      <c r="L24" s="42">
        <f>SUM(L18:L22)</f>
        <v>80457698393.559998</v>
      </c>
      <c r="N24" s="42">
        <f>SUM(N18:N22)</f>
        <v>61975522732.199997</v>
      </c>
      <c r="P24" s="42">
        <f>SUM(P18:P22)</f>
        <v>43184248010</v>
      </c>
    </row>
    <row r="25" spans="2:16" ht="15" hidden="1" thickTop="1">
      <c r="B25" s="34" t="s">
        <v>243</v>
      </c>
      <c r="C25" s="34"/>
      <c r="D25" s="16"/>
      <c r="E25" s="34"/>
      <c r="F25" s="16">
        <v>39419408952</v>
      </c>
      <c r="G25" s="34"/>
      <c r="H25" s="16">
        <v>27762015495</v>
      </c>
      <c r="J25" s="16">
        <f>21754550980-102746</f>
        <v>21754448234</v>
      </c>
    </row>
    <row r="26" spans="2:16" hidden="1">
      <c r="B26" s="34" t="s">
        <v>773</v>
      </c>
      <c r="C26" s="34"/>
      <c r="D26" s="18">
        <f>D24-D25</f>
        <v>92792058147.962006</v>
      </c>
      <c r="E26" s="34"/>
      <c r="F26" s="18">
        <f>F24-F25</f>
        <v>339894479.06000519</v>
      </c>
      <c r="G26" s="34"/>
      <c r="H26" s="18">
        <f>H24-H25</f>
        <v>422639677.29999542</v>
      </c>
      <c r="J26" s="18">
        <f>J24-J25</f>
        <v>-0.84999465942382813</v>
      </c>
    </row>
    <row r="27" spans="2:16" hidden="1"/>
    <row r="28" spans="2:16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B4C5-0C3A-44FC-8222-938264124480}">
  <dimension ref="A2:R27"/>
  <sheetViews>
    <sheetView showGridLines="0" topLeftCell="A16" workbookViewId="0">
      <selection activeCell="P16" sqref="L1:P1048576"/>
    </sheetView>
  </sheetViews>
  <sheetFormatPr defaultRowHeight="14.5"/>
  <cols>
    <col min="1" max="1" width="18.1796875" bestFit="1" customWidth="1"/>
    <col min="3" max="3" width="1.36328125" customWidth="1"/>
    <col min="4" max="4" width="23.6328125" customWidth="1"/>
    <col min="5" max="5" width="2" customWidth="1"/>
    <col min="6" max="6" width="23.6328125" hidden="1" customWidth="1"/>
    <col min="7" max="7" width="1.453125" hidden="1" customWidth="1"/>
    <col min="8" max="8" width="16.453125" hidden="1" customWidth="1"/>
    <col min="9" max="9" width="2.36328125" hidden="1" customWidth="1"/>
    <col min="10" max="10" width="17.453125" bestFit="1" customWidth="1"/>
    <col min="11" max="11" width="2.81640625" customWidth="1"/>
    <col min="12" max="12" width="18.1796875" hidden="1" customWidth="1"/>
    <col min="13" max="13" width="1.54296875" hidden="1" customWidth="1"/>
    <col min="14" max="14" width="14.81640625" hidden="1" customWidth="1"/>
    <col min="15" max="15" width="1.81640625" hidden="1" customWidth="1"/>
    <col min="16" max="16" width="18.26953125" hidden="1" customWidth="1"/>
    <col min="18" max="18" width="13.81640625" bestFit="1" customWidth="1"/>
  </cols>
  <sheetData>
    <row r="2" spans="1:18">
      <c r="A2" s="21" t="s">
        <v>195</v>
      </c>
    </row>
    <row r="3" spans="1:18">
      <c r="D3" s="268">
        <v>45627</v>
      </c>
      <c r="F3" s="268">
        <v>45536</v>
      </c>
      <c r="H3" s="268">
        <v>45444</v>
      </c>
      <c r="J3" s="33">
        <v>2023</v>
      </c>
      <c r="L3" s="33">
        <v>2022</v>
      </c>
      <c r="M3" s="20"/>
      <c r="N3" s="33">
        <v>2021</v>
      </c>
      <c r="O3" s="20"/>
      <c r="P3" s="33">
        <v>2020</v>
      </c>
    </row>
    <row r="4" spans="1:18" ht="5.5" customHeight="1">
      <c r="L4" s="20"/>
      <c r="M4" s="20"/>
      <c r="N4" s="20"/>
      <c r="O4" s="20"/>
      <c r="P4" s="20"/>
    </row>
    <row r="5" spans="1:18">
      <c r="B5" s="34" t="s">
        <v>174</v>
      </c>
      <c r="C5" s="34"/>
      <c r="D5" s="223">
        <f>'Hutang ISP Des 24'!H4</f>
        <v>881749670.21000004</v>
      </c>
      <c r="E5" s="34"/>
      <c r="F5" s="223">
        <f>'Hutang Usaha ISP Sept 2024'!H$4</f>
        <v>4983466391.4900007</v>
      </c>
      <c r="G5" s="34"/>
      <c r="H5" s="223">
        <f>'Hutang Usaha ISP Juni 2024'!H228</f>
        <v>4582327248.6600008</v>
      </c>
      <c r="I5" s="34"/>
      <c r="J5" s="227">
        <f>'Hutang Usaha ISP 2023'!H279</f>
        <v>8797107462.9599991</v>
      </c>
      <c r="K5" s="34"/>
      <c r="L5" s="248">
        <f>'Hutang Usaha ISP 2022'!H309</f>
        <v>18791185975</v>
      </c>
      <c r="N5" s="18">
        <f>'Hutang Usaha ISP 2021'!H366</f>
        <v>13487581618.5</v>
      </c>
      <c r="P5" s="16">
        <f>'Utang Usaha ISP 2020'!K552</f>
        <v>7552183808</v>
      </c>
    </row>
    <row r="6" spans="1:18">
      <c r="B6" s="34" t="s">
        <v>178</v>
      </c>
      <c r="C6" s="34"/>
      <c r="D6" s="223">
        <f>'Hutang ISP Des 24'!I4</f>
        <v>525660132.25</v>
      </c>
      <c r="E6" s="34"/>
      <c r="F6" s="223">
        <f>'Hutang Usaha ISP Sept 2024'!I$4</f>
        <v>1982303832</v>
      </c>
      <c r="G6" s="34"/>
      <c r="H6" s="223">
        <f>'Hutang Usaha ISP Juni 2024'!I228</f>
        <v>1381916011</v>
      </c>
      <c r="I6" s="34"/>
      <c r="J6" s="227">
        <f>'Hutang Usaha ISP 2023'!I279</f>
        <v>1350135806.0399997</v>
      </c>
      <c r="K6" s="34"/>
      <c r="L6" s="18">
        <f>'Hutang Usaha ISP 2022'!I309</f>
        <v>1424588796</v>
      </c>
      <c r="N6" s="248">
        <f>'Hutang Usaha ISP 2021'!I366</f>
        <v>4432827372.6399994</v>
      </c>
      <c r="P6" s="18">
        <f>'Utang Usaha ISP 2020'!L552</f>
        <v>1169547930</v>
      </c>
    </row>
    <row r="7" spans="1:18">
      <c r="B7" s="34" t="s">
        <v>175</v>
      </c>
      <c r="C7" s="34"/>
      <c r="D7" s="223">
        <f>'Hutang ISP Des 24'!J4</f>
        <v>623745086</v>
      </c>
      <c r="E7" s="34"/>
      <c r="F7" s="223">
        <f>'Hutang Usaha ISP Sept 2024'!J$4</f>
        <v>184180750</v>
      </c>
      <c r="G7" s="34"/>
      <c r="H7" s="223">
        <f>'Hutang Usaha ISP Juni 2024'!J228</f>
        <v>147745253</v>
      </c>
      <c r="I7" s="34"/>
      <c r="J7" s="227">
        <f>'Hutang Usaha ISP 2023'!J279</f>
        <v>1403649790.2299998</v>
      </c>
      <c r="K7" s="34"/>
      <c r="L7" s="18">
        <f>'Hutang Usaha ISP 2022'!J309</f>
        <v>392915468</v>
      </c>
      <c r="N7" s="18">
        <f>'Hutang Usaha ISP 2021'!J366</f>
        <v>714613618</v>
      </c>
      <c r="P7" s="18">
        <f>'Utang Usaha ISP 2020'!M552</f>
        <v>265263198</v>
      </c>
    </row>
    <row r="8" spans="1:18">
      <c r="B8" s="34" t="s">
        <v>176</v>
      </c>
      <c r="C8" s="34"/>
      <c r="D8" s="223">
        <f>'Hutang ISP Des 24'!K4</f>
        <v>69093320</v>
      </c>
      <c r="E8" s="34"/>
      <c r="F8" s="223">
        <f>'Hutang Usaha ISP Sept 2024'!K$4</f>
        <v>82354849</v>
      </c>
      <c r="G8" s="34"/>
      <c r="H8" s="223">
        <f>'Hutang Usaha ISP Juni 2024'!K228</f>
        <v>140700000</v>
      </c>
      <c r="I8" s="34"/>
      <c r="J8" s="227">
        <f>'Hutang Usaha ISP 2023'!K279</f>
        <v>81175580</v>
      </c>
      <c r="K8" s="34"/>
      <c r="L8" s="18">
        <f>'Hutang Usaha ISP 2022'!K309</f>
        <v>1110656008</v>
      </c>
      <c r="N8" s="18">
        <f>'Hutang Usaha ISP 2021'!K366</f>
        <v>707307780</v>
      </c>
      <c r="P8" s="18">
        <f>'Utang Usaha ISP 2020'!N552</f>
        <v>75373754</v>
      </c>
    </row>
    <row r="9" spans="1:18">
      <c r="B9" s="34" t="s">
        <v>177</v>
      </c>
      <c r="C9" s="34"/>
      <c r="D9" s="226">
        <f>'Hutang ISP Des 24'!L4</f>
        <v>220877955</v>
      </c>
      <c r="E9" s="34"/>
      <c r="F9" s="226">
        <f>'Hutang Usaha ISP Sept 2024'!L$4-2.49000072479248</f>
        <v>154864457.50999928</v>
      </c>
      <c r="G9" s="34"/>
      <c r="H9" s="226">
        <f>'Hutang Usaha ISP Juni 2024'!L228+1.80000019073486</f>
        <v>556884332.3399992</v>
      </c>
      <c r="I9" s="34"/>
      <c r="J9" s="264">
        <f>'Hutang Usaha ISP 2023'!L279</f>
        <v>4826352146.3899994</v>
      </c>
      <c r="K9" s="34"/>
      <c r="L9" s="41">
        <f>'Hutang Usaha ISP 2022'!L309</f>
        <v>1299771083</v>
      </c>
      <c r="N9" s="41">
        <f>'Hutang Usaha ISP 2021'!L366</f>
        <v>420552979.5</v>
      </c>
      <c r="P9" s="41">
        <f>'Utang Usaha ISP 2020'!O552+52</f>
        <v>143873935</v>
      </c>
    </row>
    <row r="10" spans="1:18" ht="4" customHeight="1">
      <c r="B10" s="34"/>
      <c r="C10" s="34"/>
      <c r="D10" s="34"/>
      <c r="E10" s="34"/>
      <c r="F10" s="34"/>
      <c r="G10" s="34"/>
      <c r="H10" s="34"/>
      <c r="I10" s="34"/>
      <c r="J10" s="34"/>
      <c r="K10" s="34"/>
      <c r="P10" s="18"/>
    </row>
    <row r="11" spans="1:18" ht="15" thickBot="1">
      <c r="B11" s="34"/>
      <c r="C11" s="34"/>
      <c r="D11" s="42">
        <f>SUM(D5:D9)</f>
        <v>2321126163.46</v>
      </c>
      <c r="E11" s="34"/>
      <c r="F11" s="42">
        <f>SUM(F5:F9)</f>
        <v>7387170280</v>
      </c>
      <c r="G11" s="34"/>
      <c r="H11" s="42">
        <f>SUM(H5:H9)</f>
        <v>6809572845</v>
      </c>
      <c r="I11" s="34"/>
      <c r="J11" s="42">
        <f>SUM(J5:J9)</f>
        <v>16458420785.619997</v>
      </c>
      <c r="K11" s="34"/>
      <c r="L11" s="42">
        <f>SUM(L5:L9)</f>
        <v>23019117330</v>
      </c>
      <c r="N11" s="42">
        <f>SUM(N5:N9)</f>
        <v>19762883368.639999</v>
      </c>
      <c r="P11" s="42">
        <f>SUM(P5:P9)</f>
        <v>9206242625</v>
      </c>
    </row>
    <row r="12" spans="1:18" ht="15" hidden="1" thickTop="1">
      <c r="A12" s="43" t="s">
        <v>200</v>
      </c>
      <c r="B12" s="34"/>
      <c r="C12" s="34"/>
      <c r="D12" s="195"/>
      <c r="E12" s="34"/>
      <c r="F12" s="195">
        <v>7387170280</v>
      </c>
      <c r="G12" s="34"/>
      <c r="H12" s="195">
        <v>6809572845</v>
      </c>
      <c r="I12" s="34"/>
      <c r="J12" s="221">
        <f>16458420785.62-J11</f>
        <v>0</v>
      </c>
      <c r="K12" s="34"/>
      <c r="L12" s="18">
        <f>23019876420-L11-759090</f>
        <v>0</v>
      </c>
      <c r="N12" s="24">
        <f>19763642459-N11-759090</f>
        <v>0.3600006103515625</v>
      </c>
      <c r="P12" s="18">
        <f>9206242625-P11</f>
        <v>0</v>
      </c>
      <c r="R12" s="16"/>
    </row>
    <row r="13" spans="1:18" hidden="1">
      <c r="D13" s="338">
        <f>D11-D12</f>
        <v>2321126163.46</v>
      </c>
      <c r="F13" s="338">
        <f>F11-F12</f>
        <v>0</v>
      </c>
      <c r="H13" s="18">
        <f>H11-H12</f>
        <v>0</v>
      </c>
    </row>
    <row r="14" spans="1:18" ht="15" thickTop="1"/>
    <row r="15" spans="1:18">
      <c r="A15" s="21" t="s">
        <v>194</v>
      </c>
    </row>
    <row r="16" spans="1:18">
      <c r="D16" s="268">
        <f>D3</f>
        <v>45627</v>
      </c>
      <c r="F16" s="268">
        <v>45536</v>
      </c>
      <c r="H16" s="268">
        <v>45444</v>
      </c>
      <c r="J16" s="33">
        <v>2023</v>
      </c>
      <c r="L16" s="33">
        <v>2022</v>
      </c>
      <c r="M16" s="20"/>
      <c r="N16" s="33">
        <v>2021</v>
      </c>
      <c r="O16" s="20"/>
      <c r="P16" s="33">
        <v>2020</v>
      </c>
    </row>
    <row r="17" spans="1:16">
      <c r="L17" s="20"/>
      <c r="M17" s="20"/>
      <c r="N17" s="20"/>
      <c r="O17" s="20"/>
      <c r="P17" s="20"/>
    </row>
    <row r="18" spans="1:16">
      <c r="B18" s="34" t="s">
        <v>174</v>
      </c>
      <c r="C18" s="34"/>
      <c r="D18" s="223">
        <f>'Piutang ISP Des 24'!H4</f>
        <v>48098655567.162003</v>
      </c>
      <c r="E18" s="34"/>
      <c r="F18" s="223">
        <f>'Piutang ISP Sept 24'!H4</f>
        <v>15860138061.299999</v>
      </c>
      <c r="G18" s="34"/>
      <c r="H18" s="223">
        <f>'Piutang ISP Juni 24'!H38</f>
        <v>15075406320.879999</v>
      </c>
      <c r="I18" s="34"/>
      <c r="J18" s="295">
        <f>'Piutang Usaha ISP 2023'!H22</f>
        <v>63984402969.584053</v>
      </c>
      <c r="K18" s="34"/>
      <c r="L18" s="19">
        <f>'Piutang Usaha 2022'!H59</f>
        <v>17814611441.560001</v>
      </c>
      <c r="N18" s="16">
        <f>'Piutang Usaha 2021'!H58</f>
        <v>18022330645.200001</v>
      </c>
      <c r="P18" s="16">
        <f>'Piutang Usaha ISP 2020'!H101</f>
        <v>12963142547.74</v>
      </c>
    </row>
    <row r="19" spans="1:16">
      <c r="B19" s="34" t="s">
        <v>178</v>
      </c>
      <c r="C19" s="34"/>
      <c r="D19" s="223">
        <f>'Piutang ISP Des 24'!I4</f>
        <v>28450775</v>
      </c>
      <c r="E19" s="34"/>
      <c r="F19" s="223">
        <f>'Piutang ISP Sept 24'!I4-0.239997863769531</f>
        <v>28090774.760002136</v>
      </c>
      <c r="G19" s="34"/>
      <c r="H19" s="223">
        <f>'Piutang ISP Juni 24'!I38</f>
        <v>22200777</v>
      </c>
      <c r="I19" s="34"/>
      <c r="J19" s="295">
        <f>'Piutang Usaha ISP 2023'!I22</f>
        <v>1254276612.5385115</v>
      </c>
      <c r="K19" s="34"/>
      <c r="L19" s="19">
        <f>'Piutang Usaha 2022'!I59</f>
        <v>1884240300</v>
      </c>
      <c r="N19" s="16">
        <f>'Piutang Usaha 2021'!I58</f>
        <v>222013407</v>
      </c>
      <c r="P19" s="18">
        <f>'Piutang Usaha ISP 2020'!I101</f>
        <v>656469141</v>
      </c>
    </row>
    <row r="20" spans="1:16">
      <c r="B20" s="34" t="s">
        <v>175</v>
      </c>
      <c r="C20" s="34"/>
      <c r="D20" s="221">
        <f>'Piutang ISP Des 24'!J4</f>
        <v>0</v>
      </c>
      <c r="E20" s="34"/>
      <c r="F20" s="34"/>
      <c r="G20" s="34"/>
      <c r="H20" s="223">
        <f>'Piutang ISP Juni 24'!J38</f>
        <v>11760000</v>
      </c>
      <c r="I20" s="34"/>
      <c r="J20" s="295">
        <f>'Piutang Usaha ISP 2023'!J22</f>
        <v>0</v>
      </c>
      <c r="K20" s="34"/>
      <c r="L20" s="19">
        <f>'Piutang Usaha 2022'!J59</f>
        <v>0</v>
      </c>
      <c r="N20" s="16">
        <f>'Piutang Usaha 2021'!J58</f>
        <v>232475433</v>
      </c>
      <c r="P20" s="18">
        <f>'Piutang Usaha ISP 2020'!J101</f>
        <v>0</v>
      </c>
    </row>
    <row r="21" spans="1:16">
      <c r="B21" s="34" t="s">
        <v>176</v>
      </c>
      <c r="C21" s="34"/>
      <c r="D21" s="221">
        <f>'Piutang ISP Des 24'!K4</f>
        <v>12560000</v>
      </c>
      <c r="E21" s="34"/>
      <c r="F21" s="34"/>
      <c r="G21" s="34"/>
      <c r="H21" s="223">
        <f>'Piutang ISP Juni 24'!K38</f>
        <v>0</v>
      </c>
      <c r="I21" s="34"/>
      <c r="J21" s="295">
        <f>'Piutang Usaha ISP 2023'!K22</f>
        <v>1501648057.1369178</v>
      </c>
      <c r="K21" s="34"/>
      <c r="L21" s="19">
        <f>'Piutang Usaha 2022'!K59</f>
        <v>0</v>
      </c>
      <c r="N21" s="16">
        <f>'Piutang Usaha 2021'!K58</f>
        <v>0</v>
      </c>
      <c r="P21" s="18">
        <f>'Piutang Usaha ISP 2020'!K101</f>
        <v>0</v>
      </c>
    </row>
    <row r="22" spans="1:16">
      <c r="B22" s="34" t="s">
        <v>177</v>
      </c>
      <c r="C22" s="34"/>
      <c r="D22" s="311">
        <f>'Piutang ISP Des 24'!L4</f>
        <v>0</v>
      </c>
      <c r="E22" s="34"/>
      <c r="F22" s="339"/>
      <c r="G22" s="34"/>
      <c r="H22" s="226">
        <f>'Piutang ISP Juni 24'!L38</f>
        <v>1751895969</v>
      </c>
      <c r="I22" s="34"/>
      <c r="J22" s="296">
        <f>'Piutang Usaha ISP 2023'!L22</f>
        <v>3501869749.0205603</v>
      </c>
      <c r="K22" s="34"/>
      <c r="L22" s="205">
        <f>'Piutang Usaha 2022'!L59</f>
        <v>9061414092</v>
      </c>
      <c r="N22" s="122">
        <f>'Piutang Usaha 2021'!L58</f>
        <v>6510500000</v>
      </c>
      <c r="P22" s="41">
        <f>'Piutang Usaha ISP 2020'!L101-5.08</f>
        <v>6511678305.2600002</v>
      </c>
    </row>
    <row r="23" spans="1:16" ht="4.5" customHeight="1"/>
    <row r="24" spans="1:16" ht="15" thickBot="1">
      <c r="D24" s="42">
        <f>SUM(D18:D22)</f>
        <v>48139666342.162003</v>
      </c>
      <c r="F24" s="42">
        <f>SUM(F18:F22)</f>
        <v>15888228836.060001</v>
      </c>
      <c r="H24" s="42">
        <f>SUM(H18:H22)</f>
        <v>16861263066.879999</v>
      </c>
      <c r="J24" s="42">
        <f>SUM(J18:J22)</f>
        <v>70242197388.280045</v>
      </c>
      <c r="L24" s="42">
        <f>SUM(L18:L22)</f>
        <v>28760265833.560001</v>
      </c>
      <c r="N24" s="42">
        <f>SUM(N18:N22)</f>
        <v>24987319485.200001</v>
      </c>
      <c r="P24" s="42">
        <f>SUM(P18:P22)</f>
        <v>20131289994</v>
      </c>
    </row>
    <row r="25" spans="1:16" ht="15" hidden="1" thickTop="1">
      <c r="D25" s="16"/>
      <c r="F25" s="16">
        <v>15888228836.060001</v>
      </c>
    </row>
    <row r="26" spans="1:16" hidden="1">
      <c r="A26" s="43" t="s">
        <v>200</v>
      </c>
      <c r="D26" s="340">
        <f>D24-D25</f>
        <v>48139666342.162003</v>
      </c>
      <c r="F26" s="340">
        <f>F24-F25</f>
        <v>0</v>
      </c>
      <c r="J26" s="18">
        <f>70242197387-J24</f>
        <v>-1.2800445556640625</v>
      </c>
      <c r="L26" s="18">
        <f>28760265833.56-L24</f>
        <v>0</v>
      </c>
      <c r="N26" s="24">
        <f>24987319485.2-N24</f>
        <v>0</v>
      </c>
      <c r="P26" s="24">
        <f xml:space="preserve"> 20131289994 -P24</f>
        <v>0</v>
      </c>
    </row>
    <row r="27" spans="1:16" ht="15" thickTop="1">
      <c r="P27" s="1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D709-445E-4DC3-BE25-5B104BA1A71C}">
  <dimension ref="B3:Q27"/>
  <sheetViews>
    <sheetView showGridLines="0" topLeftCell="A11" workbookViewId="0">
      <selection activeCell="E24" sqref="E24"/>
    </sheetView>
  </sheetViews>
  <sheetFormatPr defaultRowHeight="14.5"/>
  <cols>
    <col min="3" max="3" width="13.08984375" customWidth="1"/>
    <col min="4" max="4" width="2.36328125" customWidth="1"/>
    <col min="5" max="5" width="19.453125" customWidth="1"/>
    <col min="6" max="6" width="3.08984375" customWidth="1"/>
    <col min="7" max="7" width="14.81640625" hidden="1" customWidth="1"/>
    <col min="8" max="8" width="3.1796875" hidden="1" customWidth="1"/>
    <col min="9" max="9" width="14.81640625" hidden="1" customWidth="1"/>
    <col min="10" max="10" width="2.6328125" hidden="1" customWidth="1"/>
    <col min="11" max="11" width="14.81640625" bestFit="1" customWidth="1"/>
    <col min="12" max="12" width="1.7265625" customWidth="1"/>
    <col min="13" max="13" width="14.81640625" hidden="1" customWidth="1"/>
    <col min="14" max="14" width="2.453125" hidden="1" customWidth="1"/>
    <col min="15" max="15" width="14.81640625" hidden="1" customWidth="1"/>
    <col min="16" max="16" width="3.08984375" hidden="1" customWidth="1"/>
    <col min="17" max="17" width="14.81640625" hidden="1" customWidth="1"/>
  </cols>
  <sheetData>
    <row r="3" spans="2:17">
      <c r="B3" s="21" t="s">
        <v>195</v>
      </c>
    </row>
    <row r="4" spans="2:17">
      <c r="E4" s="268">
        <v>45627</v>
      </c>
      <c r="G4" s="268">
        <v>45536</v>
      </c>
      <c r="I4" s="268">
        <v>45444</v>
      </c>
      <c r="K4" s="33">
        <v>2023</v>
      </c>
      <c r="M4" s="33">
        <v>2022</v>
      </c>
      <c r="N4" s="20"/>
      <c r="O4" s="33">
        <v>2021</v>
      </c>
      <c r="P4" s="20"/>
      <c r="Q4" s="33">
        <v>2020</v>
      </c>
    </row>
    <row r="5" spans="2:17">
      <c r="M5" s="20"/>
      <c r="N5" s="20"/>
      <c r="O5" s="20"/>
      <c r="P5" s="20"/>
      <c r="Q5" s="20"/>
    </row>
    <row r="6" spans="2:17">
      <c r="C6" s="34" t="s">
        <v>174</v>
      </c>
      <c r="D6" s="34"/>
      <c r="E6" s="223">
        <f>'Hutang IAS Des 24'!H4</f>
        <v>2061950055</v>
      </c>
      <c r="F6" s="34"/>
      <c r="G6" s="223">
        <f>'Hutang IAS Sept 24'!H4</f>
        <v>2783605669.2299995</v>
      </c>
      <c r="H6" s="34"/>
      <c r="I6" s="223">
        <f>'Hutang Usaha IAS Juni 24'!H126</f>
        <v>3540401172.9500003</v>
      </c>
      <c r="J6" s="34"/>
      <c r="K6" s="195">
        <f>'Hutang Usaha IAS 23'!H228</f>
        <v>62904412636.122253</v>
      </c>
      <c r="L6" s="34"/>
      <c r="M6" s="24">
        <v>2552178138</v>
      </c>
      <c r="O6" s="24">
        <v>2580119628</v>
      </c>
      <c r="Q6" s="16">
        <v>6096696604</v>
      </c>
    </row>
    <row r="7" spans="2:17">
      <c r="C7" s="34" t="s">
        <v>178</v>
      </c>
      <c r="D7" s="34"/>
      <c r="E7" s="223">
        <f>'Hutang IAS Des 24'!I4</f>
        <v>1755057310.6500001</v>
      </c>
      <c r="F7" s="34"/>
      <c r="G7" s="223">
        <f>'Hutang IAS Sept 24'!I$4</f>
        <v>433264604.5</v>
      </c>
      <c r="H7" s="34"/>
      <c r="I7" s="223">
        <f>'Hutang Usaha IAS Juni 24'!I126</f>
        <v>2654044180.5999999</v>
      </c>
      <c r="J7" s="34"/>
      <c r="K7" s="195">
        <f>'Hutang Usaha IAS 23'!I228</f>
        <v>2569370382.560298</v>
      </c>
      <c r="L7" s="34"/>
      <c r="M7" s="24">
        <v>2175564942</v>
      </c>
      <c r="O7" s="24">
        <v>5103188666</v>
      </c>
      <c r="Q7" s="18">
        <v>1207226765</v>
      </c>
    </row>
    <row r="8" spans="2:17">
      <c r="C8" s="34" t="s">
        <v>175</v>
      </c>
      <c r="D8" s="34"/>
      <c r="E8" s="223">
        <f>'Hutang IAS Des 24'!J4</f>
        <v>449608695</v>
      </c>
      <c r="F8" s="34"/>
      <c r="G8" s="223">
        <f>'Hutang IAS Sept 24'!J$4</f>
        <v>14154286</v>
      </c>
      <c r="H8" s="34"/>
      <c r="I8" s="223">
        <f>'Hutang Usaha IAS Juni 24'!J126</f>
        <v>534411666</v>
      </c>
      <c r="J8" s="34"/>
      <c r="K8" s="195">
        <f>'Hutang Usaha IAS 23'!J228</f>
        <v>756696191</v>
      </c>
      <c r="L8" s="34"/>
      <c r="M8" s="24">
        <v>1567526266</v>
      </c>
      <c r="O8" s="24">
        <v>351492284</v>
      </c>
      <c r="Q8" s="18">
        <v>1062082732</v>
      </c>
    </row>
    <row r="9" spans="2:17">
      <c r="C9" s="34" t="s">
        <v>176</v>
      </c>
      <c r="D9" s="34"/>
      <c r="E9" s="223">
        <f>'Hutang IAS Des 24'!K4</f>
        <v>23389698</v>
      </c>
      <c r="F9" s="34"/>
      <c r="G9" s="223">
        <f>'Hutang IAS Sept 24'!K$4</f>
        <v>8031460</v>
      </c>
      <c r="H9" s="34"/>
      <c r="I9" s="223">
        <f>'Hutang Usaha IAS Juni 24'!K126</f>
        <v>0</v>
      </c>
      <c r="J9" s="34"/>
      <c r="K9" s="195">
        <f>'Hutang Usaha IAS 23'!K228</f>
        <v>2046204869.1369178</v>
      </c>
      <c r="L9" s="34"/>
      <c r="M9" s="24">
        <v>224952512</v>
      </c>
      <c r="O9" s="24">
        <v>454277978</v>
      </c>
      <c r="Q9" s="18">
        <v>565714837</v>
      </c>
    </row>
    <row r="10" spans="2:17">
      <c r="C10" s="34" t="s">
        <v>177</v>
      </c>
      <c r="D10" s="34"/>
      <c r="E10" s="226">
        <f>'Hutang IAS Des 24'!L4</f>
        <v>1730000</v>
      </c>
      <c r="F10" s="34"/>
      <c r="G10" s="226">
        <f>'Hutang IAS Sept 24'!L$4+0.100000381469727</f>
        <v>18868270.100000381</v>
      </c>
      <c r="H10" s="34"/>
      <c r="I10" s="226">
        <f>'Hutang Usaha IAS Juni 24'!L126</f>
        <v>647861889</v>
      </c>
      <c r="J10" s="34"/>
      <c r="K10" s="225">
        <f>'Hutang Usaha IAS 23'!L228</f>
        <v>5818922100.6805601</v>
      </c>
      <c r="L10" s="34"/>
      <c r="M10" s="121">
        <v>224952512</v>
      </c>
      <c r="O10" s="121">
        <v>360998482</v>
      </c>
      <c r="Q10" s="41">
        <v>0</v>
      </c>
    </row>
    <row r="11" spans="2:17">
      <c r="C11" s="34"/>
      <c r="D11" s="34"/>
      <c r="E11" s="34"/>
      <c r="F11" s="34"/>
      <c r="G11" s="34"/>
      <c r="H11" s="34"/>
      <c r="I11" s="34"/>
      <c r="J11" s="34"/>
      <c r="K11" s="34"/>
      <c r="L11" s="34"/>
      <c r="Q11" s="18"/>
    </row>
    <row r="12" spans="2:17" ht="15" thickBot="1">
      <c r="C12" s="34"/>
      <c r="D12" s="34"/>
      <c r="E12" s="42">
        <f>SUM(E6:E10)</f>
        <v>4291735758.6500001</v>
      </c>
      <c r="F12" s="34"/>
      <c r="G12" s="42">
        <f>SUM(G6:G10)</f>
        <v>3257924289.8299999</v>
      </c>
      <c r="H12" s="34"/>
      <c r="I12" s="42">
        <f>SUM(I6:I10)</f>
        <v>7376718908.5500002</v>
      </c>
      <c r="J12" s="34"/>
      <c r="K12" s="42">
        <f>SUM(K6:K10)</f>
        <v>74095606179.500031</v>
      </c>
      <c r="L12" s="34"/>
      <c r="M12" s="42">
        <f>SUM(M6:M10)</f>
        <v>6745174370</v>
      </c>
      <c r="O12" s="42">
        <f>SUM(O6:O10)</f>
        <v>8850077038</v>
      </c>
      <c r="Q12" s="42">
        <f>SUM(Q6:Q10)</f>
        <v>8931720938</v>
      </c>
    </row>
    <row r="13" spans="2:17" ht="15" thickTop="1">
      <c r="E13" s="16"/>
      <c r="G13" s="16">
        <f>3257924291-1</f>
        <v>3257924290</v>
      </c>
      <c r="I13" s="16"/>
    </row>
    <row r="14" spans="2:17" hidden="1">
      <c r="E14" s="18">
        <f>E12-E13</f>
        <v>4291735758.6500001</v>
      </c>
      <c r="G14" s="18">
        <f>G12-G13</f>
        <v>-0.17000007629394531</v>
      </c>
    </row>
    <row r="15" spans="2:17">
      <c r="B15" s="21" t="s">
        <v>194</v>
      </c>
    </row>
    <row r="16" spans="2:17">
      <c r="E16" s="268">
        <f>E4</f>
        <v>45627</v>
      </c>
      <c r="G16" s="268">
        <v>45536</v>
      </c>
      <c r="I16" s="268">
        <v>45444</v>
      </c>
      <c r="K16" s="33">
        <v>2023</v>
      </c>
      <c r="M16" s="33">
        <v>2022</v>
      </c>
      <c r="N16" s="20"/>
      <c r="O16" s="33">
        <v>2021</v>
      </c>
      <c r="P16" s="20"/>
      <c r="Q16" s="33">
        <v>2020</v>
      </c>
    </row>
    <row r="17" spans="3:17">
      <c r="M17" s="20"/>
      <c r="N17" s="20"/>
      <c r="O17" s="20"/>
      <c r="P17" s="20"/>
      <c r="Q17" s="20"/>
    </row>
    <row r="18" spans="3:17">
      <c r="C18" s="34" t="s">
        <v>174</v>
      </c>
      <c r="D18" s="34"/>
      <c r="E18" s="223">
        <f>'Piutang IAS Des 24'!H4</f>
        <v>44293708975.800003</v>
      </c>
      <c r="F18" s="34"/>
      <c r="G18" s="223">
        <f>'Piutang IAS Sept 24'!H4+0.5</f>
        <v>23835255708</v>
      </c>
      <c r="H18" s="34"/>
      <c r="I18" s="223">
        <f>'Piutang IAS Juni 24'!H47</f>
        <v>10934175830</v>
      </c>
      <c r="J18" s="34"/>
      <c r="K18" s="197">
        <f>'Piutang IAS 2023'!H80</f>
        <v>17719923332.870003</v>
      </c>
      <c r="L18" s="34"/>
      <c r="M18" s="16">
        <v>0</v>
      </c>
      <c r="N18" s="16"/>
      <c r="O18" s="16">
        <v>0</v>
      </c>
      <c r="P18" s="16"/>
      <c r="Q18" s="16">
        <f>'Piutang Usaha ISP 2020'!I102</f>
        <v>0</v>
      </c>
    </row>
    <row r="19" spans="3:17">
      <c r="C19" s="34" t="s">
        <v>178</v>
      </c>
      <c r="D19" s="34"/>
      <c r="E19" s="223">
        <f>'Piutang IAS Des 24'!I4</f>
        <v>28613300</v>
      </c>
      <c r="F19" s="34"/>
      <c r="G19" s="223">
        <f>'Piutang IAS Sept 24'!I4</f>
        <v>35818887</v>
      </c>
      <c r="H19" s="34"/>
      <c r="I19" s="223">
        <f>'Piutang IAS Juni 24'!I47</f>
        <v>188688100</v>
      </c>
      <c r="J19" s="34"/>
      <c r="K19" s="197">
        <f>'Piutang IAS 2023'!I80</f>
        <v>601724133.83999991</v>
      </c>
      <c r="L19" s="34"/>
      <c r="M19" s="24">
        <v>5923911096</v>
      </c>
      <c r="O19" s="24">
        <v>8816275366</v>
      </c>
      <c r="Q19" s="18">
        <v>2788921952</v>
      </c>
    </row>
    <row r="20" spans="3:17">
      <c r="C20" s="34" t="s">
        <v>175</v>
      </c>
      <c r="D20" s="34"/>
      <c r="E20" s="223">
        <f>'Piutang IAS Des 24'!J4</f>
        <v>0</v>
      </c>
      <c r="F20" s="34"/>
      <c r="G20" s="223">
        <f>'Piutang IAS Sept 24'!J4</f>
        <v>0</v>
      </c>
      <c r="H20" s="34"/>
      <c r="I20" s="223">
        <f>'Piutang IAS Juni 24'!J47</f>
        <v>30520500</v>
      </c>
      <c r="J20" s="34"/>
      <c r="K20" s="197">
        <f>'Piutang IAS 2023'!J80</f>
        <v>1324616345.23</v>
      </c>
      <c r="L20" s="34"/>
      <c r="M20" s="24">
        <v>24721078650</v>
      </c>
      <c r="O20" s="24">
        <v>8872293947</v>
      </c>
      <c r="Q20" s="16">
        <v>19885079001</v>
      </c>
    </row>
    <row r="21" spans="3:17">
      <c r="C21" s="34" t="s">
        <v>176</v>
      </c>
      <c r="D21" s="34"/>
      <c r="E21" s="223">
        <f>'Piutang IAS Des 24'!K4</f>
        <v>25032200</v>
      </c>
      <c r="F21" s="34"/>
      <c r="G21" s="223">
        <f>'Piutang IAS Sept 24'!K4</f>
        <v>0</v>
      </c>
      <c r="H21" s="34"/>
      <c r="I21" s="223">
        <f>'Piutang IAS Juni 24'!K47</f>
        <v>170007675.41999996</v>
      </c>
      <c r="J21" s="34"/>
      <c r="K21" s="197">
        <f>'Piutang IAS 2023'!K80</f>
        <v>0</v>
      </c>
      <c r="L21" s="34"/>
      <c r="M21" s="24">
        <v>6313862115</v>
      </c>
      <c r="O21" s="24">
        <v>14206236599</v>
      </c>
      <c r="Q21" s="18">
        <v>378957063</v>
      </c>
    </row>
    <row r="22" spans="3:17">
      <c r="C22" s="34" t="s">
        <v>177</v>
      </c>
      <c r="D22" s="34"/>
      <c r="E22" s="226">
        <f>'Piutang IAS Des 24'!L4</f>
        <v>305037330</v>
      </c>
      <c r="F22" s="34"/>
      <c r="G22" s="226">
        <f>'Piutang IAS Sept 24'!L4</f>
        <v>0</v>
      </c>
      <c r="H22" s="34"/>
      <c r="I22" s="226">
        <f>'Piutang IAS Juni 24'!L47</f>
        <v>0</v>
      </c>
      <c r="J22" s="34"/>
      <c r="K22" s="222">
        <f>'Piutang IAS 2023'!L80</f>
        <v>2463697465.9299998</v>
      </c>
      <c r="L22" s="34"/>
      <c r="M22" s="121">
        <v>14738580699</v>
      </c>
      <c r="O22" s="121">
        <v>5093397335</v>
      </c>
      <c r="Q22" s="41">
        <v>0</v>
      </c>
    </row>
    <row r="24" spans="3:17" ht="15" thickBot="1">
      <c r="E24" s="42">
        <f>SUM(E18:E22)</f>
        <v>44652391805.800003</v>
      </c>
      <c r="G24" s="42">
        <f>SUM(G18:G22)</f>
        <v>23871074595</v>
      </c>
      <c r="I24" s="42">
        <f>SUM(I18:I22)</f>
        <v>11323392105.42</v>
      </c>
      <c r="K24" s="42">
        <f>SUM(K18:K22)</f>
        <v>22109961277.870003</v>
      </c>
      <c r="M24" s="42">
        <f>SUM(M18:M22)</f>
        <v>51697432560</v>
      </c>
      <c r="O24" s="42">
        <f>SUM(O18:O22)</f>
        <v>36988203247</v>
      </c>
      <c r="Q24" s="42">
        <f>SUM(Q18:Q22)</f>
        <v>23052958016</v>
      </c>
    </row>
    <row r="25" spans="3:17" ht="15" thickTop="1">
      <c r="E25" s="24"/>
      <c r="G25" s="24">
        <v>23871074595</v>
      </c>
      <c r="I25" s="24">
        <v>11323392105</v>
      </c>
    </row>
    <row r="26" spans="3:17" hidden="1">
      <c r="E26" s="344">
        <f>E24-E25</f>
        <v>44652391805.800003</v>
      </c>
      <c r="G26" s="337">
        <f>G24-G25</f>
        <v>0</v>
      </c>
      <c r="I26" s="18">
        <f>I24-I25</f>
        <v>0.42000007629394531</v>
      </c>
    </row>
    <row r="27" spans="3:17" hidden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B0CE-ABF0-4932-9A27-E211A6BCE046}">
  <sheetPr>
    <tabColor rgb="FFFFFF00"/>
  </sheetPr>
  <dimension ref="A1:M105"/>
  <sheetViews>
    <sheetView showGridLines="0" zoomScale="99" workbookViewId="0">
      <pane xSplit="2" ySplit="5" topLeftCell="F101" activePane="bottomRight" state="frozen"/>
      <selection pane="topRight" activeCell="C1" sqref="C1"/>
      <selection pane="bottomLeft" activeCell="A6" sqref="A6"/>
      <selection pane="bottomRight" activeCell="B105" sqref="B105"/>
    </sheetView>
  </sheetViews>
  <sheetFormatPr defaultRowHeight="14.5"/>
  <cols>
    <col min="1" max="1" width="43.81640625" customWidth="1"/>
    <col min="2" max="3" width="14" bestFit="1" customWidth="1"/>
    <col min="4" max="4" width="10.7265625" bestFit="1" customWidth="1"/>
    <col min="5" max="5" width="12.1796875" bestFit="1" customWidth="1"/>
    <col min="6" max="6" width="15.36328125" bestFit="1" customWidth="1"/>
    <col min="7" max="7" width="11.54296875" bestFit="1" customWidth="1"/>
    <col min="8" max="8" width="14.453125" bestFit="1" customWidth="1"/>
    <col min="9" max="9" width="13.90625" bestFit="1" customWidth="1"/>
    <col min="10" max="11" width="14.81640625" bestFit="1" customWidth="1"/>
    <col min="12" max="12" width="13.36328125" bestFit="1" customWidth="1"/>
    <col min="13" max="13" width="14" bestFit="1" customWidth="1"/>
  </cols>
  <sheetData>
    <row r="1" spans="1:13">
      <c r="A1" s="158" t="s">
        <v>185</v>
      </c>
      <c r="B1" s="16">
        <f>SUM(B3:B4)-B2</f>
        <v>0</v>
      </c>
      <c r="C1" s="18"/>
    </row>
    <row r="2" spans="1:13">
      <c r="A2" s="158" t="s">
        <v>145</v>
      </c>
      <c r="B2" s="349">
        <v>4291735758.6500001</v>
      </c>
      <c r="C2" s="47" t="s">
        <v>243</v>
      </c>
    </row>
    <row r="3" spans="1:13">
      <c r="A3" s="160">
        <v>45657</v>
      </c>
      <c r="B3" s="350"/>
    </row>
    <row r="4" spans="1:13">
      <c r="B4" s="16">
        <f>SUBTOTAL(9,B6:B105)</f>
        <v>4291735758.6500001</v>
      </c>
      <c r="H4" s="16">
        <f>SUBTOTAL(9,H6:H105)</f>
        <v>2061950055</v>
      </c>
      <c r="I4" s="16">
        <f t="shared" ref="I4:L4" si="0">SUBTOTAL(9,I6:I105)</f>
        <v>1755057310.6500001</v>
      </c>
      <c r="J4" s="16">
        <f t="shared" si="0"/>
        <v>449608695</v>
      </c>
      <c r="K4" s="16">
        <f t="shared" si="0"/>
        <v>23389698</v>
      </c>
      <c r="L4" s="16">
        <f t="shared" si="0"/>
        <v>1730000</v>
      </c>
      <c r="M4" s="18">
        <f>SUM(H4:L4)-B4</f>
        <v>0</v>
      </c>
    </row>
    <row r="5" spans="1:13">
      <c r="A5" s="341" t="s">
        <v>2</v>
      </c>
      <c r="B5" s="286" t="s">
        <v>3</v>
      </c>
      <c r="C5" s="288" t="s">
        <v>244</v>
      </c>
      <c r="D5" s="288" t="s">
        <v>245</v>
      </c>
      <c r="E5" s="288" t="s">
        <v>209</v>
      </c>
      <c r="F5" s="286" t="s">
        <v>210</v>
      </c>
      <c r="G5" s="286" t="s">
        <v>211</v>
      </c>
      <c r="H5" s="286" t="s">
        <v>174</v>
      </c>
      <c r="I5" s="286" t="s">
        <v>212</v>
      </c>
      <c r="J5" s="286" t="s">
        <v>213</v>
      </c>
      <c r="K5" s="286" t="s">
        <v>214</v>
      </c>
      <c r="L5" s="286" t="s">
        <v>215</v>
      </c>
    </row>
    <row r="6" spans="1:13">
      <c r="A6" t="s">
        <v>774</v>
      </c>
      <c r="B6" s="272">
        <v>284103154</v>
      </c>
      <c r="C6" s="271">
        <v>1048</v>
      </c>
      <c r="D6" s="273">
        <v>45649</v>
      </c>
      <c r="E6" s="271">
        <v>30</v>
      </c>
      <c r="F6" s="273">
        <f>D6+E6</f>
        <v>45679</v>
      </c>
      <c r="G6" s="271">
        <f>$A$3-F6</f>
        <v>-22</v>
      </c>
      <c r="H6" s="277">
        <f>B6</f>
        <v>284103154</v>
      </c>
      <c r="I6" s="271"/>
      <c r="J6" s="271"/>
      <c r="K6" s="271"/>
      <c r="L6" s="271"/>
    </row>
    <row r="7" spans="1:13">
      <c r="A7" t="s">
        <v>774</v>
      </c>
      <c r="B7" s="272">
        <v>210298296</v>
      </c>
      <c r="C7" s="271">
        <v>1057</v>
      </c>
      <c r="D7" s="273">
        <v>45650</v>
      </c>
      <c r="E7" s="271">
        <v>30</v>
      </c>
      <c r="F7" s="273">
        <f>D7+E7</f>
        <v>45680</v>
      </c>
      <c r="G7" s="271">
        <f>$A$3-F7</f>
        <v>-23</v>
      </c>
      <c r="H7" s="277">
        <f>B7</f>
        <v>210298296</v>
      </c>
      <c r="I7" s="271"/>
      <c r="J7" s="271"/>
      <c r="K7" s="271"/>
      <c r="L7" s="271"/>
    </row>
    <row r="8" spans="1:13">
      <c r="B8" s="272"/>
      <c r="C8" s="271"/>
      <c r="D8" s="273"/>
      <c r="E8" s="271"/>
      <c r="F8" s="273"/>
      <c r="G8" s="271"/>
      <c r="H8" s="271"/>
      <c r="I8" s="271"/>
      <c r="J8" s="271"/>
      <c r="K8" s="271"/>
      <c r="L8" s="271"/>
    </row>
    <row r="9" spans="1:13">
      <c r="A9" t="s">
        <v>368</v>
      </c>
      <c r="B9" s="272">
        <v>15717156</v>
      </c>
      <c r="C9" s="301" t="s">
        <v>869</v>
      </c>
      <c r="D9" s="273">
        <v>45572</v>
      </c>
      <c r="E9" s="271">
        <v>30</v>
      </c>
      <c r="F9" s="273">
        <f t="shared" ref="F9:F84" si="1">D9+E9</f>
        <v>45602</v>
      </c>
      <c r="G9" s="271">
        <f t="shared" ref="G9:G91" si="2">$A$3-F9</f>
        <v>55</v>
      </c>
      <c r="H9" s="271"/>
      <c r="I9" s="271"/>
      <c r="J9" s="277">
        <f>B9</f>
        <v>15717156</v>
      </c>
      <c r="K9" s="271"/>
      <c r="L9" s="277"/>
    </row>
    <row r="10" spans="1:13">
      <c r="A10" t="s">
        <v>368</v>
      </c>
      <c r="B10" s="272">
        <v>84992700</v>
      </c>
      <c r="C10" s="301" t="s">
        <v>335</v>
      </c>
      <c r="D10" s="273">
        <v>45577</v>
      </c>
      <c r="E10" s="271">
        <v>30</v>
      </c>
      <c r="F10" s="273">
        <f t="shared" si="1"/>
        <v>45607</v>
      </c>
      <c r="G10" s="271">
        <f t="shared" si="2"/>
        <v>50</v>
      </c>
      <c r="H10" s="271"/>
      <c r="I10" s="271"/>
      <c r="J10" s="277">
        <f t="shared" ref="J10:J17" si="3">B10</f>
        <v>84992700</v>
      </c>
      <c r="K10" s="277"/>
      <c r="L10" s="271"/>
    </row>
    <row r="11" spans="1:13">
      <c r="A11" t="s">
        <v>368</v>
      </c>
      <c r="B11" s="272">
        <f>1403317+12</f>
        <v>1403329</v>
      </c>
      <c r="C11" s="301" t="s">
        <v>870</v>
      </c>
      <c r="D11" s="273">
        <v>45582</v>
      </c>
      <c r="E11" s="271">
        <v>30</v>
      </c>
      <c r="F11" s="273">
        <f t="shared" si="1"/>
        <v>45612</v>
      </c>
      <c r="G11" s="271">
        <f t="shared" si="2"/>
        <v>45</v>
      </c>
      <c r="H11" s="271"/>
      <c r="I11" s="271"/>
      <c r="J11" s="277">
        <f t="shared" si="3"/>
        <v>1403329</v>
      </c>
      <c r="K11" s="271"/>
      <c r="L11" s="271"/>
    </row>
    <row r="12" spans="1:13">
      <c r="A12" t="s">
        <v>368</v>
      </c>
      <c r="B12" s="272">
        <v>29592600</v>
      </c>
      <c r="C12" s="301" t="s">
        <v>871</v>
      </c>
      <c r="D12" s="273">
        <v>45582</v>
      </c>
      <c r="E12" s="271">
        <v>30</v>
      </c>
      <c r="F12" s="273">
        <f t="shared" si="1"/>
        <v>45612</v>
      </c>
      <c r="G12" s="271">
        <f t="shared" si="2"/>
        <v>45</v>
      </c>
      <c r="H12" s="271"/>
      <c r="I12" s="277"/>
      <c r="J12" s="277">
        <f t="shared" si="3"/>
        <v>29592600</v>
      </c>
      <c r="K12" s="271"/>
      <c r="L12" s="271"/>
    </row>
    <row r="13" spans="1:13">
      <c r="A13" t="s">
        <v>368</v>
      </c>
      <c r="B13" s="272">
        <v>48518100</v>
      </c>
      <c r="C13" s="301" t="s">
        <v>872</v>
      </c>
      <c r="D13" s="273">
        <v>45584</v>
      </c>
      <c r="E13" s="271">
        <v>30</v>
      </c>
      <c r="F13" s="273">
        <f t="shared" si="1"/>
        <v>45614</v>
      </c>
      <c r="G13" s="271">
        <f t="shared" si="2"/>
        <v>43</v>
      </c>
      <c r="H13" s="271"/>
      <c r="I13" s="277"/>
      <c r="J13" s="277">
        <f t="shared" si="3"/>
        <v>48518100</v>
      </c>
      <c r="K13" s="271"/>
      <c r="L13" s="271"/>
    </row>
    <row r="14" spans="1:13">
      <c r="A14" t="s">
        <v>368</v>
      </c>
      <c r="B14" s="272">
        <v>2752800</v>
      </c>
      <c r="C14" s="301" t="s">
        <v>873</v>
      </c>
      <c r="D14" s="273">
        <v>45584</v>
      </c>
      <c r="E14" s="271">
        <v>30</v>
      </c>
      <c r="F14" s="273">
        <f t="shared" si="1"/>
        <v>45614</v>
      </c>
      <c r="G14" s="271">
        <f t="shared" si="2"/>
        <v>43</v>
      </c>
      <c r="H14" s="271"/>
      <c r="I14" s="277"/>
      <c r="J14" s="277">
        <f t="shared" si="3"/>
        <v>2752800</v>
      </c>
      <c r="K14" s="271"/>
      <c r="L14" s="271"/>
    </row>
    <row r="15" spans="1:13">
      <c r="A15" t="s">
        <v>368</v>
      </c>
      <c r="B15" s="272">
        <v>4129200</v>
      </c>
      <c r="C15" s="301" t="s">
        <v>874</v>
      </c>
      <c r="D15" s="273">
        <v>45586</v>
      </c>
      <c r="E15" s="271">
        <v>30</v>
      </c>
      <c r="F15" s="273">
        <f t="shared" si="1"/>
        <v>45616</v>
      </c>
      <c r="G15" s="271">
        <f t="shared" si="2"/>
        <v>41</v>
      </c>
      <c r="H15" s="271"/>
      <c r="I15" s="277"/>
      <c r="J15" s="277">
        <f t="shared" si="3"/>
        <v>4129200</v>
      </c>
      <c r="K15" s="271"/>
      <c r="L15" s="271"/>
    </row>
    <row r="16" spans="1:13">
      <c r="A16" t="s">
        <v>368</v>
      </c>
      <c r="B16" s="272">
        <v>1455432</v>
      </c>
      <c r="C16" s="301" t="s">
        <v>875</v>
      </c>
      <c r="D16" s="273">
        <v>45586</v>
      </c>
      <c r="E16" s="271">
        <v>30</v>
      </c>
      <c r="F16" s="273">
        <f t="shared" si="1"/>
        <v>45616</v>
      </c>
      <c r="G16" s="271">
        <f t="shared" si="2"/>
        <v>41</v>
      </c>
      <c r="H16" s="271"/>
      <c r="I16" s="277"/>
      <c r="J16" s="277">
        <f t="shared" si="3"/>
        <v>1455432</v>
      </c>
      <c r="K16" s="271"/>
      <c r="L16" s="271"/>
    </row>
    <row r="17" spans="1:12">
      <c r="A17" t="s">
        <v>368</v>
      </c>
      <c r="B17" s="272">
        <v>46825905</v>
      </c>
      <c r="C17" s="301" t="s">
        <v>876</v>
      </c>
      <c r="D17" s="273">
        <v>45588</v>
      </c>
      <c r="E17" s="271">
        <v>30</v>
      </c>
      <c r="F17" s="273">
        <f t="shared" si="1"/>
        <v>45618</v>
      </c>
      <c r="G17" s="271">
        <f t="shared" si="2"/>
        <v>39</v>
      </c>
      <c r="H17" s="271"/>
      <c r="I17" s="277"/>
      <c r="J17" s="277">
        <f t="shared" si="3"/>
        <v>46825905</v>
      </c>
      <c r="K17" s="271"/>
      <c r="L17" s="271"/>
    </row>
    <row r="18" spans="1:12">
      <c r="A18" t="s">
        <v>368</v>
      </c>
      <c r="B18" s="272">
        <v>13382604</v>
      </c>
      <c r="C18" s="301" t="s">
        <v>877</v>
      </c>
      <c r="D18" s="273">
        <v>45621</v>
      </c>
      <c r="E18" s="271">
        <v>30</v>
      </c>
      <c r="F18" s="273">
        <f t="shared" si="1"/>
        <v>45651</v>
      </c>
      <c r="G18" s="271">
        <f t="shared" si="2"/>
        <v>6</v>
      </c>
      <c r="H18" s="271"/>
      <c r="I18" s="277">
        <f>B18</f>
        <v>13382604</v>
      </c>
      <c r="J18" s="271"/>
      <c r="K18" s="271"/>
      <c r="L18" s="271"/>
    </row>
    <row r="19" spans="1:12">
      <c r="A19" t="s">
        <v>368</v>
      </c>
      <c r="B19" s="272">
        <v>5017477</v>
      </c>
      <c r="C19" s="301" t="s">
        <v>878</v>
      </c>
      <c r="D19" s="273">
        <v>45621</v>
      </c>
      <c r="E19" s="271">
        <v>30</v>
      </c>
      <c r="F19" s="273">
        <f t="shared" si="1"/>
        <v>45651</v>
      </c>
      <c r="G19" s="271">
        <f t="shared" si="2"/>
        <v>6</v>
      </c>
      <c r="H19" s="271"/>
      <c r="I19" s="277">
        <f t="shared" ref="I19:I23" si="4">B19</f>
        <v>5017477</v>
      </c>
      <c r="J19" s="271"/>
      <c r="K19" s="271"/>
      <c r="L19" s="271"/>
    </row>
    <row r="20" spans="1:12">
      <c r="A20" t="s">
        <v>368</v>
      </c>
      <c r="B20" s="272">
        <v>8559432</v>
      </c>
      <c r="C20" s="301" t="s">
        <v>879</v>
      </c>
      <c r="D20" s="273">
        <v>45621</v>
      </c>
      <c r="E20" s="271">
        <v>30</v>
      </c>
      <c r="F20" s="273">
        <f t="shared" si="1"/>
        <v>45651</v>
      </c>
      <c r="G20" s="271">
        <f t="shared" si="2"/>
        <v>6</v>
      </c>
      <c r="H20" s="271"/>
      <c r="I20" s="277">
        <f t="shared" si="4"/>
        <v>8559432</v>
      </c>
      <c r="J20" s="271"/>
      <c r="K20" s="271"/>
      <c r="L20" s="271"/>
    </row>
    <row r="21" spans="1:12">
      <c r="A21" t="s">
        <v>368</v>
      </c>
      <c r="B21" s="272">
        <v>5839809.9000000004</v>
      </c>
      <c r="C21" s="301" t="s">
        <v>880</v>
      </c>
      <c r="D21" s="273">
        <v>45621</v>
      </c>
      <c r="E21" s="271">
        <v>30</v>
      </c>
      <c r="F21" s="273">
        <f t="shared" si="1"/>
        <v>45651</v>
      </c>
      <c r="G21" s="271">
        <f t="shared" si="2"/>
        <v>6</v>
      </c>
      <c r="H21" s="271"/>
      <c r="I21" s="277">
        <f t="shared" si="4"/>
        <v>5839809.9000000004</v>
      </c>
      <c r="J21" s="271"/>
      <c r="K21" s="271"/>
      <c r="L21" s="271"/>
    </row>
    <row r="22" spans="1:12">
      <c r="A22" t="s">
        <v>368</v>
      </c>
      <c r="B22" s="272">
        <v>4856250</v>
      </c>
      <c r="C22" s="301" t="s">
        <v>881</v>
      </c>
      <c r="D22" s="273">
        <v>45621</v>
      </c>
      <c r="E22" s="271">
        <v>30</v>
      </c>
      <c r="F22" s="273">
        <f t="shared" si="1"/>
        <v>45651</v>
      </c>
      <c r="G22" s="271">
        <f t="shared" si="2"/>
        <v>6</v>
      </c>
      <c r="H22" s="271"/>
      <c r="I22" s="277">
        <f t="shared" si="4"/>
        <v>4856250</v>
      </c>
      <c r="J22" s="271"/>
      <c r="K22" s="271"/>
      <c r="L22" s="271"/>
    </row>
    <row r="23" spans="1:12">
      <c r="A23" t="s">
        <v>368</v>
      </c>
      <c r="B23" s="272">
        <v>4944184</v>
      </c>
      <c r="C23" s="301" t="s">
        <v>882</v>
      </c>
      <c r="D23" s="273">
        <v>45621</v>
      </c>
      <c r="E23" s="271">
        <v>30</v>
      </c>
      <c r="F23" s="273">
        <f t="shared" si="1"/>
        <v>45651</v>
      </c>
      <c r="G23" s="271">
        <f t="shared" si="2"/>
        <v>6</v>
      </c>
      <c r="H23" s="271"/>
      <c r="I23" s="277">
        <f t="shared" si="4"/>
        <v>4944184</v>
      </c>
      <c r="J23" s="271"/>
      <c r="K23" s="271"/>
      <c r="L23" s="271"/>
    </row>
    <row r="24" spans="1:12">
      <c r="A24" t="s">
        <v>368</v>
      </c>
      <c r="B24" s="272">
        <v>2593670</v>
      </c>
      <c r="C24" s="301" t="s">
        <v>472</v>
      </c>
      <c r="D24" s="273">
        <v>45631</v>
      </c>
      <c r="E24" s="271">
        <v>30</v>
      </c>
      <c r="F24" s="273">
        <f t="shared" si="1"/>
        <v>45661</v>
      </c>
      <c r="G24" s="271">
        <f t="shared" si="2"/>
        <v>-4</v>
      </c>
      <c r="H24" s="277">
        <f t="shared" ref="H24:H27" si="5">B24</f>
        <v>2593670</v>
      </c>
      <c r="I24" s="277"/>
      <c r="J24" s="271"/>
      <c r="K24" s="271"/>
      <c r="L24" s="271"/>
    </row>
    <row r="25" spans="1:12">
      <c r="A25" t="s">
        <v>368</v>
      </c>
      <c r="B25" s="272">
        <v>47416980</v>
      </c>
      <c r="C25" s="301" t="s">
        <v>883</v>
      </c>
      <c r="D25" s="273">
        <v>45655</v>
      </c>
      <c r="E25" s="271">
        <v>30</v>
      </c>
      <c r="F25" s="273">
        <f t="shared" si="1"/>
        <v>45685</v>
      </c>
      <c r="G25" s="271">
        <f t="shared" si="2"/>
        <v>-28</v>
      </c>
      <c r="H25" s="277">
        <f t="shared" si="5"/>
        <v>47416980</v>
      </c>
      <c r="I25" s="271"/>
      <c r="J25" s="271"/>
      <c r="K25" s="271"/>
      <c r="L25" s="271"/>
    </row>
    <row r="26" spans="1:12">
      <c r="A26" t="s">
        <v>368</v>
      </c>
      <c r="B26" s="272">
        <v>5011650</v>
      </c>
      <c r="C26" s="301" t="s">
        <v>884</v>
      </c>
      <c r="D26" s="273">
        <v>45655</v>
      </c>
      <c r="E26" s="271">
        <v>30</v>
      </c>
      <c r="F26" s="273">
        <f t="shared" si="1"/>
        <v>45685</v>
      </c>
      <c r="G26" s="271">
        <f t="shared" si="2"/>
        <v>-28</v>
      </c>
      <c r="H26" s="277">
        <f t="shared" si="5"/>
        <v>5011650</v>
      </c>
      <c r="I26" s="271"/>
      <c r="J26" s="271"/>
      <c r="K26" s="271"/>
      <c r="L26" s="271"/>
    </row>
    <row r="27" spans="1:12">
      <c r="A27" t="s">
        <v>368</v>
      </c>
      <c r="B27" s="272">
        <v>5137524</v>
      </c>
      <c r="C27" s="301" t="s">
        <v>885</v>
      </c>
      <c r="D27" s="273">
        <v>45655</v>
      </c>
      <c r="E27" s="271">
        <v>30</v>
      </c>
      <c r="F27" s="273">
        <f t="shared" si="1"/>
        <v>45685</v>
      </c>
      <c r="G27" s="271">
        <f t="shared" si="2"/>
        <v>-28</v>
      </c>
      <c r="H27" s="277">
        <f t="shared" si="5"/>
        <v>5137524</v>
      </c>
      <c r="I27" s="271"/>
      <c r="J27" s="271"/>
      <c r="K27" s="271"/>
      <c r="L27" s="271"/>
    </row>
    <row r="28" spans="1:12">
      <c r="B28" s="351"/>
      <c r="C28" s="271"/>
      <c r="D28" s="273"/>
      <c r="E28" s="271"/>
      <c r="F28" s="273"/>
      <c r="G28" s="271"/>
      <c r="H28" s="277"/>
      <c r="I28" s="271"/>
      <c r="J28" s="271"/>
      <c r="K28" s="271"/>
      <c r="L28" s="271"/>
    </row>
    <row r="29" spans="1:12">
      <c r="A29" t="s">
        <v>778</v>
      </c>
      <c r="B29" s="351">
        <v>31635000</v>
      </c>
      <c r="C29" s="271">
        <v>819</v>
      </c>
      <c r="D29" s="273">
        <v>45598</v>
      </c>
      <c r="E29" s="271">
        <v>30</v>
      </c>
      <c r="F29" s="273">
        <f t="shared" si="1"/>
        <v>45628</v>
      </c>
      <c r="G29" s="271">
        <f t="shared" si="2"/>
        <v>29</v>
      </c>
      <c r="H29" s="277"/>
      <c r="I29" s="277">
        <f>B29</f>
        <v>31635000</v>
      </c>
      <c r="J29" s="271"/>
      <c r="K29" s="271"/>
      <c r="L29" s="271"/>
    </row>
    <row r="30" spans="1:12">
      <c r="B30" s="272"/>
      <c r="C30" s="271"/>
      <c r="D30" s="273"/>
      <c r="E30" s="271"/>
      <c r="F30" s="273"/>
      <c r="G30" s="271"/>
      <c r="H30" s="277"/>
      <c r="I30" s="271"/>
      <c r="J30" s="271"/>
      <c r="K30" s="271"/>
      <c r="L30" s="271"/>
    </row>
    <row r="31" spans="1:12">
      <c r="A31" t="s">
        <v>405</v>
      </c>
      <c r="B31" s="351">
        <v>263573280</v>
      </c>
      <c r="C31" s="271">
        <v>991</v>
      </c>
      <c r="D31" s="273">
        <v>45644</v>
      </c>
      <c r="E31" s="271">
        <v>30</v>
      </c>
      <c r="F31" s="273">
        <f t="shared" si="1"/>
        <v>45674</v>
      </c>
      <c r="G31" s="271">
        <f t="shared" si="2"/>
        <v>-17</v>
      </c>
      <c r="H31" s="277">
        <f>B31</f>
        <v>263573280</v>
      </c>
      <c r="I31" s="271"/>
      <c r="J31" s="277"/>
      <c r="K31" s="271"/>
      <c r="L31" s="271"/>
    </row>
    <row r="32" spans="1:12">
      <c r="A32" t="s">
        <v>405</v>
      </c>
      <c r="B32" s="351">
        <v>195716165</v>
      </c>
      <c r="C32" s="271">
        <v>990</v>
      </c>
      <c r="D32" s="273">
        <v>45644</v>
      </c>
      <c r="E32" s="271">
        <v>30</v>
      </c>
      <c r="F32" s="273">
        <f t="shared" si="1"/>
        <v>45674</v>
      </c>
      <c r="G32" s="271">
        <f t="shared" si="2"/>
        <v>-17</v>
      </c>
      <c r="H32" s="277">
        <f>B32</f>
        <v>195716165</v>
      </c>
      <c r="I32" s="271"/>
      <c r="J32" s="277"/>
      <c r="K32" s="271"/>
      <c r="L32" s="271"/>
    </row>
    <row r="33" spans="1:12">
      <c r="A33" t="s">
        <v>405</v>
      </c>
      <c r="B33" s="351">
        <v>258146422</v>
      </c>
      <c r="C33" s="271">
        <v>989</v>
      </c>
      <c r="D33" s="273">
        <v>45644</v>
      </c>
      <c r="E33" s="271">
        <v>30</v>
      </c>
      <c r="F33" s="273">
        <f t="shared" si="1"/>
        <v>45674</v>
      </c>
      <c r="G33" s="271">
        <f t="shared" si="2"/>
        <v>-17</v>
      </c>
      <c r="H33" s="277">
        <f>B33</f>
        <v>258146422</v>
      </c>
      <c r="I33" s="271"/>
      <c r="J33" s="277"/>
      <c r="K33" s="271"/>
      <c r="L33" s="271"/>
    </row>
    <row r="34" spans="1:12">
      <c r="A34" t="s">
        <v>405</v>
      </c>
      <c r="B34" s="351">
        <v>97381200</v>
      </c>
      <c r="C34" s="271">
        <v>948</v>
      </c>
      <c r="D34" s="273">
        <v>45619</v>
      </c>
      <c r="E34" s="271">
        <v>30</v>
      </c>
      <c r="F34" s="273">
        <f t="shared" si="1"/>
        <v>45649</v>
      </c>
      <c r="G34" s="271">
        <f t="shared" si="2"/>
        <v>8</v>
      </c>
      <c r="H34" s="277"/>
      <c r="I34" s="277">
        <f>B34</f>
        <v>97381200</v>
      </c>
      <c r="J34" s="277"/>
      <c r="K34" s="271"/>
      <c r="L34" s="271"/>
    </row>
    <row r="35" spans="1:12">
      <c r="A35" t="s">
        <v>405</v>
      </c>
      <c r="B35" s="351">
        <v>133422750</v>
      </c>
      <c r="C35" s="271">
        <v>943</v>
      </c>
      <c r="D35" s="273">
        <v>45618</v>
      </c>
      <c r="E35" s="271">
        <v>30</v>
      </c>
      <c r="F35" s="273">
        <f t="shared" si="1"/>
        <v>45648</v>
      </c>
      <c r="G35" s="271">
        <f t="shared" si="2"/>
        <v>9</v>
      </c>
      <c r="H35" s="277"/>
      <c r="I35" s="277">
        <f>B35</f>
        <v>133422750</v>
      </c>
      <c r="J35" s="277"/>
      <c r="K35" s="271"/>
      <c r="L35" s="271"/>
    </row>
    <row r="36" spans="1:12">
      <c r="A36" t="s">
        <v>405</v>
      </c>
      <c r="B36" s="351">
        <v>259527644</v>
      </c>
      <c r="C36" s="271">
        <v>897</v>
      </c>
      <c r="D36" s="273">
        <v>45608</v>
      </c>
      <c r="E36" s="271">
        <v>30</v>
      </c>
      <c r="F36" s="273">
        <f t="shared" si="1"/>
        <v>45638</v>
      </c>
      <c r="G36" s="271">
        <f t="shared" si="2"/>
        <v>19</v>
      </c>
      <c r="H36" s="277"/>
      <c r="I36" s="277">
        <f>B36</f>
        <v>259527644</v>
      </c>
      <c r="J36" s="277"/>
      <c r="K36" s="271"/>
      <c r="L36" s="271"/>
    </row>
    <row r="37" spans="1:12">
      <c r="A37" t="s">
        <v>405</v>
      </c>
      <c r="B37" s="351">
        <v>369633462</v>
      </c>
      <c r="C37" s="271">
        <v>851</v>
      </c>
      <c r="D37" s="273">
        <v>45598</v>
      </c>
      <c r="E37" s="271">
        <v>30</v>
      </c>
      <c r="F37" s="273">
        <f t="shared" si="1"/>
        <v>45628</v>
      </c>
      <c r="G37" s="271">
        <f t="shared" si="2"/>
        <v>29</v>
      </c>
      <c r="H37" s="277"/>
      <c r="I37" s="277">
        <f>B37</f>
        <v>369633462</v>
      </c>
      <c r="J37" s="271"/>
      <c r="K37" s="271"/>
      <c r="L37" s="271"/>
    </row>
    <row r="38" spans="1:12">
      <c r="A38" t="s">
        <v>405</v>
      </c>
      <c r="B38" s="351">
        <v>289827482</v>
      </c>
      <c r="C38" s="271">
        <v>847</v>
      </c>
      <c r="D38" s="273">
        <v>45597</v>
      </c>
      <c r="E38" s="271">
        <v>30</v>
      </c>
      <c r="F38" s="273">
        <f t="shared" si="1"/>
        <v>45627</v>
      </c>
      <c r="G38" s="271">
        <f t="shared" si="2"/>
        <v>30</v>
      </c>
      <c r="H38" s="277"/>
      <c r="I38" s="277">
        <f>B38</f>
        <v>289827482</v>
      </c>
      <c r="J38" s="271"/>
      <c r="K38" s="271"/>
      <c r="L38" s="271"/>
    </row>
    <row r="39" spans="1:12">
      <c r="A39" t="s">
        <v>405</v>
      </c>
      <c r="B39" s="351">
        <v>69901783</v>
      </c>
      <c r="C39" s="271">
        <v>813</v>
      </c>
      <c r="D39" s="273">
        <v>45591</v>
      </c>
      <c r="E39" s="271">
        <v>30</v>
      </c>
      <c r="F39" s="273">
        <f t="shared" si="1"/>
        <v>45621</v>
      </c>
      <c r="G39" s="271">
        <f t="shared" si="2"/>
        <v>36</v>
      </c>
      <c r="H39" s="277"/>
      <c r="I39" s="277"/>
      <c r="J39" s="277">
        <f>B39</f>
        <v>69901783</v>
      </c>
      <c r="K39" s="271"/>
      <c r="L39" s="271"/>
    </row>
    <row r="40" spans="1:12">
      <c r="A40" t="s">
        <v>405</v>
      </c>
      <c r="B40" s="351">
        <v>132927190</v>
      </c>
      <c r="C40" s="271">
        <v>805</v>
      </c>
      <c r="D40" s="273">
        <v>45590</v>
      </c>
      <c r="E40" s="271">
        <v>30</v>
      </c>
      <c r="F40" s="273">
        <f t="shared" si="1"/>
        <v>45620</v>
      </c>
      <c r="G40" s="271">
        <f t="shared" si="2"/>
        <v>37</v>
      </c>
      <c r="H40" s="277"/>
      <c r="I40" s="277"/>
      <c r="J40" s="277">
        <f>B40</f>
        <v>132927190</v>
      </c>
      <c r="K40" s="271"/>
      <c r="L40" s="271"/>
    </row>
    <row r="41" spans="1:12">
      <c r="B41" s="351"/>
      <c r="C41" s="271"/>
      <c r="D41" s="273"/>
      <c r="E41" s="271"/>
      <c r="F41" s="273"/>
      <c r="G41" s="271"/>
      <c r="H41" s="277"/>
      <c r="I41" s="277"/>
      <c r="J41" s="271"/>
      <c r="K41" s="271"/>
      <c r="L41" s="271"/>
    </row>
    <row r="42" spans="1:12">
      <c r="B42" s="272"/>
      <c r="C42" s="271"/>
      <c r="D42" s="271"/>
      <c r="E42" s="271"/>
      <c r="F42" s="273"/>
      <c r="G42" s="271"/>
      <c r="H42" s="271"/>
      <c r="I42" s="271"/>
      <c r="J42" s="271"/>
      <c r="K42" s="271"/>
      <c r="L42" s="271"/>
    </row>
    <row r="43" spans="1:12">
      <c r="A43" t="s">
        <v>441</v>
      </c>
      <c r="B43" s="351">
        <v>23976000</v>
      </c>
      <c r="C43" s="271">
        <v>859</v>
      </c>
      <c r="D43" s="273">
        <v>45618</v>
      </c>
      <c r="E43" s="271">
        <v>30</v>
      </c>
      <c r="F43" s="273">
        <f t="shared" ref="F43:F49" si="6">D43+E43</f>
        <v>45648</v>
      </c>
      <c r="G43" s="271">
        <f t="shared" si="2"/>
        <v>9</v>
      </c>
      <c r="H43" s="277"/>
      <c r="I43" s="277">
        <f t="shared" ref="I43:I44" si="7">B43</f>
        <v>23976000</v>
      </c>
      <c r="J43" s="271"/>
      <c r="K43" s="271"/>
      <c r="L43" s="271"/>
    </row>
    <row r="44" spans="1:12">
      <c r="A44" t="s">
        <v>441</v>
      </c>
      <c r="B44" s="351">
        <v>23976000</v>
      </c>
      <c r="C44" s="271">
        <v>860</v>
      </c>
      <c r="D44" s="273">
        <v>45618</v>
      </c>
      <c r="E44" s="271">
        <v>30</v>
      </c>
      <c r="F44" s="273">
        <f t="shared" si="6"/>
        <v>45648</v>
      </c>
      <c r="G44" s="271">
        <f t="shared" si="2"/>
        <v>9</v>
      </c>
      <c r="H44" s="277"/>
      <c r="I44" s="277">
        <f t="shared" si="7"/>
        <v>23976000</v>
      </c>
      <c r="J44" s="271"/>
      <c r="K44" s="271"/>
      <c r="L44" s="271"/>
    </row>
    <row r="45" spans="1:12">
      <c r="A45" t="s">
        <v>441</v>
      </c>
      <c r="B45" s="351">
        <v>11188800</v>
      </c>
      <c r="C45" s="271">
        <v>908</v>
      </c>
      <c r="D45" s="273">
        <v>45635</v>
      </c>
      <c r="E45" s="271">
        <v>30</v>
      </c>
      <c r="F45" s="273">
        <f t="shared" si="6"/>
        <v>45665</v>
      </c>
      <c r="G45" s="271">
        <f t="shared" si="2"/>
        <v>-8</v>
      </c>
      <c r="H45" s="277">
        <f>B45</f>
        <v>11188800</v>
      </c>
      <c r="I45" s="271"/>
      <c r="J45" s="271"/>
      <c r="K45" s="271"/>
      <c r="L45" s="271"/>
    </row>
    <row r="46" spans="1:12">
      <c r="A46" s="271"/>
      <c r="B46" s="272"/>
      <c r="C46" s="271"/>
      <c r="D46" s="273"/>
      <c r="E46" s="271"/>
      <c r="F46" s="273"/>
      <c r="G46" s="271"/>
      <c r="H46" s="277"/>
      <c r="I46" s="271"/>
      <c r="J46" s="271"/>
      <c r="K46" s="271"/>
      <c r="L46" s="271"/>
    </row>
    <row r="47" spans="1:12">
      <c r="A47" s="269" t="s">
        <v>442</v>
      </c>
      <c r="B47" s="351">
        <v>3018928</v>
      </c>
      <c r="C47" s="271">
        <v>3527</v>
      </c>
      <c r="D47" s="273">
        <v>45653</v>
      </c>
      <c r="E47" s="271">
        <v>30</v>
      </c>
      <c r="F47" s="273">
        <f t="shared" si="6"/>
        <v>45683</v>
      </c>
      <c r="G47" s="271">
        <f t="shared" si="2"/>
        <v>-26</v>
      </c>
      <c r="H47" s="277">
        <f>B47</f>
        <v>3018928</v>
      </c>
      <c r="I47" s="277"/>
      <c r="J47" s="271"/>
      <c r="K47" s="271"/>
      <c r="L47" s="271"/>
    </row>
    <row r="48" spans="1:12">
      <c r="A48" s="269" t="s">
        <v>442</v>
      </c>
      <c r="B48" s="351">
        <f>2968625-538843</f>
        <v>2429782</v>
      </c>
      <c r="C48" s="271">
        <v>3287</v>
      </c>
      <c r="D48" s="273">
        <v>45627</v>
      </c>
      <c r="E48" s="271">
        <v>30</v>
      </c>
      <c r="F48" s="273">
        <f t="shared" si="6"/>
        <v>45657</v>
      </c>
      <c r="G48" s="271">
        <f t="shared" si="2"/>
        <v>0</v>
      </c>
      <c r="H48" s="277">
        <f>B48</f>
        <v>2429782</v>
      </c>
      <c r="I48" s="277"/>
      <c r="J48" s="271"/>
      <c r="K48" s="271"/>
      <c r="L48" s="271"/>
    </row>
    <row r="49" spans="1:12">
      <c r="A49" s="269" t="s">
        <v>442</v>
      </c>
      <c r="B49" s="351">
        <v>26987500</v>
      </c>
      <c r="C49" s="271">
        <v>3226</v>
      </c>
      <c r="D49" s="273">
        <v>45624</v>
      </c>
      <c r="E49" s="271">
        <v>30</v>
      </c>
      <c r="F49" s="273">
        <f t="shared" si="6"/>
        <v>45654</v>
      </c>
      <c r="G49" s="271">
        <f t="shared" si="2"/>
        <v>3</v>
      </c>
      <c r="H49" s="271"/>
      <c r="I49" s="277">
        <f>B49</f>
        <v>26987500</v>
      </c>
      <c r="J49" s="271"/>
      <c r="K49" s="271"/>
      <c r="L49" s="271"/>
    </row>
    <row r="50" spans="1:12">
      <c r="A50" s="269"/>
      <c r="B50" s="351"/>
      <c r="C50" s="271"/>
      <c r="D50" s="271"/>
      <c r="E50" s="271"/>
      <c r="F50" s="273"/>
      <c r="G50" s="271"/>
      <c r="H50" s="271"/>
      <c r="I50" s="271"/>
      <c r="J50" s="271"/>
      <c r="K50" s="271"/>
      <c r="L50" s="271"/>
    </row>
    <row r="51" spans="1:12">
      <c r="A51" s="271" t="s">
        <v>443</v>
      </c>
      <c r="B51" s="351">
        <v>20535000</v>
      </c>
      <c r="C51" s="271">
        <v>828</v>
      </c>
      <c r="D51" s="273">
        <v>45610</v>
      </c>
      <c r="E51" s="271">
        <v>30</v>
      </c>
      <c r="F51" s="273">
        <f t="shared" si="1"/>
        <v>45640</v>
      </c>
      <c r="G51" s="271">
        <f t="shared" si="2"/>
        <v>17</v>
      </c>
      <c r="H51" s="271"/>
      <c r="I51" s="277">
        <f>B51</f>
        <v>20535000</v>
      </c>
      <c r="J51" s="271"/>
      <c r="K51" s="271"/>
      <c r="L51" s="271"/>
    </row>
    <row r="52" spans="1:12">
      <c r="A52" s="271"/>
      <c r="B52" s="351"/>
      <c r="C52" s="271"/>
      <c r="D52" s="273"/>
      <c r="E52" s="271"/>
      <c r="F52" s="273"/>
      <c r="G52" s="271"/>
      <c r="H52" s="271"/>
      <c r="I52" s="277"/>
      <c r="J52" s="271"/>
      <c r="K52" s="271"/>
      <c r="L52" s="271"/>
    </row>
    <row r="53" spans="1:12">
      <c r="A53" s="269" t="s">
        <v>50</v>
      </c>
      <c r="B53" s="351">
        <v>1200000</v>
      </c>
      <c r="C53" s="352" t="s">
        <v>324</v>
      </c>
      <c r="D53" s="273">
        <v>45548</v>
      </c>
      <c r="E53" s="271">
        <v>30</v>
      </c>
      <c r="F53" s="273">
        <f t="shared" ref="F53:F81" si="8">D53+E53</f>
        <v>45578</v>
      </c>
      <c r="G53" s="271">
        <f t="shared" ref="G53:G69" si="9">$A$3-F53</f>
        <v>79</v>
      </c>
      <c r="H53" s="271"/>
      <c r="I53" s="271"/>
      <c r="J53" s="271"/>
      <c r="K53" s="277">
        <f>B53</f>
        <v>1200000</v>
      </c>
      <c r="L53" s="271"/>
    </row>
    <row r="54" spans="1:12">
      <c r="A54" s="269" t="s">
        <v>50</v>
      </c>
      <c r="B54" s="351">
        <v>825000</v>
      </c>
      <c r="C54" s="352" t="s">
        <v>887</v>
      </c>
      <c r="D54" s="273">
        <v>45586</v>
      </c>
      <c r="E54" s="271">
        <v>30</v>
      </c>
      <c r="F54" s="273">
        <f t="shared" si="8"/>
        <v>45616</v>
      </c>
      <c r="G54" s="271">
        <f t="shared" si="9"/>
        <v>41</v>
      </c>
      <c r="H54" s="271"/>
      <c r="I54" s="271"/>
      <c r="J54" s="277">
        <f t="shared" ref="J54:J57" si="10">B54</f>
        <v>825000</v>
      </c>
      <c r="K54" s="271"/>
      <c r="L54" s="271"/>
    </row>
    <row r="55" spans="1:12">
      <c r="A55" s="269" t="s">
        <v>50</v>
      </c>
      <c r="B55" s="351">
        <v>3363500</v>
      </c>
      <c r="C55" s="352" t="s">
        <v>339</v>
      </c>
      <c r="D55" s="273">
        <v>45588</v>
      </c>
      <c r="E55" s="271">
        <v>30</v>
      </c>
      <c r="F55" s="273">
        <f t="shared" si="8"/>
        <v>45618</v>
      </c>
      <c r="G55" s="271">
        <f t="shared" si="9"/>
        <v>39</v>
      </c>
      <c r="H55" s="271"/>
      <c r="I55" s="271"/>
      <c r="J55" s="277">
        <f t="shared" si="10"/>
        <v>3363500</v>
      </c>
      <c r="K55" s="271"/>
      <c r="L55" s="271"/>
    </row>
    <row r="56" spans="1:12">
      <c r="A56" s="269" t="s">
        <v>50</v>
      </c>
      <c r="B56" s="351">
        <v>4864000</v>
      </c>
      <c r="C56" s="352" t="s">
        <v>340</v>
      </c>
      <c r="D56" s="273">
        <v>45589</v>
      </c>
      <c r="E56" s="271">
        <v>30</v>
      </c>
      <c r="F56" s="273">
        <f t="shared" si="8"/>
        <v>45619</v>
      </c>
      <c r="G56" s="271">
        <f t="shared" si="9"/>
        <v>38</v>
      </c>
      <c r="H56" s="271"/>
      <c r="I56" s="271"/>
      <c r="J56" s="277">
        <f t="shared" si="10"/>
        <v>4864000</v>
      </c>
      <c r="K56" s="271"/>
      <c r="L56" s="271"/>
    </row>
    <row r="57" spans="1:12">
      <c r="A57" s="269" t="s">
        <v>50</v>
      </c>
      <c r="B57" s="351">
        <v>2340000</v>
      </c>
      <c r="C57" s="352" t="s">
        <v>341</v>
      </c>
      <c r="D57" s="273">
        <v>45594</v>
      </c>
      <c r="E57" s="271">
        <v>30</v>
      </c>
      <c r="F57" s="273">
        <f t="shared" si="8"/>
        <v>45624</v>
      </c>
      <c r="G57" s="271">
        <f t="shared" si="9"/>
        <v>33</v>
      </c>
      <c r="H57" s="271"/>
      <c r="I57" s="271"/>
      <c r="J57" s="277">
        <f t="shared" si="10"/>
        <v>2340000</v>
      </c>
      <c r="K57" s="271"/>
      <c r="L57" s="271"/>
    </row>
    <row r="58" spans="1:12">
      <c r="A58" s="269" t="s">
        <v>50</v>
      </c>
      <c r="B58" s="351">
        <v>1600000</v>
      </c>
      <c r="C58" s="352" t="s">
        <v>444</v>
      </c>
      <c r="D58" s="273">
        <v>45597</v>
      </c>
      <c r="E58" s="271">
        <v>30</v>
      </c>
      <c r="F58" s="273">
        <f t="shared" si="8"/>
        <v>45627</v>
      </c>
      <c r="G58" s="271">
        <f t="shared" si="9"/>
        <v>30</v>
      </c>
      <c r="H58" s="271"/>
      <c r="I58" s="277">
        <f t="shared" ref="I58:I66" si="11">B58</f>
        <v>1600000</v>
      </c>
      <c r="J58" s="271"/>
      <c r="K58" s="271"/>
      <c r="L58" s="271"/>
    </row>
    <row r="59" spans="1:12">
      <c r="A59" s="269" t="s">
        <v>50</v>
      </c>
      <c r="B59" s="351">
        <f>850500-1500</f>
        <v>849000</v>
      </c>
      <c r="C59" s="352" t="s">
        <v>888</v>
      </c>
      <c r="D59" s="273">
        <v>45601</v>
      </c>
      <c r="E59" s="271">
        <v>30</v>
      </c>
      <c r="F59" s="273">
        <f t="shared" si="8"/>
        <v>45631</v>
      </c>
      <c r="G59" s="271">
        <f t="shared" si="9"/>
        <v>26</v>
      </c>
      <c r="H59" s="271"/>
      <c r="I59" s="277">
        <f t="shared" si="11"/>
        <v>849000</v>
      </c>
      <c r="J59" s="271"/>
      <c r="K59" s="271"/>
      <c r="L59" s="271"/>
    </row>
    <row r="60" spans="1:12">
      <c r="A60" s="269" t="s">
        <v>50</v>
      </c>
      <c r="B60" s="351">
        <v>2280000</v>
      </c>
      <c r="C60" s="352" t="s">
        <v>889</v>
      </c>
      <c r="D60" s="273">
        <v>45608</v>
      </c>
      <c r="E60" s="271">
        <v>30</v>
      </c>
      <c r="F60" s="273">
        <f t="shared" si="8"/>
        <v>45638</v>
      </c>
      <c r="G60" s="271">
        <f t="shared" si="9"/>
        <v>19</v>
      </c>
      <c r="H60" s="271"/>
      <c r="I60" s="277">
        <f t="shared" si="11"/>
        <v>2280000</v>
      </c>
      <c r="J60" s="271"/>
      <c r="K60" s="271"/>
      <c r="L60" s="271"/>
    </row>
    <row r="61" spans="1:12">
      <c r="A61" s="269" t="s">
        <v>50</v>
      </c>
      <c r="B61" s="351">
        <v>640000</v>
      </c>
      <c r="C61" s="352" t="s">
        <v>890</v>
      </c>
      <c r="D61" s="273">
        <v>45611</v>
      </c>
      <c r="E61" s="271">
        <v>30</v>
      </c>
      <c r="F61" s="273">
        <f t="shared" si="8"/>
        <v>45641</v>
      </c>
      <c r="G61" s="271">
        <f t="shared" si="9"/>
        <v>16</v>
      </c>
      <c r="H61" s="271"/>
      <c r="I61" s="277">
        <f t="shared" si="11"/>
        <v>640000</v>
      </c>
      <c r="J61" s="271"/>
      <c r="K61" s="271"/>
      <c r="L61" s="271"/>
    </row>
    <row r="62" spans="1:12">
      <c r="A62" s="269" t="s">
        <v>50</v>
      </c>
      <c r="B62" s="351">
        <v>1540000</v>
      </c>
      <c r="C62" s="352" t="s">
        <v>891</v>
      </c>
      <c r="D62" s="273">
        <v>45611</v>
      </c>
      <c r="E62" s="271">
        <v>30</v>
      </c>
      <c r="F62" s="273">
        <f t="shared" si="8"/>
        <v>45641</v>
      </c>
      <c r="G62" s="271">
        <f t="shared" si="9"/>
        <v>16</v>
      </c>
      <c r="H62" s="271"/>
      <c r="I62" s="277">
        <f t="shared" si="11"/>
        <v>1540000</v>
      </c>
      <c r="J62" s="271"/>
      <c r="K62" s="271"/>
      <c r="L62" s="271"/>
    </row>
    <row r="63" spans="1:12">
      <c r="A63" s="269" t="s">
        <v>50</v>
      </c>
      <c r="B63" s="351">
        <v>1600000</v>
      </c>
      <c r="C63" s="352" t="s">
        <v>892</v>
      </c>
      <c r="D63" s="273">
        <v>45615</v>
      </c>
      <c r="E63" s="271">
        <v>30</v>
      </c>
      <c r="F63" s="273">
        <f t="shared" si="8"/>
        <v>45645</v>
      </c>
      <c r="G63" s="271">
        <f t="shared" si="9"/>
        <v>12</v>
      </c>
      <c r="H63" s="271"/>
      <c r="I63" s="277">
        <f t="shared" si="11"/>
        <v>1600000</v>
      </c>
      <c r="J63" s="271"/>
      <c r="K63" s="271"/>
      <c r="L63" s="271"/>
    </row>
    <row r="64" spans="1:12">
      <c r="A64" s="269" t="s">
        <v>50</v>
      </c>
      <c r="B64" s="351">
        <v>580000</v>
      </c>
      <c r="C64" s="352" t="s">
        <v>893</v>
      </c>
      <c r="D64" s="273">
        <v>45615</v>
      </c>
      <c r="E64" s="271">
        <v>30</v>
      </c>
      <c r="F64" s="273">
        <f t="shared" si="8"/>
        <v>45645</v>
      </c>
      <c r="G64" s="271">
        <f t="shared" si="9"/>
        <v>12</v>
      </c>
      <c r="H64" s="271"/>
      <c r="I64" s="277">
        <f t="shared" si="11"/>
        <v>580000</v>
      </c>
      <c r="J64" s="271"/>
      <c r="K64" s="271"/>
      <c r="L64" s="271"/>
    </row>
    <row r="65" spans="1:13">
      <c r="A65" s="269" t="s">
        <v>50</v>
      </c>
      <c r="B65" s="351">
        <v>718000</v>
      </c>
      <c r="C65" s="352" t="s">
        <v>894</v>
      </c>
      <c r="D65" s="273">
        <v>45615</v>
      </c>
      <c r="E65" s="271">
        <v>30</v>
      </c>
      <c r="F65" s="273">
        <f t="shared" si="8"/>
        <v>45645</v>
      </c>
      <c r="G65" s="271">
        <f t="shared" si="9"/>
        <v>12</v>
      </c>
      <c r="H65" s="271"/>
      <c r="I65" s="277">
        <f t="shared" si="11"/>
        <v>718000</v>
      </c>
      <c r="J65" s="271"/>
      <c r="K65" s="271"/>
      <c r="L65" s="271"/>
    </row>
    <row r="66" spans="1:13">
      <c r="A66" s="269" t="s">
        <v>50</v>
      </c>
      <c r="B66" s="351">
        <v>1005000</v>
      </c>
      <c r="C66" s="352" t="s">
        <v>470</v>
      </c>
      <c r="D66" s="273">
        <v>45626</v>
      </c>
      <c r="E66" s="271">
        <v>30</v>
      </c>
      <c r="F66" s="273">
        <f t="shared" si="8"/>
        <v>45656</v>
      </c>
      <c r="G66" s="271">
        <f t="shared" si="9"/>
        <v>1</v>
      </c>
      <c r="H66" s="271"/>
      <c r="I66" s="277">
        <f t="shared" si="11"/>
        <v>1005000</v>
      </c>
      <c r="J66" s="271"/>
      <c r="K66" s="271"/>
      <c r="L66" s="271"/>
    </row>
    <row r="67" spans="1:13">
      <c r="A67" s="269" t="s">
        <v>50</v>
      </c>
      <c r="B67" s="351">
        <v>1342500</v>
      </c>
      <c r="C67" s="352" t="s">
        <v>895</v>
      </c>
      <c r="D67" s="273">
        <v>45629</v>
      </c>
      <c r="E67" s="271">
        <v>30</v>
      </c>
      <c r="F67" s="273">
        <f t="shared" si="8"/>
        <v>45659</v>
      </c>
      <c r="G67" s="271">
        <f t="shared" si="9"/>
        <v>-2</v>
      </c>
      <c r="H67" s="277">
        <f t="shared" ref="H67:H70" si="12">B67</f>
        <v>1342500</v>
      </c>
      <c r="I67" s="271"/>
      <c r="J67" s="271"/>
      <c r="K67" s="271"/>
      <c r="L67" s="271"/>
    </row>
    <row r="68" spans="1:13">
      <c r="A68" s="269" t="s">
        <v>50</v>
      </c>
      <c r="B68" s="351">
        <v>105000</v>
      </c>
      <c r="C68" s="352" t="s">
        <v>896</v>
      </c>
      <c r="D68" s="273">
        <v>45637</v>
      </c>
      <c r="E68" s="271">
        <v>30</v>
      </c>
      <c r="F68" s="273">
        <f t="shared" si="8"/>
        <v>45667</v>
      </c>
      <c r="G68" s="271">
        <f t="shared" si="9"/>
        <v>-10</v>
      </c>
      <c r="H68" s="277">
        <f t="shared" si="12"/>
        <v>105000</v>
      </c>
      <c r="I68" s="271"/>
      <c r="J68" s="271"/>
      <c r="K68" s="271"/>
      <c r="L68" s="271"/>
    </row>
    <row r="69" spans="1:13">
      <c r="A69" s="269" t="s">
        <v>50</v>
      </c>
      <c r="B69" s="351">
        <v>350000</v>
      </c>
      <c r="C69" s="352" t="s">
        <v>897</v>
      </c>
      <c r="D69" s="273">
        <v>45643</v>
      </c>
      <c r="E69" s="271">
        <v>30</v>
      </c>
      <c r="F69" s="273">
        <f t="shared" si="8"/>
        <v>45673</v>
      </c>
      <c r="G69" s="271">
        <f t="shared" si="9"/>
        <v>-16</v>
      </c>
      <c r="H69" s="277">
        <f t="shared" si="12"/>
        <v>350000</v>
      </c>
      <c r="I69" s="271"/>
      <c r="J69" s="271"/>
      <c r="K69" s="271"/>
      <c r="L69" s="271"/>
    </row>
    <row r="70" spans="1:13">
      <c r="A70" s="269" t="s">
        <v>50</v>
      </c>
      <c r="B70" s="272">
        <v>300000</v>
      </c>
      <c r="C70" s="352" t="s">
        <v>452</v>
      </c>
      <c r="D70" s="273">
        <v>45646</v>
      </c>
      <c r="E70" s="271">
        <v>30</v>
      </c>
      <c r="F70" s="273">
        <f t="shared" si="8"/>
        <v>45676</v>
      </c>
      <c r="G70" s="271">
        <f t="shared" si="2"/>
        <v>-19</v>
      </c>
      <c r="H70" s="277">
        <f t="shared" si="12"/>
        <v>300000</v>
      </c>
      <c r="I70" s="271"/>
      <c r="J70" s="271"/>
      <c r="K70" s="271"/>
      <c r="L70" s="271"/>
    </row>
    <row r="71" spans="1:13">
      <c r="A71" s="271"/>
      <c r="B71" s="272"/>
      <c r="C71" s="271"/>
      <c r="D71" s="271"/>
      <c r="E71" s="271"/>
      <c r="F71" s="273"/>
      <c r="G71" s="271"/>
      <c r="H71" s="271"/>
      <c r="I71" s="271"/>
      <c r="J71" s="271"/>
      <c r="K71" s="271"/>
      <c r="L71" s="271"/>
    </row>
    <row r="72" spans="1:13">
      <c r="A72" s="271" t="s">
        <v>35</v>
      </c>
      <c r="B72" s="351">
        <v>596070</v>
      </c>
      <c r="C72" s="271">
        <v>956</v>
      </c>
      <c r="D72" s="273">
        <v>45657</v>
      </c>
      <c r="E72" s="271">
        <v>30</v>
      </c>
      <c r="F72" s="273">
        <f t="shared" si="8"/>
        <v>45687</v>
      </c>
      <c r="G72" s="271">
        <f t="shared" si="2"/>
        <v>-30</v>
      </c>
      <c r="H72" s="277">
        <f>B72</f>
        <v>596070</v>
      </c>
      <c r="I72" s="271"/>
      <c r="J72" s="271"/>
      <c r="K72" s="271"/>
      <c r="L72" s="271"/>
    </row>
    <row r="73" spans="1:13">
      <c r="A73" s="271" t="s">
        <v>35</v>
      </c>
      <c r="B73" s="351">
        <v>188700</v>
      </c>
      <c r="C73" s="271">
        <v>955</v>
      </c>
      <c r="D73" s="273">
        <v>45657</v>
      </c>
      <c r="E73" s="271">
        <v>30</v>
      </c>
      <c r="F73" s="273">
        <f t="shared" si="8"/>
        <v>45687</v>
      </c>
      <c r="G73" s="271">
        <f t="shared" si="2"/>
        <v>-30</v>
      </c>
      <c r="H73" s="277">
        <f>B73</f>
        <v>188700</v>
      </c>
      <c r="I73" s="271"/>
      <c r="J73" s="271"/>
      <c r="K73" s="271"/>
      <c r="L73" s="271"/>
    </row>
    <row r="74" spans="1:13">
      <c r="A74" s="271" t="s">
        <v>35</v>
      </c>
      <c r="B74" s="351">
        <v>421800</v>
      </c>
      <c r="C74" s="271">
        <v>931</v>
      </c>
      <c r="D74" s="273">
        <v>45643</v>
      </c>
      <c r="E74" s="271">
        <v>30</v>
      </c>
      <c r="F74" s="273">
        <f t="shared" si="8"/>
        <v>45673</v>
      </c>
      <c r="G74" s="271">
        <f t="shared" si="2"/>
        <v>-16</v>
      </c>
      <c r="H74" s="277">
        <f>B74</f>
        <v>421800</v>
      </c>
      <c r="I74" s="271"/>
      <c r="J74" s="271"/>
      <c r="K74" s="271"/>
      <c r="L74" s="271"/>
    </row>
    <row r="75" spans="1:13">
      <c r="A75" s="271" t="s">
        <v>35</v>
      </c>
      <c r="B75" s="351">
        <v>255300</v>
      </c>
      <c r="C75" s="271">
        <v>922</v>
      </c>
      <c r="D75" s="273">
        <v>45637</v>
      </c>
      <c r="E75" s="271">
        <v>30</v>
      </c>
      <c r="F75" s="273">
        <f t="shared" si="8"/>
        <v>45667</v>
      </c>
      <c r="G75" s="271">
        <f t="shared" si="2"/>
        <v>-10</v>
      </c>
      <c r="H75" s="277">
        <f>B75</f>
        <v>255300</v>
      </c>
      <c r="I75" s="271"/>
      <c r="J75" s="271"/>
      <c r="K75" s="271"/>
      <c r="L75" s="271"/>
    </row>
    <row r="76" spans="1:13">
      <c r="A76" s="271" t="s">
        <v>35</v>
      </c>
      <c r="B76" s="351">
        <v>16183800</v>
      </c>
      <c r="C76" s="271">
        <v>890</v>
      </c>
      <c r="D76" s="273">
        <v>45629</v>
      </c>
      <c r="E76" s="271">
        <v>30</v>
      </c>
      <c r="F76" s="273">
        <f t="shared" si="8"/>
        <v>45659</v>
      </c>
      <c r="G76" s="271">
        <f t="shared" si="2"/>
        <v>-2</v>
      </c>
      <c r="H76" s="277">
        <f>B76</f>
        <v>16183800</v>
      </c>
      <c r="I76" s="271"/>
      <c r="J76" s="271"/>
      <c r="K76" s="271"/>
      <c r="L76" s="271"/>
    </row>
    <row r="77" spans="1:13">
      <c r="A77" s="271"/>
      <c r="B77" s="272"/>
      <c r="C77" s="271"/>
      <c r="D77" s="271"/>
      <c r="E77" s="271"/>
      <c r="F77" s="273"/>
      <c r="G77" s="271"/>
      <c r="H77" s="271"/>
      <c r="I77" s="271"/>
      <c r="J77" s="271"/>
      <c r="K77" s="271"/>
      <c r="L77" s="271"/>
    </row>
    <row r="78" spans="1:13">
      <c r="A78" s="271" t="s">
        <v>282</v>
      </c>
      <c r="B78" s="351">
        <v>11094848</v>
      </c>
      <c r="C78" s="271">
        <v>952</v>
      </c>
      <c r="D78" s="273">
        <v>45656</v>
      </c>
      <c r="E78" s="271">
        <v>30</v>
      </c>
      <c r="F78" s="273">
        <f t="shared" si="8"/>
        <v>45686</v>
      </c>
      <c r="G78" s="271">
        <f t="shared" si="2"/>
        <v>-29</v>
      </c>
      <c r="H78" s="277">
        <f>B78</f>
        <v>11094848</v>
      </c>
      <c r="I78" s="271"/>
      <c r="J78" s="271"/>
      <c r="K78" s="271"/>
      <c r="L78" s="277"/>
      <c r="M78" t="s">
        <v>898</v>
      </c>
    </row>
    <row r="79" spans="1:13">
      <c r="A79" s="271" t="s">
        <v>282</v>
      </c>
      <c r="B79" s="351">
        <v>11094849</v>
      </c>
      <c r="C79" s="271">
        <v>812</v>
      </c>
      <c r="D79" s="273">
        <v>45607</v>
      </c>
      <c r="E79" s="271">
        <v>30</v>
      </c>
      <c r="F79" s="273">
        <f t="shared" si="8"/>
        <v>45637</v>
      </c>
      <c r="G79" s="271">
        <f t="shared" si="2"/>
        <v>20</v>
      </c>
      <c r="H79" s="271"/>
      <c r="I79" s="277">
        <f>B79</f>
        <v>11094849</v>
      </c>
      <c r="J79" s="277"/>
      <c r="K79" s="271"/>
      <c r="L79" s="277"/>
    </row>
    <row r="80" spans="1:13">
      <c r="A80" s="271" t="s">
        <v>282</v>
      </c>
      <c r="B80" s="351">
        <v>11094849</v>
      </c>
      <c r="C80" s="271">
        <v>681</v>
      </c>
      <c r="D80" s="273">
        <v>45560</v>
      </c>
      <c r="E80" s="271">
        <v>30</v>
      </c>
      <c r="F80" s="273">
        <f t="shared" si="8"/>
        <v>45590</v>
      </c>
      <c r="G80" s="271">
        <f t="shared" si="2"/>
        <v>67</v>
      </c>
      <c r="H80" s="277"/>
      <c r="I80" s="277"/>
      <c r="J80" s="271"/>
      <c r="K80" s="277">
        <f>B80</f>
        <v>11094849</v>
      </c>
      <c r="L80" s="271"/>
    </row>
    <row r="81" spans="1:12">
      <c r="A81" s="271" t="s">
        <v>282</v>
      </c>
      <c r="B81" s="351">
        <v>11094849</v>
      </c>
      <c r="C81" s="271">
        <v>635</v>
      </c>
      <c r="D81" s="273">
        <v>45547</v>
      </c>
      <c r="E81" s="271">
        <v>30</v>
      </c>
      <c r="F81" s="273">
        <f t="shared" si="8"/>
        <v>45577</v>
      </c>
      <c r="G81" s="271">
        <f t="shared" si="2"/>
        <v>80</v>
      </c>
      <c r="H81" s="277"/>
      <c r="I81" s="277"/>
      <c r="J81" s="271"/>
      <c r="K81" s="277">
        <f>B81</f>
        <v>11094849</v>
      </c>
      <c r="L81" s="271"/>
    </row>
    <row r="82" spans="1:12">
      <c r="A82" s="271"/>
      <c r="B82" s="351"/>
      <c r="C82" s="271"/>
      <c r="D82" s="273"/>
      <c r="E82" s="271"/>
      <c r="F82" s="273"/>
      <c r="G82" s="271"/>
      <c r="H82" s="277"/>
      <c r="I82" s="277"/>
      <c r="J82" s="271"/>
      <c r="K82" s="271"/>
      <c r="L82" s="271"/>
    </row>
    <row r="83" spans="1:12">
      <c r="A83" s="271"/>
      <c r="B83" s="272"/>
      <c r="C83" s="271"/>
      <c r="D83" s="271"/>
      <c r="E83" s="271"/>
      <c r="F83" s="273"/>
      <c r="G83" s="271"/>
      <c r="H83" s="271"/>
      <c r="I83" s="271"/>
      <c r="J83" s="271"/>
      <c r="K83" s="271"/>
      <c r="L83" s="271"/>
    </row>
    <row r="84" spans="1:12">
      <c r="A84" s="271" t="s">
        <v>250</v>
      </c>
      <c r="B84" s="351">
        <v>199585238.75</v>
      </c>
      <c r="C84" s="271">
        <v>962</v>
      </c>
      <c r="D84" s="273">
        <v>45624</v>
      </c>
      <c r="E84" s="271">
        <v>30</v>
      </c>
      <c r="F84" s="273">
        <f t="shared" si="1"/>
        <v>45654</v>
      </c>
      <c r="G84" s="271">
        <f t="shared" si="2"/>
        <v>3</v>
      </c>
      <c r="H84" s="277"/>
      <c r="I84" s="277">
        <f>B84</f>
        <v>199585238.75</v>
      </c>
      <c r="J84" s="271"/>
      <c r="K84" s="271"/>
      <c r="L84" s="271"/>
    </row>
    <row r="85" spans="1:12">
      <c r="A85" s="271"/>
      <c r="B85" s="272"/>
      <c r="C85" s="271"/>
      <c r="D85" s="271"/>
      <c r="E85" s="271"/>
      <c r="F85" s="273"/>
      <c r="G85" s="271"/>
      <c r="H85" s="271"/>
      <c r="I85" s="271"/>
      <c r="J85" s="271"/>
      <c r="K85" s="271"/>
      <c r="L85" s="271"/>
    </row>
    <row r="86" spans="1:12">
      <c r="A86" s="271" t="s">
        <v>780</v>
      </c>
      <c r="B86" s="351">
        <v>10509480</v>
      </c>
      <c r="C86" s="291" t="s">
        <v>899</v>
      </c>
      <c r="D86" s="273">
        <v>45611</v>
      </c>
      <c r="E86" s="271">
        <v>30</v>
      </c>
      <c r="F86" s="273">
        <f t="shared" ref="F86:F91" si="13">D86+E86</f>
        <v>45641</v>
      </c>
      <c r="G86" s="271">
        <f t="shared" si="2"/>
        <v>16</v>
      </c>
      <c r="H86" s="277"/>
      <c r="I86" s="277">
        <f t="shared" ref="I86:I88" si="14">B86</f>
        <v>10509480</v>
      </c>
      <c r="J86" s="271"/>
      <c r="K86" s="271"/>
      <c r="L86" s="271"/>
    </row>
    <row r="87" spans="1:12">
      <c r="A87" s="271" t="s">
        <v>780</v>
      </c>
      <c r="B87" s="272">
        <v>16056150</v>
      </c>
      <c r="C87" s="291" t="s">
        <v>900</v>
      </c>
      <c r="D87" s="273">
        <v>45611</v>
      </c>
      <c r="E87" s="271">
        <v>30</v>
      </c>
      <c r="F87" s="273">
        <f t="shared" si="13"/>
        <v>45641</v>
      </c>
      <c r="G87" s="271">
        <f t="shared" si="2"/>
        <v>16</v>
      </c>
      <c r="H87" s="277"/>
      <c r="I87" s="277">
        <f t="shared" si="14"/>
        <v>16056150</v>
      </c>
      <c r="J87" s="271"/>
      <c r="K87" s="271"/>
      <c r="L87" s="271"/>
    </row>
    <row r="88" spans="1:12">
      <c r="A88" s="271" t="s">
        <v>780</v>
      </c>
      <c r="B88" s="272">
        <v>10509480</v>
      </c>
      <c r="C88" s="291" t="s">
        <v>901</v>
      </c>
      <c r="D88" s="273">
        <v>45615</v>
      </c>
      <c r="E88" s="271">
        <v>30</v>
      </c>
      <c r="F88" s="273">
        <f t="shared" si="13"/>
        <v>45645</v>
      </c>
      <c r="G88" s="271">
        <f t="shared" si="2"/>
        <v>12</v>
      </c>
      <c r="H88" s="277"/>
      <c r="I88" s="277">
        <f t="shared" si="14"/>
        <v>10509480</v>
      </c>
      <c r="J88" s="271"/>
      <c r="K88" s="271"/>
      <c r="L88" s="271"/>
    </row>
    <row r="89" spans="1:12">
      <c r="A89" s="271" t="s">
        <v>780</v>
      </c>
      <c r="B89" s="272">
        <v>8174040</v>
      </c>
      <c r="C89" s="291" t="s">
        <v>902</v>
      </c>
      <c r="D89" s="273">
        <v>45633</v>
      </c>
      <c r="E89" s="271">
        <v>30</v>
      </c>
      <c r="F89" s="273">
        <f t="shared" si="13"/>
        <v>45663</v>
      </c>
      <c r="G89" s="271">
        <f t="shared" si="2"/>
        <v>-6</v>
      </c>
      <c r="H89" s="277">
        <f t="shared" ref="H89:H91" si="15">B89</f>
        <v>8174040</v>
      </c>
      <c r="I89" s="271"/>
      <c r="J89" s="271"/>
      <c r="K89" s="271"/>
      <c r="L89" s="271"/>
    </row>
    <row r="90" spans="1:12">
      <c r="A90" s="271" t="s">
        <v>780</v>
      </c>
      <c r="B90" s="272">
        <v>5254740</v>
      </c>
      <c r="C90" s="291" t="s">
        <v>903</v>
      </c>
      <c r="D90" s="273">
        <v>45637</v>
      </c>
      <c r="E90" s="271">
        <v>30</v>
      </c>
      <c r="F90" s="273">
        <f t="shared" si="13"/>
        <v>45667</v>
      </c>
      <c r="G90" s="271">
        <f t="shared" si="2"/>
        <v>-10</v>
      </c>
      <c r="H90" s="277">
        <f t="shared" si="15"/>
        <v>5254740</v>
      </c>
      <c r="I90" s="271"/>
      <c r="J90" s="271"/>
      <c r="K90" s="271"/>
      <c r="L90" s="271"/>
    </row>
    <row r="91" spans="1:12">
      <c r="A91" s="271" t="s">
        <v>780</v>
      </c>
      <c r="B91" s="272">
        <v>20727030</v>
      </c>
      <c r="C91" s="291" t="s">
        <v>478</v>
      </c>
      <c r="D91" s="273">
        <v>45650</v>
      </c>
      <c r="E91" s="271">
        <v>30</v>
      </c>
      <c r="F91" s="273">
        <f t="shared" si="13"/>
        <v>45680</v>
      </c>
      <c r="G91" s="271">
        <f t="shared" si="2"/>
        <v>-23</v>
      </c>
      <c r="H91" s="277">
        <f t="shared" si="15"/>
        <v>20727030</v>
      </c>
      <c r="I91" s="271"/>
      <c r="J91" s="271"/>
      <c r="K91" s="271"/>
      <c r="L91" s="271"/>
    </row>
    <row r="92" spans="1:12">
      <c r="A92" s="271"/>
      <c r="B92" s="272"/>
      <c r="C92" s="271"/>
      <c r="D92" s="273"/>
      <c r="E92" s="271"/>
      <c r="F92" s="273"/>
      <c r="G92" s="271"/>
      <c r="H92" s="277"/>
      <c r="I92" s="271"/>
      <c r="J92" s="271"/>
      <c r="K92" s="271"/>
      <c r="L92" s="271"/>
    </row>
    <row r="93" spans="1:12">
      <c r="A93" s="269" t="s">
        <v>867</v>
      </c>
      <c r="B93" s="351">
        <v>27283556</v>
      </c>
      <c r="C93" s="271">
        <v>3470</v>
      </c>
      <c r="D93" s="273">
        <v>45647</v>
      </c>
      <c r="E93" s="271">
        <v>30</v>
      </c>
      <c r="F93" s="273">
        <f t="shared" ref="F93:F94" si="16">D93+E93</f>
        <v>45677</v>
      </c>
      <c r="G93" s="271">
        <f t="shared" ref="G93:G94" si="17">$A$3-F93</f>
        <v>-20</v>
      </c>
      <c r="H93" s="277">
        <f t="shared" ref="H93:H94" si="18">B93</f>
        <v>27283556</v>
      </c>
      <c r="I93" s="271"/>
      <c r="J93" s="271"/>
      <c r="K93" s="271"/>
      <c r="L93" s="271"/>
    </row>
    <row r="94" spans="1:12">
      <c r="A94" s="269" t="s">
        <v>867</v>
      </c>
      <c r="B94" s="351">
        <v>27551908</v>
      </c>
      <c r="C94" s="271">
        <v>3520</v>
      </c>
      <c r="D94" s="273">
        <v>45656</v>
      </c>
      <c r="E94" s="271">
        <v>30</v>
      </c>
      <c r="F94" s="273">
        <f t="shared" si="16"/>
        <v>45686</v>
      </c>
      <c r="G94" s="271">
        <f t="shared" si="17"/>
        <v>-29</v>
      </c>
      <c r="H94" s="277">
        <f t="shared" si="18"/>
        <v>27551908</v>
      </c>
      <c r="I94" s="271"/>
      <c r="J94" s="271"/>
      <c r="K94" s="271"/>
      <c r="L94" s="271"/>
    </row>
    <row r="95" spans="1:12">
      <c r="A95" s="269"/>
      <c r="B95" s="351"/>
      <c r="C95" s="271"/>
      <c r="D95" s="271"/>
      <c r="E95" s="271"/>
      <c r="F95" s="273"/>
      <c r="G95" s="271"/>
      <c r="H95" s="271"/>
      <c r="I95" s="271"/>
      <c r="J95" s="271"/>
      <c r="K95" s="271"/>
      <c r="L95" s="271"/>
    </row>
    <row r="96" spans="1:12">
      <c r="A96" s="269" t="s">
        <v>868</v>
      </c>
      <c r="B96" s="351">
        <v>333500475</v>
      </c>
      <c r="C96" s="271">
        <v>983</v>
      </c>
      <c r="D96" s="273">
        <v>45643</v>
      </c>
      <c r="E96" s="271">
        <v>30</v>
      </c>
      <c r="F96" s="273">
        <f t="shared" ref="F96:F97" si="19">D96+E96</f>
        <v>45673</v>
      </c>
      <c r="G96" s="271">
        <f t="shared" ref="G96:G97" si="20">$A$3-F96</f>
        <v>-16</v>
      </c>
      <c r="H96" s="277">
        <f t="shared" ref="H96:H97" si="21">B96</f>
        <v>333500475</v>
      </c>
      <c r="I96" s="271"/>
      <c r="J96" s="271"/>
      <c r="K96" s="271"/>
      <c r="L96" s="271"/>
    </row>
    <row r="97" spans="1:12">
      <c r="A97" s="269" t="s">
        <v>868</v>
      </c>
      <c r="B97" s="351">
        <v>315048300</v>
      </c>
      <c r="C97" s="271">
        <v>988</v>
      </c>
      <c r="D97" s="273">
        <v>45644</v>
      </c>
      <c r="E97" s="271">
        <v>30</v>
      </c>
      <c r="F97" s="273">
        <f t="shared" si="19"/>
        <v>45674</v>
      </c>
      <c r="G97" s="271">
        <f t="shared" si="20"/>
        <v>-17</v>
      </c>
      <c r="H97" s="277">
        <f t="shared" si="21"/>
        <v>315048300</v>
      </c>
      <c r="I97" s="271"/>
      <c r="J97" s="271"/>
      <c r="K97" s="271"/>
      <c r="L97" s="271"/>
    </row>
    <row r="98" spans="1:12">
      <c r="A98" s="269"/>
      <c r="B98" s="351"/>
      <c r="C98" s="271"/>
      <c r="D98" s="271"/>
      <c r="E98" s="271"/>
      <c r="F98" s="273"/>
      <c r="G98" s="271"/>
      <c r="H98" s="271"/>
      <c r="I98" s="271"/>
      <c r="J98" s="271"/>
      <c r="K98" s="271"/>
      <c r="L98" s="271"/>
    </row>
    <row r="99" spans="1:12">
      <c r="A99" s="269" t="s">
        <v>81</v>
      </c>
      <c r="B99" s="351">
        <v>5993112</v>
      </c>
      <c r="C99" s="271">
        <v>854</v>
      </c>
      <c r="D99" s="273">
        <v>45617</v>
      </c>
      <c r="E99" s="271">
        <v>30</v>
      </c>
      <c r="F99" s="273">
        <f t="shared" ref="F99:F103" si="22">D99+E99</f>
        <v>45647</v>
      </c>
      <c r="G99" s="271">
        <f t="shared" ref="G99:G103" si="23">$A$3-F99</f>
        <v>10</v>
      </c>
      <c r="H99" s="271"/>
      <c r="I99" s="277">
        <f t="shared" ref="I99:I101" si="24">B99</f>
        <v>5993112</v>
      </c>
      <c r="J99" s="271"/>
      <c r="K99" s="271"/>
      <c r="L99" s="271"/>
    </row>
    <row r="100" spans="1:12">
      <c r="A100" s="269" t="s">
        <v>81</v>
      </c>
      <c r="B100" s="351">
        <v>11604107</v>
      </c>
      <c r="C100" s="271">
        <v>858</v>
      </c>
      <c r="D100" s="273">
        <v>45618</v>
      </c>
      <c r="E100" s="271">
        <v>30</v>
      </c>
      <c r="F100" s="273">
        <f t="shared" si="22"/>
        <v>45648</v>
      </c>
      <c r="G100" s="271">
        <f t="shared" si="23"/>
        <v>9</v>
      </c>
      <c r="H100" s="271"/>
      <c r="I100" s="277">
        <f t="shared" si="24"/>
        <v>11604107</v>
      </c>
      <c r="J100" s="271"/>
      <c r="K100" s="271"/>
      <c r="L100" s="271"/>
    </row>
    <row r="101" spans="1:12">
      <c r="A101" s="269" t="s">
        <v>81</v>
      </c>
      <c r="B101" s="351">
        <v>5134527</v>
      </c>
      <c r="C101" s="271">
        <v>879</v>
      </c>
      <c r="D101" s="273">
        <v>45624</v>
      </c>
      <c r="E101" s="271">
        <v>30</v>
      </c>
      <c r="F101" s="273">
        <f t="shared" si="22"/>
        <v>45654</v>
      </c>
      <c r="G101" s="271">
        <f t="shared" si="23"/>
        <v>3</v>
      </c>
      <c r="H101" s="271"/>
      <c r="I101" s="277">
        <f t="shared" si="24"/>
        <v>5134527</v>
      </c>
      <c r="J101" s="271"/>
      <c r="K101" s="271"/>
      <c r="L101" s="271"/>
    </row>
    <row r="102" spans="1:12">
      <c r="A102" s="269" t="s">
        <v>81</v>
      </c>
      <c r="B102" s="351">
        <v>4937337</v>
      </c>
      <c r="C102" s="271">
        <v>933</v>
      </c>
      <c r="D102" s="273">
        <v>45649</v>
      </c>
      <c r="E102" s="271">
        <v>30</v>
      </c>
      <c r="F102" s="273">
        <f t="shared" si="22"/>
        <v>45679</v>
      </c>
      <c r="G102" s="271">
        <f t="shared" si="23"/>
        <v>-22</v>
      </c>
      <c r="H102" s="277">
        <f>B102</f>
        <v>4937337</v>
      </c>
      <c r="I102" s="271"/>
      <c r="J102" s="271"/>
      <c r="K102" s="271"/>
      <c r="L102" s="271"/>
    </row>
    <row r="103" spans="1:12">
      <c r="A103" s="269" t="s">
        <v>81</v>
      </c>
      <c r="B103" s="351">
        <v>1730000</v>
      </c>
      <c r="C103" s="271">
        <v>535</v>
      </c>
      <c r="D103" s="273">
        <v>45348</v>
      </c>
      <c r="E103" s="271">
        <v>30</v>
      </c>
      <c r="F103" s="273">
        <f t="shared" si="22"/>
        <v>45378</v>
      </c>
      <c r="G103" s="271">
        <f t="shared" si="23"/>
        <v>279</v>
      </c>
      <c r="H103" s="271"/>
      <c r="I103" s="271"/>
      <c r="J103" s="271"/>
      <c r="K103" s="271"/>
      <c r="L103" s="277">
        <f>B103</f>
        <v>1730000</v>
      </c>
    </row>
    <row r="104" spans="1:12">
      <c r="A104" s="271"/>
      <c r="B104" s="351"/>
      <c r="C104" s="271"/>
      <c r="D104" s="271"/>
      <c r="E104" s="271"/>
      <c r="F104" s="273"/>
      <c r="G104" s="271"/>
      <c r="H104" s="271"/>
      <c r="I104" s="271"/>
      <c r="J104" s="271"/>
      <c r="K104" s="271"/>
      <c r="L104" s="271"/>
    </row>
    <row r="105" spans="1:12">
      <c r="A105" s="271" t="s">
        <v>627</v>
      </c>
      <c r="B105" s="270">
        <v>154256572</v>
      </c>
      <c r="C105" s="271"/>
      <c r="D105" s="271"/>
      <c r="E105" s="271"/>
      <c r="F105" s="273"/>
      <c r="G105" s="271"/>
      <c r="H105" s="271"/>
      <c r="I105" s="277">
        <f>B105</f>
        <v>154256572</v>
      </c>
      <c r="J105" s="271"/>
      <c r="K105" s="271"/>
      <c r="L105" s="271"/>
    </row>
  </sheetData>
  <autoFilter ref="A5:L91" xr:uid="{D76EB0CE-ABF0-4932-9A27-E211A6BCE046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492B-25A5-454D-B534-9C1F6F02CC75}">
  <sheetPr>
    <tabColor rgb="FFFFFF00"/>
  </sheetPr>
  <dimension ref="A1:N115"/>
  <sheetViews>
    <sheetView showGridLines="0" tabSelected="1" workbookViewId="0">
      <pane xSplit="2" ySplit="6" topLeftCell="E105" activePane="bottomRight" state="frozen"/>
      <selection pane="topRight" activeCell="C1" sqref="C1"/>
      <selection pane="bottomLeft" activeCell="A7" sqref="A7"/>
      <selection pane="bottomRight" activeCell="L115" sqref="L115"/>
    </sheetView>
  </sheetViews>
  <sheetFormatPr defaultRowHeight="14.5"/>
  <cols>
    <col min="1" max="1" width="25.6328125" bestFit="1" customWidth="1"/>
    <col min="2" max="2" width="14.81640625" style="16" bestFit="1" customWidth="1"/>
    <col min="3" max="3" width="27.90625" bestFit="1" customWidth="1"/>
    <col min="4" max="4" width="11.26953125" customWidth="1"/>
    <col min="5" max="5" width="12.08984375" bestFit="1" customWidth="1"/>
    <col min="6" max="6" width="18.6328125" bestFit="1" customWidth="1"/>
    <col min="7" max="7" width="9.90625" bestFit="1" customWidth="1"/>
    <col min="8" max="8" width="14.81640625" bestFit="1" customWidth="1"/>
    <col min="9" max="9" width="13.81640625" bestFit="1" customWidth="1"/>
    <col min="10" max="10" width="12.26953125" bestFit="1" customWidth="1"/>
    <col min="11" max="11" width="14.453125" bestFit="1" customWidth="1"/>
    <col min="12" max="12" width="13.81640625" bestFit="1" customWidth="1"/>
    <col min="13" max="13" width="14.81640625" bestFit="1" customWidth="1"/>
    <col min="14" max="14" width="0" hidden="1" customWidth="1"/>
  </cols>
  <sheetData>
    <row r="1" spans="1:14">
      <c r="A1" s="198" t="s">
        <v>831</v>
      </c>
      <c r="C1" s="16"/>
    </row>
    <row r="2" spans="1:14">
      <c r="A2" s="198" t="s">
        <v>268</v>
      </c>
      <c r="B2" s="16">
        <f>B3-B4</f>
        <v>0</v>
      </c>
    </row>
    <row r="3" spans="1:14">
      <c r="A3" s="199">
        <v>45657</v>
      </c>
      <c r="B3" s="236">
        <v>44652391805.800003</v>
      </c>
      <c r="C3" s="21"/>
      <c r="D3" s="21" t="s">
        <v>243</v>
      </c>
      <c r="F3" s="18">
        <f>SUM(B45:B114)</f>
        <v>8079657361.0000029</v>
      </c>
      <c r="G3" t="s">
        <v>1007</v>
      </c>
      <c r="H3" s="16">
        <f>SUBTOTAL(9,H8:H114)</f>
        <v>45770142361.339996</v>
      </c>
      <c r="I3" s="16">
        <f t="shared" ref="I3:L3" si="0">SUBTOTAL(9,I8:I114)</f>
        <v>1543176416.7999997</v>
      </c>
      <c r="J3" s="16">
        <f t="shared" si="0"/>
        <v>295752415.43000001</v>
      </c>
      <c r="K3" s="16">
        <f t="shared" si="0"/>
        <v>625607200</v>
      </c>
      <c r="L3" s="16">
        <f t="shared" si="0"/>
        <v>1843450590.7499998</v>
      </c>
      <c r="M3" s="362">
        <f>B3+F3-SUM(H3:L3)</f>
        <v>2653920182.4800034</v>
      </c>
      <c r="N3" s="43" t="s">
        <v>1008</v>
      </c>
    </row>
    <row r="4" spans="1:14">
      <c r="B4" s="16">
        <f>SUM(B8:B43)</f>
        <v>44652391805.800003</v>
      </c>
      <c r="E4" s="16"/>
      <c r="G4" t="s">
        <v>1006</v>
      </c>
      <c r="H4" s="16">
        <f>SUM(H8:H43)</f>
        <v>44293708975.800003</v>
      </c>
      <c r="I4" s="16">
        <f t="shared" ref="I4:L4" si="1">SUM(I8:I43)</f>
        <v>28613300</v>
      </c>
      <c r="J4" s="16">
        <f t="shared" si="1"/>
        <v>0</v>
      </c>
      <c r="K4" s="16">
        <f t="shared" si="1"/>
        <v>25032200</v>
      </c>
      <c r="L4" s="16">
        <f t="shared" si="1"/>
        <v>305037330</v>
      </c>
      <c r="M4" s="18">
        <f>SUM(H4:L4)-B4</f>
        <v>0</v>
      </c>
    </row>
    <row r="5" spans="1:14">
      <c r="A5" s="51"/>
      <c r="B5" s="357"/>
      <c r="C5" s="375" t="s">
        <v>0</v>
      </c>
      <c r="D5" s="375"/>
      <c r="E5" s="375"/>
      <c r="F5" s="375"/>
      <c r="G5" s="376" t="s">
        <v>203</v>
      </c>
      <c r="H5" s="377"/>
      <c r="I5" s="377"/>
      <c r="J5" s="377"/>
      <c r="K5" s="377"/>
      <c r="L5" s="378"/>
    </row>
    <row r="6" spans="1:14">
      <c r="A6" s="52" t="s">
        <v>2</v>
      </c>
      <c r="B6" s="358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</row>
    <row r="7" spans="1:14">
      <c r="A7" s="333" t="s">
        <v>362</v>
      </c>
      <c r="B7" s="272"/>
      <c r="C7" s="271"/>
      <c r="D7" s="271"/>
      <c r="E7" s="271"/>
      <c r="F7" s="271"/>
      <c r="G7" s="271"/>
      <c r="H7" s="271"/>
      <c r="I7" s="271"/>
      <c r="J7" s="271"/>
      <c r="K7" s="271"/>
      <c r="L7" s="271"/>
    </row>
    <row r="8" spans="1:14">
      <c r="A8" s="269" t="s">
        <v>363</v>
      </c>
      <c r="B8" s="287">
        <v>35252600</v>
      </c>
      <c r="C8" s="271"/>
      <c r="D8" s="273">
        <v>45627</v>
      </c>
      <c r="E8" s="271">
        <v>30</v>
      </c>
      <c r="F8" s="273">
        <f>D8+E8</f>
        <v>45657</v>
      </c>
      <c r="G8" s="271">
        <f>$A$3-F8</f>
        <v>0</v>
      </c>
      <c r="H8" s="274">
        <f>B8</f>
        <v>35252600</v>
      </c>
      <c r="I8" s="274"/>
      <c r="J8" s="271"/>
      <c r="K8" s="271"/>
      <c r="L8" s="271"/>
    </row>
    <row r="9" spans="1:14">
      <c r="A9" s="269" t="s">
        <v>363</v>
      </c>
      <c r="B9" s="287">
        <v>28613300</v>
      </c>
      <c r="C9" s="271"/>
      <c r="D9" s="273">
        <v>45597</v>
      </c>
      <c r="E9" s="271">
        <v>30</v>
      </c>
      <c r="F9" s="273">
        <f t="shared" ref="F9:F10" si="2">D9+E9</f>
        <v>45627</v>
      </c>
      <c r="G9" s="271">
        <f t="shared" ref="G9:G10" si="3">$A$3-F9</f>
        <v>30</v>
      </c>
      <c r="H9" s="274"/>
      <c r="I9" s="274">
        <f>B9</f>
        <v>28613300</v>
      </c>
      <c r="J9" s="271"/>
      <c r="K9" s="271"/>
      <c r="L9" s="271"/>
    </row>
    <row r="10" spans="1:14">
      <c r="A10" s="269" t="s">
        <v>363</v>
      </c>
      <c r="B10" s="287">
        <v>25032200</v>
      </c>
      <c r="C10" s="271"/>
      <c r="D10" s="273">
        <v>45566</v>
      </c>
      <c r="E10" s="271">
        <v>30</v>
      </c>
      <c r="F10" s="273">
        <f t="shared" si="2"/>
        <v>45596</v>
      </c>
      <c r="G10" s="271">
        <f t="shared" si="3"/>
        <v>61</v>
      </c>
      <c r="H10" s="274"/>
      <c r="I10" s="271"/>
      <c r="J10" s="271"/>
      <c r="K10" s="274">
        <f>B10</f>
        <v>25032200</v>
      </c>
      <c r="L10" s="271"/>
    </row>
    <row r="11" spans="1:14">
      <c r="A11" s="269" t="s">
        <v>363</v>
      </c>
      <c r="B11" s="287">
        <v>26149000</v>
      </c>
      <c r="C11" s="271"/>
      <c r="D11" s="273">
        <v>45536</v>
      </c>
      <c r="E11" s="271">
        <v>30</v>
      </c>
      <c r="F11" s="273">
        <f t="shared" ref="F11" si="4">D11+E11</f>
        <v>45566</v>
      </c>
      <c r="G11" s="271">
        <f t="shared" ref="G11" si="5">$A$3-F11</f>
        <v>91</v>
      </c>
      <c r="H11" s="274"/>
      <c r="I11" s="271"/>
      <c r="J11" s="271"/>
      <c r="K11" s="271"/>
      <c r="L11" s="274">
        <f>B11</f>
        <v>26149000</v>
      </c>
    </row>
    <row r="12" spans="1:14">
      <c r="A12" s="269" t="s">
        <v>363</v>
      </c>
      <c r="B12" s="16">
        <v>278888330</v>
      </c>
      <c r="C12" s="271"/>
      <c r="D12" s="273">
        <v>45505</v>
      </c>
      <c r="E12" s="271">
        <v>30</v>
      </c>
      <c r="F12" s="273">
        <f t="shared" ref="F12" si="6">D12+E12</f>
        <v>45535</v>
      </c>
      <c r="G12" s="271">
        <f t="shared" ref="G12" si="7">$A$3-F12</f>
        <v>122</v>
      </c>
      <c r="H12" s="274"/>
      <c r="I12" s="271"/>
      <c r="J12" s="271"/>
      <c r="K12" s="271"/>
      <c r="L12" s="274">
        <f>B12</f>
        <v>278888330</v>
      </c>
    </row>
    <row r="13" spans="1:14">
      <c r="A13" s="269"/>
      <c r="B13" s="287"/>
      <c r="C13" s="271"/>
      <c r="D13" s="271"/>
      <c r="E13" s="271"/>
      <c r="F13" s="271"/>
      <c r="G13" s="271"/>
      <c r="H13" s="271"/>
      <c r="I13" s="271"/>
      <c r="J13" s="271"/>
      <c r="K13" s="271"/>
      <c r="L13" s="271"/>
    </row>
    <row r="14" spans="1:14">
      <c r="A14" s="333" t="s">
        <v>355</v>
      </c>
      <c r="B14" s="287"/>
      <c r="C14" s="334"/>
      <c r="D14" s="271"/>
      <c r="E14" s="335"/>
      <c r="F14" s="271"/>
      <c r="G14" s="271"/>
      <c r="H14" s="271"/>
      <c r="I14" s="271"/>
      <c r="J14" s="271"/>
      <c r="K14" s="271"/>
      <c r="L14" s="271"/>
    </row>
    <row r="15" spans="1:14">
      <c r="A15" s="333"/>
      <c r="B15" s="287"/>
      <c r="C15" s="334"/>
      <c r="D15" s="271"/>
      <c r="E15" s="335"/>
      <c r="F15" s="271"/>
      <c r="G15" s="271"/>
      <c r="H15" s="271"/>
      <c r="I15" s="271"/>
      <c r="J15" s="271"/>
      <c r="K15" s="271"/>
      <c r="L15" s="271"/>
    </row>
    <row r="16" spans="1:14">
      <c r="A16" s="269" t="s">
        <v>356</v>
      </c>
      <c r="B16" s="359">
        <f>3763011200</f>
        <v>3763011200</v>
      </c>
      <c r="C16" s="334" t="s">
        <v>935</v>
      </c>
      <c r="D16" s="273">
        <v>45716</v>
      </c>
      <c r="E16" s="335">
        <v>60</v>
      </c>
      <c r="F16" s="273">
        <f t="shared" ref="F16" si="8">D16+E16</f>
        <v>45776</v>
      </c>
      <c r="G16" s="271">
        <f t="shared" ref="G16" si="9">$A$3-F16</f>
        <v>-119</v>
      </c>
      <c r="H16" s="274">
        <f t="shared" ref="H16:H25" si="10">B16</f>
        <v>3763011200</v>
      </c>
      <c r="I16" s="271"/>
      <c r="J16" s="271"/>
      <c r="K16" s="271"/>
      <c r="L16" s="271"/>
    </row>
    <row r="17" spans="1:12">
      <c r="A17" s="269" t="s">
        <v>356</v>
      </c>
      <c r="B17" s="372">
        <v>2075160429</v>
      </c>
      <c r="C17" s="334" t="s">
        <v>906</v>
      </c>
      <c r="D17" s="273">
        <v>45680</v>
      </c>
      <c r="E17" s="335">
        <v>60</v>
      </c>
      <c r="F17" s="273">
        <f t="shared" ref="F17:F25" si="11">D17+E17</f>
        <v>45740</v>
      </c>
      <c r="G17" s="271">
        <f t="shared" ref="G17:G25" si="12">$A$3-F17</f>
        <v>-83</v>
      </c>
      <c r="H17" s="274">
        <f t="shared" si="10"/>
        <v>2075160429</v>
      </c>
      <c r="I17" s="271"/>
      <c r="J17" s="271"/>
      <c r="K17" s="271"/>
      <c r="L17" s="271"/>
    </row>
    <row r="18" spans="1:12">
      <c r="A18" s="269" t="s">
        <v>356</v>
      </c>
      <c r="B18" s="372">
        <v>2434889600</v>
      </c>
      <c r="C18" s="334" t="s">
        <v>907</v>
      </c>
      <c r="D18" s="353">
        <v>45680</v>
      </c>
      <c r="E18" s="335">
        <v>60</v>
      </c>
      <c r="F18" s="273">
        <f t="shared" si="11"/>
        <v>45740</v>
      </c>
      <c r="G18" s="271">
        <f t="shared" si="12"/>
        <v>-83</v>
      </c>
      <c r="H18" s="274">
        <f t="shared" si="10"/>
        <v>2434889600</v>
      </c>
      <c r="I18" s="271"/>
      <c r="J18" s="271"/>
      <c r="K18" s="271"/>
      <c r="L18" s="271"/>
    </row>
    <row r="19" spans="1:12">
      <c r="A19" s="269" t="s">
        <v>356</v>
      </c>
      <c r="B19" s="372">
        <v>2054031200</v>
      </c>
      <c r="C19" s="334" t="s">
        <v>908</v>
      </c>
      <c r="D19" s="353">
        <v>45680</v>
      </c>
      <c r="E19" s="335">
        <v>60</v>
      </c>
      <c r="F19" s="273">
        <f t="shared" si="11"/>
        <v>45740</v>
      </c>
      <c r="G19" s="271">
        <f t="shared" si="12"/>
        <v>-83</v>
      </c>
      <c r="H19" s="274">
        <f t="shared" si="10"/>
        <v>2054031200</v>
      </c>
      <c r="I19" s="271"/>
      <c r="J19" s="271"/>
      <c r="K19" s="271"/>
      <c r="L19" s="271"/>
    </row>
    <row r="20" spans="1:12">
      <c r="A20" s="269" t="s">
        <v>356</v>
      </c>
      <c r="B20" s="372">
        <v>1998423576</v>
      </c>
      <c r="C20" s="334" t="s">
        <v>909</v>
      </c>
      <c r="D20" s="273">
        <v>45680</v>
      </c>
      <c r="E20" s="335">
        <v>60</v>
      </c>
      <c r="F20" s="273">
        <f t="shared" si="11"/>
        <v>45740</v>
      </c>
      <c r="G20" s="271">
        <f t="shared" si="12"/>
        <v>-83</v>
      </c>
      <c r="H20" s="274">
        <f t="shared" si="10"/>
        <v>1998423576</v>
      </c>
      <c r="I20" s="271"/>
      <c r="J20" s="271"/>
      <c r="K20" s="271"/>
      <c r="L20" s="271"/>
    </row>
    <row r="21" spans="1:12">
      <c r="A21" s="269" t="s">
        <v>356</v>
      </c>
      <c r="B21" s="287">
        <f>2400857500-5729640</f>
        <v>2395127860</v>
      </c>
      <c r="C21" s="334" t="s">
        <v>910</v>
      </c>
      <c r="D21" s="336">
        <v>45646</v>
      </c>
      <c r="E21" s="335">
        <v>60</v>
      </c>
      <c r="F21" s="273">
        <f t="shared" ref="F21:F23" si="13">D21+E21</f>
        <v>45706</v>
      </c>
      <c r="G21" s="271">
        <f t="shared" ref="G21:G23" si="14">$A$3-F21</f>
        <v>-49</v>
      </c>
      <c r="H21" s="274">
        <f t="shared" si="10"/>
        <v>2395127860</v>
      </c>
      <c r="I21" s="271"/>
      <c r="J21" s="271"/>
      <c r="K21" s="271"/>
      <c r="L21" s="271"/>
    </row>
    <row r="22" spans="1:12">
      <c r="A22" s="269" t="s">
        <v>356</v>
      </c>
      <c r="B22" s="287">
        <f>2133756300-5729640</f>
        <v>2128026660</v>
      </c>
      <c r="C22" s="334" t="s">
        <v>911</v>
      </c>
      <c r="D22" s="336">
        <v>45656</v>
      </c>
      <c r="E22" s="335">
        <v>60</v>
      </c>
      <c r="F22" s="273">
        <f t="shared" si="13"/>
        <v>45716</v>
      </c>
      <c r="G22" s="271">
        <f t="shared" si="14"/>
        <v>-59</v>
      </c>
      <c r="H22" s="274">
        <f t="shared" si="10"/>
        <v>2128026660</v>
      </c>
      <c r="I22" s="271"/>
      <c r="J22" s="271"/>
      <c r="K22" s="271"/>
      <c r="L22" s="271"/>
    </row>
    <row r="23" spans="1:12">
      <c r="A23" s="269" t="s">
        <v>356</v>
      </c>
      <c r="B23" s="287">
        <f>1923278000-5729640</f>
        <v>1917548360</v>
      </c>
      <c r="C23" s="334" t="s">
        <v>912</v>
      </c>
      <c r="D23" s="336">
        <v>45657</v>
      </c>
      <c r="E23" s="335">
        <v>60</v>
      </c>
      <c r="F23" s="273">
        <f t="shared" si="13"/>
        <v>45717</v>
      </c>
      <c r="G23" s="271">
        <f t="shared" si="14"/>
        <v>-60</v>
      </c>
      <c r="H23" s="274">
        <f t="shared" si="10"/>
        <v>1917548360</v>
      </c>
      <c r="I23" s="271"/>
      <c r="J23" s="271"/>
      <c r="K23" s="271"/>
      <c r="L23" s="271"/>
    </row>
    <row r="24" spans="1:12">
      <c r="A24" s="269" t="s">
        <v>356</v>
      </c>
      <c r="B24" s="287">
        <f>2383895000-5729640</f>
        <v>2378165360</v>
      </c>
      <c r="C24" s="334" t="s">
        <v>913</v>
      </c>
      <c r="D24" s="336">
        <v>45657</v>
      </c>
      <c r="E24" s="335">
        <v>60</v>
      </c>
      <c r="F24" s="273">
        <f t="shared" si="11"/>
        <v>45717</v>
      </c>
      <c r="G24" s="271">
        <f t="shared" si="12"/>
        <v>-60</v>
      </c>
      <c r="H24" s="274">
        <f t="shared" si="10"/>
        <v>2378165360</v>
      </c>
      <c r="I24" s="271"/>
      <c r="J24" s="271"/>
      <c r="K24" s="271"/>
      <c r="L24" s="271"/>
    </row>
    <row r="25" spans="1:12">
      <c r="A25" s="269" t="s">
        <v>356</v>
      </c>
      <c r="B25" s="287">
        <f>2054190200-5729640</f>
        <v>2048460560</v>
      </c>
      <c r="C25" s="334" t="s">
        <v>914</v>
      </c>
      <c r="D25" s="336">
        <v>45657</v>
      </c>
      <c r="E25" s="335">
        <v>60</v>
      </c>
      <c r="F25" s="273">
        <f t="shared" si="11"/>
        <v>45717</v>
      </c>
      <c r="G25" s="271">
        <f t="shared" si="12"/>
        <v>-60</v>
      </c>
      <c r="H25" s="274">
        <f t="shared" si="10"/>
        <v>2048460560</v>
      </c>
      <c r="I25" s="271"/>
      <c r="J25" s="271"/>
      <c r="K25" s="271"/>
      <c r="L25" s="271"/>
    </row>
    <row r="26" spans="1:12">
      <c r="A26" s="269"/>
      <c r="B26" s="287"/>
      <c r="C26" s="334"/>
      <c r="D26" s="336"/>
      <c r="E26" s="335"/>
      <c r="F26" s="273"/>
      <c r="G26" s="271"/>
      <c r="H26" s="274"/>
      <c r="I26" s="271"/>
      <c r="J26" s="271"/>
      <c r="K26" s="271"/>
      <c r="L26" s="271"/>
    </row>
    <row r="27" spans="1:12">
      <c r="A27" s="269" t="s">
        <v>904</v>
      </c>
      <c r="B27" s="360">
        <v>1878160160.8</v>
      </c>
      <c r="C27" s="334" t="s">
        <v>916</v>
      </c>
      <c r="D27" s="336">
        <v>45657</v>
      </c>
      <c r="E27" s="335">
        <v>60</v>
      </c>
      <c r="F27" s="273">
        <f t="shared" ref="F27:F28" si="15">D27+E27</f>
        <v>45717</v>
      </c>
      <c r="G27" s="271">
        <f t="shared" ref="G27:G28" si="16">$A$3-F27</f>
        <v>-60</v>
      </c>
      <c r="H27" s="274">
        <f t="shared" ref="H27:H28" si="17">B27</f>
        <v>1878160160.8</v>
      </c>
      <c r="I27" s="271"/>
      <c r="J27" s="271"/>
      <c r="K27" s="271"/>
      <c r="L27" s="271"/>
    </row>
    <row r="28" spans="1:12">
      <c r="A28" s="269" t="s">
        <v>904</v>
      </c>
      <c r="B28" s="360">
        <v>1310038964</v>
      </c>
      <c r="C28" s="334" t="s">
        <v>915</v>
      </c>
      <c r="D28" s="353">
        <v>45682</v>
      </c>
      <c r="E28" s="335">
        <v>60</v>
      </c>
      <c r="F28" s="273">
        <f t="shared" si="15"/>
        <v>45742</v>
      </c>
      <c r="G28" s="271">
        <f t="shared" si="16"/>
        <v>-85</v>
      </c>
      <c r="H28" s="274">
        <f t="shared" si="17"/>
        <v>1310038964</v>
      </c>
      <c r="I28" s="271"/>
      <c r="J28" s="271"/>
      <c r="K28" s="271"/>
      <c r="L28" s="271"/>
    </row>
    <row r="29" spans="1:12">
      <c r="A29" s="269"/>
      <c r="B29" s="287"/>
      <c r="C29" s="334"/>
      <c r="D29" s="336"/>
      <c r="E29" s="335"/>
      <c r="F29" s="271"/>
      <c r="G29" s="271"/>
      <c r="H29" s="271"/>
      <c r="I29" s="271"/>
      <c r="J29" s="271"/>
      <c r="K29" s="271"/>
      <c r="L29" s="271"/>
    </row>
    <row r="30" spans="1:12">
      <c r="A30" s="269" t="s">
        <v>905</v>
      </c>
      <c r="B30" s="287">
        <v>1909174800</v>
      </c>
      <c r="C30" s="334" t="s">
        <v>936</v>
      </c>
      <c r="D30" s="336">
        <v>45716</v>
      </c>
      <c r="E30" s="335">
        <v>60</v>
      </c>
      <c r="F30" s="273">
        <f t="shared" ref="F30:F32" si="18">D30+E30</f>
        <v>45776</v>
      </c>
      <c r="G30" s="271">
        <f t="shared" ref="G30:G32" si="19">$A$3-F30</f>
        <v>-119</v>
      </c>
      <c r="H30" s="274">
        <f t="shared" ref="H30:H32" si="20">B30</f>
        <v>1909174800</v>
      </c>
      <c r="I30" s="271"/>
      <c r="J30" s="271"/>
      <c r="K30" s="271"/>
      <c r="L30" s="271"/>
    </row>
    <row r="31" spans="1:12">
      <c r="A31" s="269" t="s">
        <v>905</v>
      </c>
      <c r="B31" s="287">
        <v>1909174800</v>
      </c>
      <c r="C31" s="334" t="s">
        <v>937</v>
      </c>
      <c r="D31" s="336">
        <v>45716</v>
      </c>
      <c r="E31" s="335">
        <v>60</v>
      </c>
      <c r="F31" s="273">
        <f t="shared" si="18"/>
        <v>45776</v>
      </c>
      <c r="G31" s="271">
        <f t="shared" si="19"/>
        <v>-119</v>
      </c>
      <c r="H31" s="274">
        <f t="shared" si="20"/>
        <v>1909174800</v>
      </c>
      <c r="I31" s="271"/>
      <c r="J31" s="271"/>
      <c r="K31" s="271"/>
      <c r="L31" s="271"/>
    </row>
    <row r="32" spans="1:12">
      <c r="A32" s="269" t="s">
        <v>905</v>
      </c>
      <c r="B32" s="287">
        <v>1909174800</v>
      </c>
      <c r="C32" s="334" t="s">
        <v>938</v>
      </c>
      <c r="D32" s="336">
        <v>45716</v>
      </c>
      <c r="E32" s="335">
        <v>60</v>
      </c>
      <c r="F32" s="273">
        <f t="shared" si="18"/>
        <v>45776</v>
      </c>
      <c r="G32" s="271">
        <f t="shared" si="19"/>
        <v>-119</v>
      </c>
      <c r="H32" s="274">
        <f t="shared" si="20"/>
        <v>1909174800</v>
      </c>
      <c r="I32" s="271"/>
      <c r="J32" s="271"/>
      <c r="K32" s="271"/>
      <c r="L32" s="271"/>
    </row>
    <row r="33" spans="1:12">
      <c r="A33" s="269"/>
      <c r="B33" s="287"/>
      <c r="C33" s="334"/>
      <c r="D33" s="336"/>
      <c r="E33" s="335"/>
      <c r="F33" s="273"/>
      <c r="G33" s="271"/>
      <c r="H33" s="271"/>
      <c r="I33" s="271"/>
      <c r="J33" s="271"/>
      <c r="K33" s="271"/>
      <c r="L33" s="271"/>
    </row>
    <row r="34" spans="1:12">
      <c r="A34" s="269" t="s">
        <v>832</v>
      </c>
      <c r="B34" s="359">
        <v>2019851600</v>
      </c>
      <c r="C34" s="334" t="s">
        <v>939</v>
      </c>
      <c r="D34" s="336">
        <v>45716</v>
      </c>
      <c r="E34" s="335">
        <v>60</v>
      </c>
      <c r="F34" s="273">
        <f t="shared" ref="F34" si="21">D34+E34</f>
        <v>45776</v>
      </c>
      <c r="G34" s="271">
        <f t="shared" ref="G34" si="22">$A$3-F34</f>
        <v>-119</v>
      </c>
      <c r="H34" s="274">
        <f>B34</f>
        <v>2019851600</v>
      </c>
      <c r="I34" s="271"/>
      <c r="J34" s="271"/>
      <c r="K34" s="271"/>
      <c r="L34" s="271"/>
    </row>
    <row r="35" spans="1:12">
      <c r="A35" s="269"/>
      <c r="B35" s="287"/>
      <c r="C35" s="334"/>
      <c r="D35" s="336"/>
      <c r="E35" s="335"/>
      <c r="F35" s="273"/>
      <c r="G35" s="271"/>
      <c r="H35" s="271"/>
      <c r="I35" s="271"/>
      <c r="J35" s="271"/>
      <c r="K35" s="271"/>
      <c r="L35" s="271"/>
    </row>
    <row r="36" spans="1:12">
      <c r="A36" s="269" t="s">
        <v>360</v>
      </c>
      <c r="B36" s="272">
        <v>752163318</v>
      </c>
      <c r="C36" s="271" t="s">
        <v>917</v>
      </c>
      <c r="D36" s="273">
        <v>45657</v>
      </c>
      <c r="E36" s="335">
        <v>60</v>
      </c>
      <c r="F36" s="273">
        <f t="shared" ref="F36" si="23">D36+E36</f>
        <v>45717</v>
      </c>
      <c r="G36" s="271">
        <f t="shared" ref="G36" si="24">$A$3-F36</f>
        <v>-60</v>
      </c>
      <c r="H36" s="274">
        <f>B36</f>
        <v>752163318</v>
      </c>
      <c r="I36" s="271"/>
      <c r="J36" s="271"/>
      <c r="K36" s="271"/>
      <c r="L36" s="271"/>
    </row>
    <row r="37" spans="1:12">
      <c r="A37" s="269"/>
      <c r="B37" s="272"/>
      <c r="C37" s="271"/>
      <c r="D37" s="273"/>
      <c r="E37" s="335"/>
      <c r="F37" s="273"/>
      <c r="G37" s="271"/>
      <c r="H37" s="274"/>
      <c r="I37" s="271"/>
      <c r="J37" s="271"/>
      <c r="K37" s="271"/>
      <c r="L37" s="271"/>
    </row>
    <row r="38" spans="1:12">
      <c r="A38" s="269" t="s">
        <v>361</v>
      </c>
      <c r="B38" s="314">
        <v>1396448248</v>
      </c>
      <c r="C38" s="334" t="s">
        <v>939</v>
      </c>
      <c r="D38" s="336">
        <v>45716</v>
      </c>
      <c r="E38" s="335">
        <v>60</v>
      </c>
      <c r="F38" s="273">
        <f t="shared" ref="F38" si="25">D38+E38</f>
        <v>45776</v>
      </c>
      <c r="G38" s="271">
        <f t="shared" ref="G38" si="26">$A$3-F38</f>
        <v>-119</v>
      </c>
      <c r="H38" s="274">
        <f>B38</f>
        <v>1396448248</v>
      </c>
      <c r="I38" s="271"/>
      <c r="J38" s="271"/>
      <c r="K38" s="271"/>
      <c r="L38" s="271"/>
    </row>
    <row r="39" spans="1:12">
      <c r="A39" s="269"/>
      <c r="B39" s="272"/>
      <c r="C39" s="271"/>
      <c r="D39" s="273"/>
      <c r="E39" s="335"/>
      <c r="F39" s="273"/>
      <c r="G39" s="271"/>
      <c r="H39" s="271"/>
      <c r="I39" s="271"/>
      <c r="J39" s="271"/>
      <c r="K39" s="271"/>
      <c r="L39" s="271"/>
    </row>
    <row r="40" spans="1:12">
      <c r="A40" s="269" t="s">
        <v>934</v>
      </c>
      <c r="B40" s="360">
        <v>1859370240</v>
      </c>
      <c r="C40" s="271" t="s">
        <v>969</v>
      </c>
      <c r="D40" s="353">
        <v>45682</v>
      </c>
      <c r="E40" s="335">
        <v>60</v>
      </c>
      <c r="F40" s="273">
        <f t="shared" ref="F40:F43" si="27">D40+E40</f>
        <v>45742</v>
      </c>
      <c r="G40" s="271">
        <f t="shared" ref="G40:G43" si="28">$A$3-F40</f>
        <v>-85</v>
      </c>
      <c r="H40" s="274">
        <f t="shared" ref="H40:H43" si="29">B40</f>
        <v>1859370240</v>
      </c>
      <c r="I40" s="271"/>
      <c r="J40" s="271"/>
      <c r="K40" s="271"/>
      <c r="L40" s="271"/>
    </row>
    <row r="41" spans="1:12">
      <c r="A41" s="269" t="s">
        <v>934</v>
      </c>
      <c r="B41" s="272">
        <v>1827794800</v>
      </c>
      <c r="C41" s="271" t="s">
        <v>970</v>
      </c>
      <c r="D41" s="353">
        <v>45682</v>
      </c>
      <c r="E41" s="335">
        <v>60</v>
      </c>
      <c r="F41" s="273">
        <f t="shared" si="27"/>
        <v>45742</v>
      </c>
      <c r="G41" s="271">
        <f t="shared" si="28"/>
        <v>-85</v>
      </c>
      <c r="H41" s="274">
        <f t="shared" si="29"/>
        <v>1827794800</v>
      </c>
      <c r="I41" s="271"/>
      <c r="J41" s="271"/>
      <c r="K41" s="271"/>
      <c r="L41" s="271"/>
    </row>
    <row r="42" spans="1:12">
      <c r="A42" s="269" t="s">
        <v>934</v>
      </c>
      <c r="B42" s="272">
        <v>2047520800</v>
      </c>
      <c r="C42" s="271" t="s">
        <v>972</v>
      </c>
      <c r="D42" s="273">
        <v>45716</v>
      </c>
      <c r="E42" s="335">
        <v>60</v>
      </c>
      <c r="F42" s="273">
        <f t="shared" si="27"/>
        <v>45776</v>
      </c>
      <c r="G42" s="271">
        <f t="shared" si="28"/>
        <v>-119</v>
      </c>
      <c r="H42" s="274">
        <f t="shared" si="29"/>
        <v>2047520800</v>
      </c>
      <c r="I42" s="271"/>
      <c r="J42" s="271"/>
      <c r="K42" s="271"/>
      <c r="L42" s="271"/>
    </row>
    <row r="43" spans="1:12">
      <c r="A43" s="269" t="s">
        <v>934</v>
      </c>
      <c r="B43" s="374">
        <v>2246739040</v>
      </c>
      <c r="C43" s="271" t="s">
        <v>971</v>
      </c>
      <c r="D43" s="273">
        <v>45716</v>
      </c>
      <c r="E43" s="335">
        <v>60</v>
      </c>
      <c r="F43" s="273">
        <f t="shared" si="27"/>
        <v>45776</v>
      </c>
      <c r="G43" s="271">
        <f t="shared" si="28"/>
        <v>-119</v>
      </c>
      <c r="H43" s="274">
        <f t="shared" si="29"/>
        <v>2246739040</v>
      </c>
      <c r="I43" s="271"/>
      <c r="J43" s="271"/>
      <c r="K43" s="271"/>
      <c r="L43" s="271"/>
    </row>
    <row r="44" spans="1:12">
      <c r="A44" s="269"/>
      <c r="B44" s="272"/>
      <c r="C44" s="271"/>
      <c r="D44" s="273"/>
      <c r="E44" s="335"/>
      <c r="F44" s="273"/>
      <c r="G44" s="271"/>
      <c r="H44" s="274"/>
      <c r="I44" s="271"/>
      <c r="J44" s="271"/>
      <c r="K44" s="271"/>
      <c r="L44" s="271"/>
    </row>
    <row r="45" spans="1:12">
      <c r="A45" s="271" t="s">
        <v>974</v>
      </c>
      <c r="B45" s="361">
        <f>8079657361-SUM(B46:B114)</f>
        <v>2653920182.4800005</v>
      </c>
      <c r="C45" s="271"/>
      <c r="D45" s="271"/>
      <c r="E45" s="271"/>
      <c r="F45" s="271"/>
      <c r="G45" s="271"/>
      <c r="H45" s="271"/>
      <c r="I45" s="271"/>
      <c r="J45" s="271"/>
      <c r="K45" s="271"/>
      <c r="L45" s="271"/>
    </row>
    <row r="46" spans="1:12">
      <c r="A46" s="271" t="s">
        <v>172</v>
      </c>
      <c r="B46" s="272">
        <v>15684826.689999999</v>
      </c>
      <c r="C46" s="356" t="s">
        <v>975</v>
      </c>
      <c r="D46" s="302">
        <v>45328</v>
      </c>
      <c r="E46" s="271">
        <v>30</v>
      </c>
      <c r="F46" s="273">
        <f>D46+E46</f>
        <v>45358</v>
      </c>
      <c r="G46" s="271">
        <f>$A$3-F46</f>
        <v>299</v>
      </c>
      <c r="H46" s="271"/>
      <c r="I46" s="271"/>
      <c r="J46" s="271"/>
      <c r="K46" s="271"/>
      <c r="L46" s="277">
        <f>B46</f>
        <v>15684826.689999999</v>
      </c>
    </row>
    <row r="47" spans="1:12">
      <c r="A47" s="271" t="s">
        <v>172</v>
      </c>
      <c r="B47" s="272">
        <v>17212339.670000002</v>
      </c>
      <c r="C47" s="356" t="s">
        <v>755</v>
      </c>
      <c r="D47" s="302">
        <v>45337</v>
      </c>
      <c r="E47" s="271">
        <v>30</v>
      </c>
      <c r="F47" s="273">
        <f t="shared" ref="F47:F110" si="30">D47+E47</f>
        <v>45367</v>
      </c>
      <c r="G47" s="271">
        <f t="shared" ref="G47:G110" si="31">$A$3-F47</f>
        <v>290</v>
      </c>
      <c r="H47" s="271"/>
      <c r="I47" s="271"/>
      <c r="J47" s="271"/>
      <c r="K47" s="271"/>
      <c r="L47" s="277">
        <f t="shared" ref="L47:L74" si="32">B47</f>
        <v>17212339.670000002</v>
      </c>
    </row>
    <row r="48" spans="1:12">
      <c r="A48" s="271" t="s">
        <v>172</v>
      </c>
      <c r="B48" s="272">
        <v>5253259.62</v>
      </c>
      <c r="C48" s="356" t="s">
        <v>764</v>
      </c>
      <c r="D48" s="302">
        <v>45358</v>
      </c>
      <c r="E48" s="271">
        <v>30</v>
      </c>
      <c r="F48" s="273">
        <f t="shared" si="30"/>
        <v>45388</v>
      </c>
      <c r="G48" s="271">
        <f t="shared" si="31"/>
        <v>269</v>
      </c>
      <c r="H48" s="271"/>
      <c r="I48" s="271"/>
      <c r="J48" s="271"/>
      <c r="K48" s="271"/>
      <c r="L48" s="277">
        <f t="shared" si="32"/>
        <v>5253259.62</v>
      </c>
    </row>
    <row r="49" spans="1:12">
      <c r="A49" s="271" t="s">
        <v>172</v>
      </c>
      <c r="B49" s="272">
        <v>13964903.539999999</v>
      </c>
      <c r="C49" s="356" t="s">
        <v>976</v>
      </c>
      <c r="D49" s="302">
        <v>45359</v>
      </c>
      <c r="E49" s="271">
        <v>30</v>
      </c>
      <c r="F49" s="273">
        <f t="shared" si="30"/>
        <v>45389</v>
      </c>
      <c r="G49" s="271">
        <f t="shared" si="31"/>
        <v>268</v>
      </c>
      <c r="H49" s="271"/>
      <c r="I49" s="271"/>
      <c r="J49" s="271"/>
      <c r="K49" s="271"/>
      <c r="L49" s="277">
        <f t="shared" si="32"/>
        <v>13964903.539999999</v>
      </c>
    </row>
    <row r="50" spans="1:12">
      <c r="A50" s="271" t="s">
        <v>172</v>
      </c>
      <c r="B50" s="272">
        <v>149784908.61000001</v>
      </c>
      <c r="C50" s="356" t="s">
        <v>977</v>
      </c>
      <c r="D50" s="302">
        <v>45359</v>
      </c>
      <c r="E50" s="271">
        <v>30</v>
      </c>
      <c r="F50" s="273">
        <f t="shared" si="30"/>
        <v>45389</v>
      </c>
      <c r="G50" s="271">
        <f t="shared" si="31"/>
        <v>268</v>
      </c>
      <c r="H50" s="271"/>
      <c r="I50" s="271"/>
      <c r="J50" s="271"/>
      <c r="K50" s="271"/>
      <c r="L50" s="277">
        <f t="shared" si="32"/>
        <v>149784908.61000001</v>
      </c>
    </row>
    <row r="51" spans="1:12">
      <c r="A51" s="271" t="s">
        <v>172</v>
      </c>
      <c r="B51" s="272">
        <v>7563972.8399999999</v>
      </c>
      <c r="C51" s="356" t="s">
        <v>978</v>
      </c>
      <c r="D51" s="302">
        <v>45363</v>
      </c>
      <c r="E51" s="271">
        <v>30</v>
      </c>
      <c r="F51" s="273">
        <f t="shared" si="30"/>
        <v>45393</v>
      </c>
      <c r="G51" s="271">
        <f t="shared" si="31"/>
        <v>264</v>
      </c>
      <c r="H51" s="271"/>
      <c r="I51" s="271"/>
      <c r="J51" s="271"/>
      <c r="K51" s="271"/>
      <c r="L51" s="277">
        <f t="shared" si="32"/>
        <v>7563972.8399999999</v>
      </c>
    </row>
    <row r="52" spans="1:12">
      <c r="A52" s="271" t="s">
        <v>172</v>
      </c>
      <c r="B52" s="272">
        <v>50237588.289999999</v>
      </c>
      <c r="C52" s="356" t="s">
        <v>979</v>
      </c>
      <c r="D52" s="302">
        <v>45369</v>
      </c>
      <c r="E52" s="271">
        <v>30</v>
      </c>
      <c r="F52" s="273">
        <f t="shared" si="30"/>
        <v>45399</v>
      </c>
      <c r="G52" s="271">
        <f t="shared" si="31"/>
        <v>258</v>
      </c>
      <c r="H52" s="271"/>
      <c r="I52" s="271"/>
      <c r="J52" s="271"/>
      <c r="K52" s="271"/>
      <c r="L52" s="277">
        <f t="shared" si="32"/>
        <v>50237588.289999999</v>
      </c>
    </row>
    <row r="53" spans="1:12">
      <c r="A53" s="271" t="s">
        <v>172</v>
      </c>
      <c r="B53" s="272">
        <v>69871628.319999993</v>
      </c>
      <c r="C53" s="356" t="s">
        <v>666</v>
      </c>
      <c r="D53" s="302">
        <v>45370</v>
      </c>
      <c r="E53" s="271">
        <v>30</v>
      </c>
      <c r="F53" s="273">
        <f t="shared" si="30"/>
        <v>45400</v>
      </c>
      <c r="G53" s="271">
        <f t="shared" si="31"/>
        <v>257</v>
      </c>
      <c r="H53" s="271"/>
      <c r="I53" s="271"/>
      <c r="J53" s="271"/>
      <c r="K53" s="271"/>
      <c r="L53" s="277">
        <f t="shared" si="32"/>
        <v>69871628.319999993</v>
      </c>
    </row>
    <row r="54" spans="1:12">
      <c r="A54" s="271" t="s">
        <v>172</v>
      </c>
      <c r="B54" s="272">
        <v>161819900.03</v>
      </c>
      <c r="C54" s="356" t="s">
        <v>667</v>
      </c>
      <c r="D54" s="302">
        <v>45370</v>
      </c>
      <c r="E54" s="271">
        <v>30</v>
      </c>
      <c r="F54" s="273">
        <f t="shared" si="30"/>
        <v>45400</v>
      </c>
      <c r="G54" s="271">
        <f t="shared" si="31"/>
        <v>257</v>
      </c>
      <c r="H54" s="271"/>
      <c r="I54" s="271"/>
      <c r="J54" s="271"/>
      <c r="K54" s="271"/>
      <c r="L54" s="277">
        <f t="shared" si="32"/>
        <v>161819900.03</v>
      </c>
    </row>
    <row r="55" spans="1:12">
      <c r="A55" s="271" t="s">
        <v>172</v>
      </c>
      <c r="B55" s="272">
        <v>161819900.03</v>
      </c>
      <c r="C55" s="356" t="s">
        <v>765</v>
      </c>
      <c r="D55" s="302">
        <v>45370</v>
      </c>
      <c r="E55" s="271">
        <v>30</v>
      </c>
      <c r="F55" s="273">
        <f t="shared" si="30"/>
        <v>45400</v>
      </c>
      <c r="G55" s="271">
        <f t="shared" si="31"/>
        <v>257</v>
      </c>
      <c r="H55" s="271"/>
      <c r="I55" s="271"/>
      <c r="J55" s="271"/>
      <c r="K55" s="271"/>
      <c r="L55" s="277">
        <f t="shared" si="32"/>
        <v>161819900.03</v>
      </c>
    </row>
    <row r="56" spans="1:12">
      <c r="A56" s="271" t="s">
        <v>172</v>
      </c>
      <c r="B56" s="272">
        <v>39275303.390000001</v>
      </c>
      <c r="C56" s="356" t="s">
        <v>980</v>
      </c>
      <c r="D56" s="302">
        <v>45371</v>
      </c>
      <c r="E56" s="271">
        <v>30</v>
      </c>
      <c r="F56" s="273">
        <f t="shared" si="30"/>
        <v>45401</v>
      </c>
      <c r="G56" s="271">
        <f t="shared" si="31"/>
        <v>256</v>
      </c>
      <c r="H56" s="271"/>
      <c r="I56" s="271"/>
      <c r="J56" s="271"/>
      <c r="K56" s="271"/>
      <c r="L56" s="277">
        <f t="shared" si="32"/>
        <v>39275303.390000001</v>
      </c>
    </row>
    <row r="57" spans="1:12">
      <c r="A57" s="271" t="s">
        <v>172</v>
      </c>
      <c r="B57" s="272">
        <v>50843861.490000002</v>
      </c>
      <c r="C57" s="356" t="s">
        <v>981</v>
      </c>
      <c r="D57" s="302">
        <v>45373</v>
      </c>
      <c r="E57" s="271">
        <v>30</v>
      </c>
      <c r="F57" s="273">
        <f t="shared" si="30"/>
        <v>45403</v>
      </c>
      <c r="G57" s="271">
        <f t="shared" si="31"/>
        <v>254</v>
      </c>
      <c r="H57" s="271"/>
      <c r="I57" s="271"/>
      <c r="J57" s="271"/>
      <c r="K57" s="271"/>
      <c r="L57" s="277">
        <f t="shared" si="32"/>
        <v>50843861.490000002</v>
      </c>
    </row>
    <row r="58" spans="1:12">
      <c r="A58" s="271" t="s">
        <v>172</v>
      </c>
      <c r="B58" s="272">
        <v>38969914.729999997</v>
      </c>
      <c r="C58" s="356" t="s">
        <v>714</v>
      </c>
      <c r="D58" s="302">
        <v>45374</v>
      </c>
      <c r="E58" s="271">
        <v>30</v>
      </c>
      <c r="F58" s="273">
        <f t="shared" si="30"/>
        <v>45404</v>
      </c>
      <c r="G58" s="271">
        <f t="shared" si="31"/>
        <v>253</v>
      </c>
      <c r="H58" s="271"/>
      <c r="I58" s="271"/>
      <c r="J58" s="271"/>
      <c r="K58" s="271"/>
      <c r="L58" s="277">
        <f t="shared" si="32"/>
        <v>38969914.729999997</v>
      </c>
    </row>
    <row r="59" spans="1:12">
      <c r="A59" s="271" t="s">
        <v>172</v>
      </c>
      <c r="B59" s="272">
        <v>32465953.5</v>
      </c>
      <c r="C59" s="356" t="s">
        <v>646</v>
      </c>
      <c r="D59" s="302">
        <v>45474</v>
      </c>
      <c r="E59" s="271">
        <v>30</v>
      </c>
      <c r="F59" s="273">
        <f t="shared" si="30"/>
        <v>45504</v>
      </c>
      <c r="G59" s="271">
        <f t="shared" si="31"/>
        <v>153</v>
      </c>
      <c r="H59" s="271"/>
      <c r="I59" s="271"/>
      <c r="J59" s="271"/>
      <c r="K59" s="271"/>
      <c r="L59" s="277">
        <f t="shared" si="32"/>
        <v>32465953.5</v>
      </c>
    </row>
    <row r="60" spans="1:12">
      <c r="A60" s="271" t="s">
        <v>172</v>
      </c>
      <c r="B60" s="272">
        <v>52470000</v>
      </c>
      <c r="C60" s="356" t="s">
        <v>982</v>
      </c>
      <c r="D60" s="302">
        <v>45518</v>
      </c>
      <c r="E60" s="271">
        <v>30</v>
      </c>
      <c r="F60" s="273">
        <f t="shared" si="30"/>
        <v>45548</v>
      </c>
      <c r="G60" s="271">
        <f t="shared" si="31"/>
        <v>109</v>
      </c>
      <c r="H60" s="271"/>
      <c r="I60" s="271"/>
      <c r="J60" s="271"/>
      <c r="K60" s="271"/>
      <c r="L60" s="277">
        <f t="shared" si="32"/>
        <v>52470000</v>
      </c>
    </row>
    <row r="61" spans="1:12">
      <c r="A61" s="271" t="s">
        <v>172</v>
      </c>
      <c r="B61" s="272">
        <v>31700000</v>
      </c>
      <c r="C61" s="356" t="s">
        <v>931</v>
      </c>
      <c r="D61" s="302">
        <v>45518</v>
      </c>
      <c r="E61" s="271">
        <v>30</v>
      </c>
      <c r="F61" s="273">
        <f t="shared" si="30"/>
        <v>45548</v>
      </c>
      <c r="G61" s="271">
        <f t="shared" si="31"/>
        <v>109</v>
      </c>
      <c r="H61" s="271"/>
      <c r="I61" s="271"/>
      <c r="J61" s="271"/>
      <c r="K61" s="271"/>
      <c r="L61" s="277">
        <f t="shared" si="32"/>
        <v>31700000</v>
      </c>
    </row>
    <row r="62" spans="1:12">
      <c r="A62" s="271" t="s">
        <v>172</v>
      </c>
      <c r="B62" s="272">
        <v>31700000</v>
      </c>
      <c r="C62" s="356" t="s">
        <v>839</v>
      </c>
      <c r="D62" s="302">
        <v>45518</v>
      </c>
      <c r="E62" s="271">
        <v>30</v>
      </c>
      <c r="F62" s="273">
        <f t="shared" si="30"/>
        <v>45548</v>
      </c>
      <c r="G62" s="271">
        <f t="shared" si="31"/>
        <v>109</v>
      </c>
      <c r="H62" s="271"/>
      <c r="I62" s="271"/>
      <c r="J62" s="271"/>
      <c r="K62" s="271"/>
      <c r="L62" s="277">
        <f t="shared" si="32"/>
        <v>31700000</v>
      </c>
    </row>
    <row r="63" spans="1:12">
      <c r="A63" s="271" t="s">
        <v>172</v>
      </c>
      <c r="B63" s="272">
        <v>31700000</v>
      </c>
      <c r="C63" s="356" t="s">
        <v>840</v>
      </c>
      <c r="D63" s="302">
        <v>45518</v>
      </c>
      <c r="E63" s="271">
        <v>30</v>
      </c>
      <c r="F63" s="273">
        <f t="shared" si="30"/>
        <v>45548</v>
      </c>
      <c r="G63" s="271">
        <f t="shared" si="31"/>
        <v>109</v>
      </c>
      <c r="H63" s="271"/>
      <c r="I63" s="271"/>
      <c r="J63" s="271"/>
      <c r="K63" s="271"/>
      <c r="L63" s="277">
        <f t="shared" si="32"/>
        <v>31700000</v>
      </c>
    </row>
    <row r="64" spans="1:12">
      <c r="A64" s="271" t="s">
        <v>172</v>
      </c>
      <c r="B64" s="272">
        <v>77500000</v>
      </c>
      <c r="C64" s="356" t="s">
        <v>983</v>
      </c>
      <c r="D64" s="302">
        <v>45518</v>
      </c>
      <c r="E64" s="271">
        <v>30</v>
      </c>
      <c r="F64" s="273">
        <f t="shared" si="30"/>
        <v>45548</v>
      </c>
      <c r="G64" s="271">
        <f t="shared" si="31"/>
        <v>109</v>
      </c>
      <c r="H64" s="271"/>
      <c r="I64" s="271"/>
      <c r="J64" s="271"/>
      <c r="K64" s="271"/>
      <c r="L64" s="277">
        <f t="shared" si="32"/>
        <v>77500000</v>
      </c>
    </row>
    <row r="65" spans="1:12">
      <c r="A65" s="271" t="s">
        <v>172</v>
      </c>
      <c r="B65" s="272">
        <v>46500000</v>
      </c>
      <c r="C65" s="356" t="s">
        <v>285</v>
      </c>
      <c r="D65" s="302">
        <v>45520</v>
      </c>
      <c r="E65" s="271">
        <v>30</v>
      </c>
      <c r="F65" s="273">
        <f t="shared" si="30"/>
        <v>45550</v>
      </c>
      <c r="G65" s="271">
        <f t="shared" si="31"/>
        <v>107</v>
      </c>
      <c r="H65" s="271"/>
      <c r="I65" s="271"/>
      <c r="J65" s="271"/>
      <c r="K65" s="271"/>
      <c r="L65" s="277">
        <f t="shared" si="32"/>
        <v>46500000</v>
      </c>
    </row>
    <row r="66" spans="1:12">
      <c r="A66" s="271" t="s">
        <v>172</v>
      </c>
      <c r="B66" s="272">
        <v>62000000</v>
      </c>
      <c r="C66" s="356" t="s">
        <v>843</v>
      </c>
      <c r="D66" s="302">
        <v>45520</v>
      </c>
      <c r="E66" s="271">
        <v>30</v>
      </c>
      <c r="F66" s="273">
        <f t="shared" si="30"/>
        <v>45550</v>
      </c>
      <c r="G66" s="271">
        <f t="shared" si="31"/>
        <v>107</v>
      </c>
      <c r="H66" s="271"/>
      <c r="I66" s="271"/>
      <c r="J66" s="271"/>
      <c r="K66" s="271"/>
      <c r="L66" s="277">
        <f t="shared" si="32"/>
        <v>62000000</v>
      </c>
    </row>
    <row r="67" spans="1:12">
      <c r="A67" s="271" t="s">
        <v>172</v>
      </c>
      <c r="B67" s="272">
        <v>39125000</v>
      </c>
      <c r="C67" s="356" t="s">
        <v>984</v>
      </c>
      <c r="D67" s="302">
        <v>45527</v>
      </c>
      <c r="E67" s="271">
        <v>30</v>
      </c>
      <c r="F67" s="273">
        <f t="shared" si="30"/>
        <v>45557</v>
      </c>
      <c r="G67" s="271">
        <f t="shared" si="31"/>
        <v>100</v>
      </c>
      <c r="H67" s="271"/>
      <c r="I67" s="271"/>
      <c r="J67" s="271"/>
      <c r="K67" s="271"/>
      <c r="L67" s="277">
        <f t="shared" si="32"/>
        <v>39125000</v>
      </c>
    </row>
    <row r="68" spans="1:12">
      <c r="A68" s="271" t="s">
        <v>172</v>
      </c>
      <c r="B68" s="272">
        <v>77500000</v>
      </c>
      <c r="C68" s="356" t="s">
        <v>848</v>
      </c>
      <c r="D68" s="302">
        <v>45530</v>
      </c>
      <c r="E68" s="271">
        <v>30</v>
      </c>
      <c r="F68" s="273">
        <f t="shared" si="30"/>
        <v>45560</v>
      </c>
      <c r="G68" s="271">
        <f t="shared" si="31"/>
        <v>97</v>
      </c>
      <c r="H68" s="271"/>
      <c r="I68" s="271"/>
      <c r="J68" s="271"/>
      <c r="K68" s="271"/>
      <c r="L68" s="277">
        <f t="shared" si="32"/>
        <v>77500000</v>
      </c>
    </row>
    <row r="69" spans="1:12">
      <c r="A69" s="271" t="s">
        <v>172</v>
      </c>
      <c r="B69" s="272">
        <v>77500000</v>
      </c>
      <c r="C69" s="356" t="s">
        <v>849</v>
      </c>
      <c r="D69" s="302">
        <v>45530</v>
      </c>
      <c r="E69" s="271">
        <v>30</v>
      </c>
      <c r="F69" s="273">
        <f t="shared" si="30"/>
        <v>45560</v>
      </c>
      <c r="G69" s="271">
        <f t="shared" si="31"/>
        <v>97</v>
      </c>
      <c r="H69" s="271"/>
      <c r="I69" s="271"/>
      <c r="J69" s="271"/>
      <c r="K69" s="271"/>
      <c r="L69" s="277">
        <f t="shared" si="32"/>
        <v>77500000</v>
      </c>
    </row>
    <row r="70" spans="1:12">
      <c r="A70" s="271" t="s">
        <v>172</v>
      </c>
      <c r="B70" s="272">
        <v>38950000</v>
      </c>
      <c r="C70" s="356" t="s">
        <v>850</v>
      </c>
      <c r="D70" s="302">
        <v>45530</v>
      </c>
      <c r="E70" s="271">
        <v>30</v>
      </c>
      <c r="F70" s="273">
        <f t="shared" si="30"/>
        <v>45560</v>
      </c>
      <c r="G70" s="271">
        <f t="shared" si="31"/>
        <v>97</v>
      </c>
      <c r="H70" s="271"/>
      <c r="I70" s="271"/>
      <c r="J70" s="271"/>
      <c r="K70" s="271"/>
      <c r="L70" s="277">
        <f t="shared" si="32"/>
        <v>38950000</v>
      </c>
    </row>
    <row r="71" spans="1:12">
      <c r="A71" s="271" t="s">
        <v>172</v>
      </c>
      <c r="B71" s="272">
        <v>63600000</v>
      </c>
      <c r="C71" s="356" t="s">
        <v>932</v>
      </c>
      <c r="D71" s="302">
        <v>45530</v>
      </c>
      <c r="E71" s="271">
        <v>30</v>
      </c>
      <c r="F71" s="273">
        <f t="shared" si="30"/>
        <v>45560</v>
      </c>
      <c r="G71" s="271">
        <f t="shared" si="31"/>
        <v>97</v>
      </c>
      <c r="H71" s="271"/>
      <c r="I71" s="271"/>
      <c r="J71" s="271"/>
      <c r="K71" s="271"/>
      <c r="L71" s="277">
        <f t="shared" si="32"/>
        <v>63600000</v>
      </c>
    </row>
    <row r="72" spans="1:12">
      <c r="A72" s="271" t="s">
        <v>172</v>
      </c>
      <c r="B72" s="272">
        <v>46500000</v>
      </c>
      <c r="C72" s="356" t="s">
        <v>933</v>
      </c>
      <c r="D72" s="302">
        <v>45530</v>
      </c>
      <c r="E72" s="271">
        <v>30</v>
      </c>
      <c r="F72" s="273">
        <f t="shared" si="30"/>
        <v>45560</v>
      </c>
      <c r="G72" s="271">
        <f t="shared" si="31"/>
        <v>97</v>
      </c>
      <c r="H72" s="271"/>
      <c r="I72" s="271"/>
      <c r="J72" s="271"/>
      <c r="K72" s="271"/>
      <c r="L72" s="277">
        <f t="shared" si="32"/>
        <v>46500000</v>
      </c>
    </row>
    <row r="73" spans="1:12">
      <c r="A73" s="271" t="s">
        <v>172</v>
      </c>
      <c r="B73" s="272">
        <v>31000000</v>
      </c>
      <c r="C73" s="356" t="s">
        <v>852</v>
      </c>
      <c r="D73" s="302">
        <v>45531</v>
      </c>
      <c r="E73" s="271">
        <v>30</v>
      </c>
      <c r="F73" s="273">
        <f t="shared" si="30"/>
        <v>45561</v>
      </c>
      <c r="G73" s="271">
        <f t="shared" si="31"/>
        <v>96</v>
      </c>
      <c r="H73" s="271"/>
      <c r="I73" s="271"/>
      <c r="J73" s="271"/>
      <c r="K73" s="271"/>
      <c r="L73" s="277">
        <f t="shared" si="32"/>
        <v>31000000</v>
      </c>
    </row>
    <row r="74" spans="1:12">
      <c r="A74" s="271" t="s">
        <v>172</v>
      </c>
      <c r="B74" s="272">
        <v>15900000</v>
      </c>
      <c r="C74" s="356" t="s">
        <v>985</v>
      </c>
      <c r="D74" s="302">
        <v>45531</v>
      </c>
      <c r="E74" s="271">
        <v>30</v>
      </c>
      <c r="F74" s="273">
        <f t="shared" si="30"/>
        <v>45561</v>
      </c>
      <c r="G74" s="271">
        <f t="shared" si="31"/>
        <v>96</v>
      </c>
      <c r="H74" s="271"/>
      <c r="I74" s="271"/>
      <c r="J74" s="271"/>
      <c r="K74" s="271"/>
      <c r="L74" s="277">
        <f t="shared" si="32"/>
        <v>15900000</v>
      </c>
    </row>
    <row r="75" spans="1:12">
      <c r="A75" s="271" t="s">
        <v>172</v>
      </c>
      <c r="B75" s="272">
        <v>77500000</v>
      </c>
      <c r="C75" s="356" t="s">
        <v>926</v>
      </c>
      <c r="D75" s="302">
        <v>45539</v>
      </c>
      <c r="E75" s="271">
        <v>30</v>
      </c>
      <c r="F75" s="273">
        <f t="shared" si="30"/>
        <v>45569</v>
      </c>
      <c r="G75" s="271">
        <f t="shared" si="31"/>
        <v>88</v>
      </c>
      <c r="H75" s="271"/>
      <c r="I75" s="271"/>
      <c r="J75" s="271"/>
      <c r="K75" s="277">
        <f>B75</f>
        <v>77500000</v>
      </c>
      <c r="L75" s="271"/>
    </row>
    <row r="76" spans="1:12">
      <c r="A76" s="271" t="s">
        <v>172</v>
      </c>
      <c r="B76" s="272">
        <v>85250000</v>
      </c>
      <c r="C76" s="356" t="s">
        <v>927</v>
      </c>
      <c r="D76" s="302">
        <v>45539</v>
      </c>
      <c r="E76" s="271">
        <v>30</v>
      </c>
      <c r="F76" s="273">
        <f t="shared" si="30"/>
        <v>45569</v>
      </c>
      <c r="G76" s="271">
        <f t="shared" si="31"/>
        <v>88</v>
      </c>
      <c r="H76" s="271"/>
      <c r="I76" s="271"/>
      <c r="J76" s="271"/>
      <c r="K76" s="277">
        <f t="shared" ref="K76:K82" si="33">B76</f>
        <v>85250000</v>
      </c>
      <c r="L76" s="271"/>
    </row>
    <row r="77" spans="1:12">
      <c r="A77" s="271" t="s">
        <v>172</v>
      </c>
      <c r="B77" s="272">
        <v>108500000</v>
      </c>
      <c r="C77" s="356" t="s">
        <v>424</v>
      </c>
      <c r="D77" s="302">
        <v>45540</v>
      </c>
      <c r="E77" s="271">
        <v>30</v>
      </c>
      <c r="F77" s="273">
        <f t="shared" si="30"/>
        <v>45570</v>
      </c>
      <c r="G77" s="271">
        <f t="shared" si="31"/>
        <v>87</v>
      </c>
      <c r="H77" s="271"/>
      <c r="I77" s="271"/>
      <c r="J77" s="271"/>
      <c r="K77" s="277">
        <f t="shared" si="33"/>
        <v>108500000</v>
      </c>
      <c r="L77" s="271"/>
    </row>
    <row r="78" spans="1:12">
      <c r="A78" s="271" t="s">
        <v>172</v>
      </c>
      <c r="B78" s="272">
        <v>31000000</v>
      </c>
      <c r="C78" s="356" t="s">
        <v>928</v>
      </c>
      <c r="D78" s="302">
        <v>45540</v>
      </c>
      <c r="E78" s="271">
        <v>30</v>
      </c>
      <c r="F78" s="273">
        <f t="shared" si="30"/>
        <v>45570</v>
      </c>
      <c r="G78" s="271">
        <f t="shared" si="31"/>
        <v>87</v>
      </c>
      <c r="H78" s="271"/>
      <c r="I78" s="271"/>
      <c r="J78" s="271"/>
      <c r="K78" s="277">
        <f t="shared" si="33"/>
        <v>31000000</v>
      </c>
      <c r="L78" s="271"/>
    </row>
    <row r="79" spans="1:12">
      <c r="A79" s="271" t="s">
        <v>172</v>
      </c>
      <c r="B79" s="272">
        <v>77500000</v>
      </c>
      <c r="C79" s="356" t="s">
        <v>425</v>
      </c>
      <c r="D79" s="302">
        <v>45540</v>
      </c>
      <c r="E79" s="271">
        <v>30</v>
      </c>
      <c r="F79" s="273">
        <f t="shared" si="30"/>
        <v>45570</v>
      </c>
      <c r="G79" s="271">
        <f t="shared" si="31"/>
        <v>87</v>
      </c>
      <c r="H79" s="271"/>
      <c r="I79" s="271"/>
      <c r="J79" s="271"/>
      <c r="K79" s="277">
        <f t="shared" si="33"/>
        <v>77500000</v>
      </c>
      <c r="L79" s="271"/>
    </row>
    <row r="80" spans="1:12">
      <c r="A80" s="271" t="s">
        <v>172</v>
      </c>
      <c r="B80" s="272">
        <v>62200000</v>
      </c>
      <c r="C80" s="356" t="s">
        <v>426</v>
      </c>
      <c r="D80" s="302">
        <v>45540</v>
      </c>
      <c r="E80" s="271">
        <v>30</v>
      </c>
      <c r="F80" s="273">
        <f t="shared" si="30"/>
        <v>45570</v>
      </c>
      <c r="G80" s="271">
        <f t="shared" si="31"/>
        <v>87</v>
      </c>
      <c r="H80" s="271"/>
      <c r="I80" s="271"/>
      <c r="J80" s="271"/>
      <c r="K80" s="277">
        <f t="shared" si="33"/>
        <v>62200000</v>
      </c>
      <c r="L80" s="271"/>
    </row>
    <row r="81" spans="1:12">
      <c r="A81" s="271" t="s">
        <v>172</v>
      </c>
      <c r="B81" s="272">
        <v>79300000</v>
      </c>
      <c r="C81" s="356" t="s">
        <v>986</v>
      </c>
      <c r="D81" s="302">
        <v>45548</v>
      </c>
      <c r="E81" s="271">
        <v>30</v>
      </c>
      <c r="F81" s="273">
        <f t="shared" si="30"/>
        <v>45578</v>
      </c>
      <c r="G81" s="271">
        <f t="shared" si="31"/>
        <v>79</v>
      </c>
      <c r="H81" s="271"/>
      <c r="I81" s="271"/>
      <c r="J81" s="271"/>
      <c r="K81" s="277">
        <f t="shared" si="33"/>
        <v>79300000</v>
      </c>
      <c r="L81" s="271"/>
    </row>
    <row r="82" spans="1:12">
      <c r="A82" s="271" t="s">
        <v>172</v>
      </c>
      <c r="B82" s="272">
        <v>79325000</v>
      </c>
      <c r="C82" s="356" t="s">
        <v>428</v>
      </c>
      <c r="D82" s="302">
        <v>45548</v>
      </c>
      <c r="E82" s="271">
        <v>30</v>
      </c>
      <c r="F82" s="273">
        <f t="shared" si="30"/>
        <v>45578</v>
      </c>
      <c r="G82" s="271">
        <f t="shared" si="31"/>
        <v>79</v>
      </c>
      <c r="H82" s="271"/>
      <c r="I82" s="271"/>
      <c r="J82" s="271"/>
      <c r="K82" s="277">
        <f t="shared" si="33"/>
        <v>79325000</v>
      </c>
      <c r="L82" s="271"/>
    </row>
    <row r="83" spans="1:12">
      <c r="A83" s="271" t="s">
        <v>172</v>
      </c>
      <c r="B83" s="272">
        <v>124881937.84</v>
      </c>
      <c r="C83" s="356" t="s">
        <v>987</v>
      </c>
      <c r="D83" s="302">
        <v>45569</v>
      </c>
      <c r="E83" s="271">
        <v>30</v>
      </c>
      <c r="F83" s="273">
        <f t="shared" si="30"/>
        <v>45599</v>
      </c>
      <c r="G83" s="271">
        <f t="shared" si="31"/>
        <v>58</v>
      </c>
      <c r="H83" s="271"/>
      <c r="I83" s="271"/>
      <c r="J83" s="277">
        <f>B83</f>
        <v>124881937.84</v>
      </c>
      <c r="K83" s="271"/>
      <c r="L83" s="271"/>
    </row>
    <row r="84" spans="1:12">
      <c r="A84" s="271" t="s">
        <v>172</v>
      </c>
      <c r="B84" s="272">
        <v>18376876.34</v>
      </c>
      <c r="C84" s="356" t="s">
        <v>988</v>
      </c>
      <c r="D84" s="302">
        <v>45582</v>
      </c>
      <c r="E84" s="271">
        <v>30</v>
      </c>
      <c r="F84" s="273">
        <f t="shared" si="30"/>
        <v>45612</v>
      </c>
      <c r="G84" s="271">
        <f t="shared" si="31"/>
        <v>45</v>
      </c>
      <c r="H84" s="271"/>
      <c r="I84" s="271"/>
      <c r="J84" s="277">
        <f t="shared" ref="J84:J87" si="34">B84</f>
        <v>18376876.34</v>
      </c>
      <c r="K84" s="271"/>
      <c r="L84" s="271"/>
    </row>
    <row r="85" spans="1:12">
      <c r="A85" s="271" t="s">
        <v>172</v>
      </c>
      <c r="B85" s="272">
        <v>57706367.270000003</v>
      </c>
      <c r="C85" s="356" t="s">
        <v>461</v>
      </c>
      <c r="D85" s="302">
        <v>45583</v>
      </c>
      <c r="E85" s="271">
        <v>30</v>
      </c>
      <c r="F85" s="273">
        <f t="shared" si="30"/>
        <v>45613</v>
      </c>
      <c r="G85" s="271">
        <f t="shared" si="31"/>
        <v>44</v>
      </c>
      <c r="H85" s="271"/>
      <c r="I85" s="271"/>
      <c r="J85" s="277">
        <f t="shared" si="34"/>
        <v>57706367.270000003</v>
      </c>
      <c r="K85" s="271"/>
      <c r="L85" s="271"/>
    </row>
    <row r="86" spans="1:12">
      <c r="A86" s="271" t="s">
        <v>172</v>
      </c>
      <c r="B86" s="272">
        <v>19078839.190000001</v>
      </c>
      <c r="C86" s="356" t="s">
        <v>989</v>
      </c>
      <c r="D86" s="302">
        <v>45590</v>
      </c>
      <c r="E86" s="271">
        <v>30</v>
      </c>
      <c r="F86" s="273">
        <f t="shared" si="30"/>
        <v>45620</v>
      </c>
      <c r="G86" s="271">
        <f t="shared" si="31"/>
        <v>37</v>
      </c>
      <c r="H86" s="271"/>
      <c r="I86" s="271"/>
      <c r="J86" s="277">
        <f t="shared" si="34"/>
        <v>19078839.190000001</v>
      </c>
      <c r="K86" s="271"/>
      <c r="L86" s="271"/>
    </row>
    <row r="87" spans="1:12">
      <c r="A87" s="271" t="s">
        <v>172</v>
      </c>
      <c r="B87" s="272">
        <v>75708394.790000007</v>
      </c>
      <c r="C87" s="356" t="s">
        <v>990</v>
      </c>
      <c r="D87" s="302">
        <v>45591</v>
      </c>
      <c r="E87" s="271">
        <v>30</v>
      </c>
      <c r="F87" s="273">
        <f t="shared" si="30"/>
        <v>45621</v>
      </c>
      <c r="G87" s="271">
        <f t="shared" si="31"/>
        <v>36</v>
      </c>
      <c r="H87" s="271"/>
      <c r="I87" s="271"/>
      <c r="J87" s="277">
        <f t="shared" si="34"/>
        <v>75708394.790000007</v>
      </c>
      <c r="K87" s="271"/>
      <c r="L87" s="271"/>
    </row>
    <row r="88" spans="1:12">
      <c r="A88" s="271" t="s">
        <v>172</v>
      </c>
      <c r="B88" s="272">
        <v>149290743.97</v>
      </c>
      <c r="C88" s="356" t="s">
        <v>991</v>
      </c>
      <c r="D88" s="302">
        <v>45597</v>
      </c>
      <c r="E88" s="271">
        <v>30</v>
      </c>
      <c r="F88" s="273">
        <f t="shared" si="30"/>
        <v>45627</v>
      </c>
      <c r="G88" s="271">
        <f t="shared" si="31"/>
        <v>30</v>
      </c>
      <c r="H88" s="271"/>
      <c r="I88" s="277">
        <f>B88</f>
        <v>149290743.97</v>
      </c>
      <c r="J88" s="271"/>
      <c r="K88" s="271"/>
      <c r="L88" s="271"/>
    </row>
    <row r="89" spans="1:12">
      <c r="A89" s="271" t="s">
        <v>172</v>
      </c>
      <c r="B89" s="272">
        <v>167207252.72999999</v>
      </c>
      <c r="C89" s="356" t="s">
        <v>992</v>
      </c>
      <c r="D89" s="302">
        <v>45597</v>
      </c>
      <c r="E89" s="271">
        <v>30</v>
      </c>
      <c r="F89" s="273">
        <f t="shared" si="30"/>
        <v>45627</v>
      </c>
      <c r="G89" s="271">
        <f t="shared" si="31"/>
        <v>30</v>
      </c>
      <c r="H89" s="271"/>
      <c r="I89" s="277">
        <f t="shared" ref="I89:I100" si="35">B89</f>
        <v>167207252.72999999</v>
      </c>
      <c r="J89" s="271"/>
      <c r="K89" s="271"/>
      <c r="L89" s="271"/>
    </row>
    <row r="90" spans="1:12">
      <c r="A90" s="271" t="s">
        <v>172</v>
      </c>
      <c r="B90" s="272">
        <v>73283676.390000001</v>
      </c>
      <c r="C90" s="356" t="s">
        <v>993</v>
      </c>
      <c r="D90" s="302">
        <v>45597</v>
      </c>
      <c r="E90" s="271">
        <v>30</v>
      </c>
      <c r="F90" s="273">
        <f t="shared" si="30"/>
        <v>45627</v>
      </c>
      <c r="G90" s="271">
        <f t="shared" si="31"/>
        <v>30</v>
      </c>
      <c r="H90" s="271"/>
      <c r="I90" s="277">
        <f t="shared" si="35"/>
        <v>73283676.390000001</v>
      </c>
      <c r="J90" s="271"/>
      <c r="K90" s="271"/>
      <c r="L90" s="271"/>
    </row>
    <row r="91" spans="1:12">
      <c r="A91" s="271" t="s">
        <v>172</v>
      </c>
      <c r="B91" s="272">
        <v>30957606.670000002</v>
      </c>
      <c r="C91" s="356" t="s">
        <v>994</v>
      </c>
      <c r="D91" s="302">
        <v>45598</v>
      </c>
      <c r="E91" s="271">
        <v>30</v>
      </c>
      <c r="F91" s="273">
        <f t="shared" si="30"/>
        <v>45628</v>
      </c>
      <c r="G91" s="271">
        <f t="shared" si="31"/>
        <v>29</v>
      </c>
      <c r="H91" s="271"/>
      <c r="I91" s="277">
        <f t="shared" si="35"/>
        <v>30957606.670000002</v>
      </c>
      <c r="J91" s="271"/>
      <c r="K91" s="271"/>
      <c r="L91" s="271"/>
    </row>
    <row r="92" spans="1:12">
      <c r="A92" s="271" t="s">
        <v>172</v>
      </c>
      <c r="B92" s="272">
        <v>417488313.24000001</v>
      </c>
      <c r="C92" s="356" t="s">
        <v>341</v>
      </c>
      <c r="D92" s="302">
        <v>45608</v>
      </c>
      <c r="E92" s="271">
        <v>30</v>
      </c>
      <c r="F92" s="273">
        <f t="shared" si="30"/>
        <v>45638</v>
      </c>
      <c r="G92" s="271">
        <f t="shared" si="31"/>
        <v>19</v>
      </c>
      <c r="H92" s="271"/>
      <c r="I92" s="277">
        <f t="shared" si="35"/>
        <v>417488313.24000001</v>
      </c>
      <c r="J92" s="271"/>
      <c r="K92" s="271"/>
      <c r="L92" s="271"/>
    </row>
    <row r="93" spans="1:12">
      <c r="A93" s="271" t="s">
        <v>172</v>
      </c>
      <c r="B93" s="272">
        <v>45873282.18</v>
      </c>
      <c r="C93" s="356" t="s">
        <v>995</v>
      </c>
      <c r="D93" s="302">
        <v>45610</v>
      </c>
      <c r="E93" s="271">
        <v>30</v>
      </c>
      <c r="F93" s="273">
        <f t="shared" si="30"/>
        <v>45640</v>
      </c>
      <c r="G93" s="271">
        <f t="shared" si="31"/>
        <v>17</v>
      </c>
      <c r="H93" s="271"/>
      <c r="I93" s="277">
        <f t="shared" si="35"/>
        <v>45873282.18</v>
      </c>
      <c r="J93" s="271"/>
      <c r="K93" s="271"/>
      <c r="L93" s="271"/>
    </row>
    <row r="94" spans="1:12">
      <c r="A94" s="271" t="s">
        <v>172</v>
      </c>
      <c r="B94" s="272">
        <v>52673208.950000003</v>
      </c>
      <c r="C94" s="356" t="s">
        <v>346</v>
      </c>
      <c r="D94" s="302">
        <v>45611</v>
      </c>
      <c r="E94" s="271">
        <v>30</v>
      </c>
      <c r="F94" s="273">
        <f t="shared" si="30"/>
        <v>45641</v>
      </c>
      <c r="G94" s="271">
        <f t="shared" si="31"/>
        <v>16</v>
      </c>
      <c r="H94" s="271"/>
      <c r="I94" s="277">
        <f t="shared" si="35"/>
        <v>52673208.950000003</v>
      </c>
      <c r="J94" s="271"/>
      <c r="K94" s="271"/>
      <c r="L94" s="271"/>
    </row>
    <row r="95" spans="1:12">
      <c r="A95" s="271" t="s">
        <v>172</v>
      </c>
      <c r="B95" s="272">
        <v>17040476.120000001</v>
      </c>
      <c r="C95" s="356" t="s">
        <v>996</v>
      </c>
      <c r="D95" s="302">
        <v>45614</v>
      </c>
      <c r="E95" s="271">
        <v>30</v>
      </c>
      <c r="F95" s="273">
        <f t="shared" si="30"/>
        <v>45644</v>
      </c>
      <c r="G95" s="271">
        <f t="shared" si="31"/>
        <v>13</v>
      </c>
      <c r="H95" s="271"/>
      <c r="I95" s="277">
        <f t="shared" si="35"/>
        <v>17040476.120000001</v>
      </c>
      <c r="J95" s="271"/>
      <c r="K95" s="271"/>
      <c r="L95" s="271"/>
    </row>
    <row r="96" spans="1:12">
      <c r="A96" s="271" t="s">
        <v>172</v>
      </c>
      <c r="B96" s="272">
        <v>120498259.34999999</v>
      </c>
      <c r="C96" s="356" t="s">
        <v>997</v>
      </c>
      <c r="D96" s="302">
        <v>45614</v>
      </c>
      <c r="E96" s="271">
        <v>30</v>
      </c>
      <c r="F96" s="273">
        <f t="shared" si="30"/>
        <v>45644</v>
      </c>
      <c r="G96" s="271">
        <f t="shared" si="31"/>
        <v>13</v>
      </c>
      <c r="H96" s="271"/>
      <c r="I96" s="277">
        <f t="shared" si="35"/>
        <v>120498259.34999999</v>
      </c>
      <c r="J96" s="271"/>
      <c r="K96" s="271"/>
      <c r="L96" s="271"/>
    </row>
    <row r="97" spans="1:12">
      <c r="A97" s="271" t="s">
        <v>172</v>
      </c>
      <c r="B97" s="272">
        <v>152291684.31</v>
      </c>
      <c r="C97" s="356" t="s">
        <v>998</v>
      </c>
      <c r="D97" s="302">
        <v>45618</v>
      </c>
      <c r="E97" s="271">
        <v>30</v>
      </c>
      <c r="F97" s="273">
        <f t="shared" si="30"/>
        <v>45648</v>
      </c>
      <c r="G97" s="271">
        <f t="shared" si="31"/>
        <v>9</v>
      </c>
      <c r="H97" s="271"/>
      <c r="I97" s="277">
        <f t="shared" si="35"/>
        <v>152291684.31</v>
      </c>
      <c r="J97" s="271"/>
      <c r="K97" s="271"/>
      <c r="L97" s="271"/>
    </row>
    <row r="98" spans="1:12">
      <c r="A98" s="271" t="s">
        <v>172</v>
      </c>
      <c r="B98" s="272">
        <v>115017370.84999999</v>
      </c>
      <c r="C98" s="356" t="s">
        <v>886</v>
      </c>
      <c r="D98" s="302">
        <v>45619</v>
      </c>
      <c r="E98" s="271">
        <v>30</v>
      </c>
      <c r="F98" s="273">
        <f t="shared" si="30"/>
        <v>45649</v>
      </c>
      <c r="G98" s="271">
        <f t="shared" si="31"/>
        <v>8</v>
      </c>
      <c r="H98" s="271"/>
      <c r="I98" s="277">
        <f t="shared" si="35"/>
        <v>115017370.84999999</v>
      </c>
      <c r="J98" s="271"/>
      <c r="K98" s="271"/>
      <c r="L98" s="271"/>
    </row>
    <row r="99" spans="1:12">
      <c r="A99" s="271" t="s">
        <v>172</v>
      </c>
      <c r="B99" s="272">
        <v>63408677.579999998</v>
      </c>
      <c r="C99" s="356" t="s">
        <v>352</v>
      </c>
      <c r="D99" s="302">
        <v>45621</v>
      </c>
      <c r="E99" s="271">
        <v>30</v>
      </c>
      <c r="F99" s="273">
        <f t="shared" si="30"/>
        <v>45651</v>
      </c>
      <c r="G99" s="271">
        <f t="shared" si="31"/>
        <v>6</v>
      </c>
      <c r="H99" s="271"/>
      <c r="I99" s="277">
        <f t="shared" si="35"/>
        <v>63408677.579999998</v>
      </c>
      <c r="J99" s="271"/>
      <c r="K99" s="271"/>
      <c r="L99" s="271"/>
    </row>
    <row r="100" spans="1:12">
      <c r="A100" s="271" t="s">
        <v>172</v>
      </c>
      <c r="B100" s="272">
        <v>109532564.45999999</v>
      </c>
      <c r="C100" s="356" t="s">
        <v>353</v>
      </c>
      <c r="D100" s="302">
        <v>45621</v>
      </c>
      <c r="E100" s="271">
        <v>30</v>
      </c>
      <c r="F100" s="273">
        <f t="shared" si="30"/>
        <v>45651</v>
      </c>
      <c r="G100" s="271">
        <f t="shared" si="31"/>
        <v>6</v>
      </c>
      <c r="H100" s="271"/>
      <c r="I100" s="277">
        <f t="shared" si="35"/>
        <v>109532564.45999999</v>
      </c>
      <c r="J100" s="271"/>
      <c r="K100" s="271"/>
      <c r="L100" s="271"/>
    </row>
    <row r="101" spans="1:12">
      <c r="A101" s="271" t="s">
        <v>172</v>
      </c>
      <c r="B101" s="272">
        <v>125957727.2</v>
      </c>
      <c r="C101" s="356" t="s">
        <v>999</v>
      </c>
      <c r="D101" s="302">
        <v>45628</v>
      </c>
      <c r="E101" s="271">
        <v>30</v>
      </c>
      <c r="F101" s="273">
        <f t="shared" si="30"/>
        <v>45658</v>
      </c>
      <c r="G101" s="271">
        <f t="shared" si="31"/>
        <v>-1</v>
      </c>
      <c r="H101" s="277">
        <f>B101</f>
        <v>125957727.2</v>
      </c>
      <c r="I101" s="271"/>
      <c r="J101" s="271"/>
      <c r="K101" s="271"/>
      <c r="L101" s="271"/>
    </row>
    <row r="102" spans="1:12">
      <c r="A102" s="271" t="s">
        <v>172</v>
      </c>
      <c r="B102" s="272">
        <v>268822378.06999999</v>
      </c>
      <c r="C102" s="356" t="s">
        <v>1000</v>
      </c>
      <c r="D102" s="302">
        <v>45638</v>
      </c>
      <c r="E102" s="271">
        <v>30</v>
      </c>
      <c r="F102" s="273">
        <f t="shared" si="30"/>
        <v>45668</v>
      </c>
      <c r="G102" s="271">
        <f t="shared" si="31"/>
        <v>-11</v>
      </c>
      <c r="H102" s="277">
        <f t="shared" ref="H102:H114" si="36">B102</f>
        <v>268822378.06999999</v>
      </c>
      <c r="I102" s="271"/>
      <c r="J102" s="271"/>
      <c r="K102" s="271"/>
      <c r="L102" s="271"/>
    </row>
    <row r="103" spans="1:12">
      <c r="A103" s="271" t="s">
        <v>172</v>
      </c>
      <c r="B103" s="272">
        <v>85463170.530000001</v>
      </c>
      <c r="C103" s="356" t="s">
        <v>1001</v>
      </c>
      <c r="D103" s="302">
        <v>45640</v>
      </c>
      <c r="E103" s="271">
        <v>30</v>
      </c>
      <c r="F103" s="273">
        <f t="shared" si="30"/>
        <v>45670</v>
      </c>
      <c r="G103" s="271">
        <f t="shared" si="31"/>
        <v>-13</v>
      </c>
      <c r="H103" s="277">
        <f t="shared" si="36"/>
        <v>85463170.530000001</v>
      </c>
      <c r="I103" s="271"/>
      <c r="J103" s="271"/>
      <c r="K103" s="271"/>
      <c r="L103" s="271"/>
    </row>
    <row r="104" spans="1:12">
      <c r="A104" s="271" t="s">
        <v>172</v>
      </c>
      <c r="B104" s="272">
        <v>241995792.72999999</v>
      </c>
      <c r="C104" s="356" t="s">
        <v>1002</v>
      </c>
      <c r="D104" s="302">
        <v>45642</v>
      </c>
      <c r="E104" s="271">
        <v>30</v>
      </c>
      <c r="F104" s="273">
        <f t="shared" si="30"/>
        <v>45672</v>
      </c>
      <c r="G104" s="271">
        <f t="shared" si="31"/>
        <v>-15</v>
      </c>
      <c r="H104" s="277">
        <f t="shared" si="36"/>
        <v>241995792.72999999</v>
      </c>
      <c r="I104" s="271"/>
      <c r="J104" s="271"/>
      <c r="K104" s="271"/>
      <c r="L104" s="271"/>
    </row>
    <row r="105" spans="1:12">
      <c r="A105" s="271" t="s">
        <v>172</v>
      </c>
      <c r="B105" s="272">
        <v>229679418.52000001</v>
      </c>
      <c r="C105" s="356" t="s">
        <v>877</v>
      </c>
      <c r="D105" s="302">
        <v>45643</v>
      </c>
      <c r="E105" s="271">
        <v>30</v>
      </c>
      <c r="F105" s="273">
        <f t="shared" si="30"/>
        <v>45673</v>
      </c>
      <c r="G105" s="271">
        <f t="shared" si="31"/>
        <v>-16</v>
      </c>
      <c r="H105" s="277">
        <f t="shared" si="36"/>
        <v>229679418.52000001</v>
      </c>
      <c r="I105" s="271"/>
      <c r="J105" s="271"/>
      <c r="K105" s="271"/>
      <c r="L105" s="271"/>
    </row>
    <row r="106" spans="1:12">
      <c r="A106" s="271" t="s">
        <v>172</v>
      </c>
      <c r="B106" s="272">
        <v>216800543.50999999</v>
      </c>
      <c r="C106" s="356" t="s">
        <v>878</v>
      </c>
      <c r="D106" s="302">
        <v>45643</v>
      </c>
      <c r="E106" s="271">
        <v>30</v>
      </c>
      <c r="F106" s="273">
        <f t="shared" si="30"/>
        <v>45673</v>
      </c>
      <c r="G106" s="271">
        <f t="shared" si="31"/>
        <v>-16</v>
      </c>
      <c r="H106" s="277">
        <f t="shared" si="36"/>
        <v>216800543.50999999</v>
      </c>
      <c r="I106" s="271"/>
      <c r="J106" s="271"/>
      <c r="K106" s="271"/>
      <c r="L106" s="271"/>
    </row>
    <row r="107" spans="1:12">
      <c r="A107" s="271" t="s">
        <v>172</v>
      </c>
      <c r="B107" s="272">
        <v>151780012.52000001</v>
      </c>
      <c r="C107" s="356" t="s">
        <v>879</v>
      </c>
      <c r="D107" s="302">
        <v>45643</v>
      </c>
      <c r="E107" s="271">
        <v>30</v>
      </c>
      <c r="F107" s="273">
        <f t="shared" si="30"/>
        <v>45673</v>
      </c>
      <c r="G107" s="271">
        <f t="shared" si="31"/>
        <v>-16</v>
      </c>
      <c r="H107" s="277">
        <f t="shared" si="36"/>
        <v>151780012.52000001</v>
      </c>
      <c r="I107" s="271"/>
      <c r="J107" s="271"/>
      <c r="K107" s="271"/>
      <c r="L107" s="271"/>
    </row>
    <row r="108" spans="1:12">
      <c r="A108" s="271" t="s">
        <v>172</v>
      </c>
      <c r="B108" s="272">
        <v>53507682.969999999</v>
      </c>
      <c r="C108" s="356" t="s">
        <v>467</v>
      </c>
      <c r="D108" s="302">
        <v>45644</v>
      </c>
      <c r="E108" s="271">
        <v>30</v>
      </c>
      <c r="F108" s="273">
        <f t="shared" si="30"/>
        <v>45674</v>
      </c>
      <c r="G108" s="271">
        <f t="shared" si="31"/>
        <v>-17</v>
      </c>
      <c r="H108" s="277">
        <f t="shared" si="36"/>
        <v>53507682.969999999</v>
      </c>
      <c r="I108" s="271"/>
      <c r="J108" s="271"/>
      <c r="K108" s="271"/>
      <c r="L108" s="271"/>
    </row>
    <row r="109" spans="1:12">
      <c r="A109" s="271" t="s">
        <v>172</v>
      </c>
      <c r="B109" s="272">
        <v>97335311.489999995</v>
      </c>
      <c r="C109" s="356" t="s">
        <v>447</v>
      </c>
      <c r="D109" s="302">
        <v>45645</v>
      </c>
      <c r="E109" s="271">
        <v>30</v>
      </c>
      <c r="F109" s="273">
        <f t="shared" si="30"/>
        <v>45675</v>
      </c>
      <c r="G109" s="271">
        <f t="shared" si="31"/>
        <v>-18</v>
      </c>
      <c r="H109" s="277">
        <f t="shared" si="36"/>
        <v>97335311.489999995</v>
      </c>
      <c r="I109" s="271"/>
      <c r="J109" s="271"/>
      <c r="K109" s="271"/>
      <c r="L109" s="271"/>
    </row>
    <row r="110" spans="1:12">
      <c r="A110" s="271" t="s">
        <v>172</v>
      </c>
      <c r="B110" s="272">
        <v>1155954</v>
      </c>
      <c r="C110" s="356" t="s">
        <v>449</v>
      </c>
      <c r="D110" s="302">
        <v>45649</v>
      </c>
      <c r="E110" s="271">
        <v>30</v>
      </c>
      <c r="F110" s="273">
        <f t="shared" si="30"/>
        <v>45679</v>
      </c>
      <c r="G110" s="271">
        <f t="shared" si="31"/>
        <v>-22</v>
      </c>
      <c r="H110" s="277">
        <f t="shared" si="36"/>
        <v>1155954</v>
      </c>
      <c r="I110" s="271"/>
      <c r="J110" s="271"/>
      <c r="K110" s="271"/>
      <c r="L110" s="271"/>
    </row>
    <row r="111" spans="1:12">
      <c r="A111" s="271" t="s">
        <v>172</v>
      </c>
      <c r="B111" s="272">
        <v>1320678</v>
      </c>
      <c r="C111" s="356" t="s">
        <v>1003</v>
      </c>
      <c r="D111" s="302">
        <v>45650</v>
      </c>
      <c r="E111" s="271">
        <v>30</v>
      </c>
      <c r="F111" s="273">
        <f t="shared" ref="F111:F114" si="37">D111+E111</f>
        <v>45680</v>
      </c>
      <c r="G111" s="271">
        <f t="shared" ref="G111:G114" si="38">$A$3-F111</f>
        <v>-23</v>
      </c>
      <c r="H111" s="277">
        <f t="shared" si="36"/>
        <v>1320678</v>
      </c>
      <c r="I111" s="271"/>
      <c r="J111" s="271"/>
      <c r="K111" s="271"/>
      <c r="L111" s="271"/>
    </row>
    <row r="112" spans="1:12">
      <c r="A112" s="271" t="s">
        <v>172</v>
      </c>
      <c r="B112" s="272">
        <v>1233210</v>
      </c>
      <c r="C112" s="356" t="s">
        <v>469</v>
      </c>
      <c r="D112" s="302">
        <v>45651</v>
      </c>
      <c r="E112" s="271">
        <v>30</v>
      </c>
      <c r="F112" s="273">
        <f t="shared" si="37"/>
        <v>45681</v>
      </c>
      <c r="G112" s="271">
        <f t="shared" si="38"/>
        <v>-24</v>
      </c>
      <c r="H112" s="277">
        <f t="shared" si="36"/>
        <v>1233210</v>
      </c>
      <c r="I112" s="271"/>
      <c r="J112" s="271"/>
      <c r="K112" s="271"/>
      <c r="L112" s="271"/>
    </row>
    <row r="113" spans="1:12">
      <c r="A113" s="271" t="s">
        <v>172</v>
      </c>
      <c r="B113" s="272">
        <v>901098</v>
      </c>
      <c r="C113" s="356" t="s">
        <v>1004</v>
      </c>
      <c r="D113" s="302">
        <v>45652</v>
      </c>
      <c r="E113" s="271">
        <v>30</v>
      </c>
      <c r="F113" s="273">
        <f t="shared" si="37"/>
        <v>45682</v>
      </c>
      <c r="G113" s="271">
        <f t="shared" si="38"/>
        <v>-25</v>
      </c>
      <c r="H113" s="277">
        <f t="shared" si="36"/>
        <v>901098</v>
      </c>
      <c r="I113" s="271"/>
      <c r="J113" s="271"/>
      <c r="K113" s="271"/>
      <c r="L113" s="271"/>
    </row>
    <row r="114" spans="1:12">
      <c r="A114" s="92" t="s">
        <v>172</v>
      </c>
      <c r="B114" s="210">
        <v>480408</v>
      </c>
      <c r="C114" s="397" t="s">
        <v>1005</v>
      </c>
      <c r="D114" s="398">
        <v>45653</v>
      </c>
      <c r="E114" s="92">
        <v>30</v>
      </c>
      <c r="F114" s="94">
        <f t="shared" si="37"/>
        <v>45683</v>
      </c>
      <c r="G114" s="92">
        <f t="shared" si="38"/>
        <v>-26</v>
      </c>
      <c r="H114" s="399">
        <f t="shared" si="36"/>
        <v>480408</v>
      </c>
      <c r="I114" s="92"/>
      <c r="J114" s="92"/>
      <c r="K114" s="92"/>
      <c r="L114" s="92"/>
    </row>
    <row r="115" spans="1:12">
      <c r="H115" s="400">
        <f>SUM(H7:H114)</f>
        <v>45770142361.339996</v>
      </c>
      <c r="I115" s="400">
        <f>SUM(I7:I114)</f>
        <v>1543176416.7999997</v>
      </c>
      <c r="J115" s="400">
        <f>SUM(J7:J114)</f>
        <v>295752415.43000001</v>
      </c>
      <c r="K115" s="400">
        <f>SUM(K7:K114)</f>
        <v>625607200</v>
      </c>
      <c r="L115" s="400">
        <f>SUM(L7:L114)</f>
        <v>1843450590.7499998</v>
      </c>
    </row>
  </sheetData>
  <autoFilter ref="A6:L114" xr:uid="{1477492B-25A5-454D-B534-9C1F6F02CC75}"/>
  <mergeCells count="2">
    <mergeCell ref="C5:F5"/>
    <mergeCell ref="G5:L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C5D0-3E95-42C0-803F-D917F5B1727D}">
  <sheetPr>
    <tabColor rgb="FFFFC000"/>
  </sheetPr>
  <dimension ref="A1:M150"/>
  <sheetViews>
    <sheetView showGridLines="0" workbookViewId="0">
      <pane xSplit="2" ySplit="5" topLeftCell="C133" activePane="bottomRight" state="frozen"/>
      <selection pane="topRight" activeCell="C1" sqref="C1"/>
      <selection pane="bottomLeft" activeCell="A6" sqref="A6"/>
      <selection pane="bottomRight" activeCell="D84" sqref="D84"/>
    </sheetView>
  </sheetViews>
  <sheetFormatPr defaultRowHeight="14.5"/>
  <cols>
    <col min="1" max="1" width="43" bestFit="1" customWidth="1"/>
    <col min="2" max="2" width="13.81640625" bestFit="1" customWidth="1"/>
    <col min="3" max="3" width="10.26953125" bestFit="1" customWidth="1"/>
    <col min="4" max="4" width="10.6328125" bestFit="1" customWidth="1"/>
    <col min="5" max="5" width="12.08984375" bestFit="1" customWidth="1"/>
    <col min="6" max="6" width="15.1796875" bestFit="1" customWidth="1"/>
    <col min="7" max="7" width="11.54296875" bestFit="1" customWidth="1"/>
    <col min="8" max="8" width="14.453125" bestFit="1" customWidth="1"/>
    <col min="9" max="9" width="13.90625" bestFit="1" customWidth="1"/>
    <col min="10" max="11" width="14.81640625" bestFit="1" customWidth="1"/>
    <col min="12" max="12" width="13.36328125" bestFit="1" customWidth="1"/>
    <col min="13" max="13" width="13.81640625" bestFit="1" customWidth="1"/>
  </cols>
  <sheetData>
    <row r="1" spans="1:13">
      <c r="A1" s="158" t="s">
        <v>185</v>
      </c>
      <c r="B1" s="16"/>
      <c r="C1" s="18"/>
    </row>
    <row r="2" spans="1:13">
      <c r="A2" s="158" t="s">
        <v>172</v>
      </c>
      <c r="B2" s="16">
        <f>B3-B4</f>
        <v>-0.46000003814697266</v>
      </c>
    </row>
    <row r="3" spans="1:13">
      <c r="A3" s="160">
        <v>45657</v>
      </c>
      <c r="B3" s="236">
        <v>2321126163</v>
      </c>
      <c r="C3" s="21" t="s">
        <v>243</v>
      </c>
    </row>
    <row r="4" spans="1:13">
      <c r="B4" s="16">
        <f>SUBTOTAL(9,B6:B78)</f>
        <v>2321126163.46</v>
      </c>
      <c r="H4" s="16">
        <f>SUBTOTAL(9,H6:H78)</f>
        <v>881749670.21000004</v>
      </c>
      <c r="I4" s="16">
        <f t="shared" ref="I4:L4" si="0">SUBTOTAL(9,I6:I78)</f>
        <v>525660132.25</v>
      </c>
      <c r="J4" s="16">
        <f t="shared" si="0"/>
        <v>623745086</v>
      </c>
      <c r="K4" s="16">
        <f t="shared" si="0"/>
        <v>69093320</v>
      </c>
      <c r="L4" s="16">
        <f t="shared" si="0"/>
        <v>220877955</v>
      </c>
      <c r="M4" s="18">
        <f>SUM(H4:L4)-B4</f>
        <v>0</v>
      </c>
    </row>
    <row r="5" spans="1:13">
      <c r="A5" s="341" t="s">
        <v>2</v>
      </c>
      <c r="B5" s="286" t="s">
        <v>3</v>
      </c>
      <c r="C5" s="288" t="s">
        <v>244</v>
      </c>
      <c r="D5" s="288" t="s">
        <v>245</v>
      </c>
      <c r="E5" s="288" t="s">
        <v>209</v>
      </c>
      <c r="F5" s="286" t="s">
        <v>210</v>
      </c>
      <c r="G5" s="286" t="s">
        <v>211</v>
      </c>
      <c r="H5" s="286" t="s">
        <v>174</v>
      </c>
      <c r="I5" s="286" t="s">
        <v>212</v>
      </c>
      <c r="J5" s="286" t="s">
        <v>213</v>
      </c>
      <c r="K5" s="286" t="s">
        <v>214</v>
      </c>
      <c r="L5" s="286" t="s">
        <v>215</v>
      </c>
    </row>
    <row r="6" spans="1:13">
      <c r="A6" t="s">
        <v>8</v>
      </c>
      <c r="B6" s="363">
        <v>19544752</v>
      </c>
      <c r="C6" s="271"/>
      <c r="D6" s="273"/>
      <c r="E6" s="271"/>
      <c r="F6" s="273"/>
      <c r="G6" s="271"/>
      <c r="H6" s="277"/>
      <c r="I6" s="277">
        <f>B6</f>
        <v>19544752</v>
      </c>
      <c r="J6" s="271"/>
      <c r="K6" s="271"/>
      <c r="L6" s="271"/>
    </row>
    <row r="7" spans="1:13">
      <c r="B7" s="272"/>
      <c r="C7" s="271"/>
      <c r="D7" s="273"/>
      <c r="E7" s="271"/>
      <c r="F7" s="273"/>
      <c r="G7" s="271"/>
      <c r="H7" s="271"/>
      <c r="I7" s="271"/>
      <c r="J7" s="271"/>
      <c r="K7" s="271"/>
      <c r="L7" s="271"/>
    </row>
    <row r="8" spans="1:13">
      <c r="A8" t="s">
        <v>48</v>
      </c>
      <c r="B8" s="363">
        <v>22904000</v>
      </c>
      <c r="C8" s="271">
        <v>18</v>
      </c>
      <c r="D8" s="273">
        <v>45566</v>
      </c>
      <c r="E8" s="271">
        <v>30</v>
      </c>
      <c r="F8" s="273">
        <f>D8+E8</f>
        <v>45596</v>
      </c>
      <c r="G8" s="271">
        <f>$A$3-F8</f>
        <v>61</v>
      </c>
      <c r="H8" s="271"/>
      <c r="I8" s="271"/>
      <c r="J8" s="271"/>
      <c r="K8" s="277">
        <f>B8</f>
        <v>22904000</v>
      </c>
      <c r="L8" s="271"/>
    </row>
    <row r="9" spans="1:13">
      <c r="A9" t="s">
        <v>48</v>
      </c>
      <c r="B9" s="363">
        <v>17115800</v>
      </c>
      <c r="C9" s="271">
        <v>23</v>
      </c>
      <c r="D9" s="273">
        <v>45640</v>
      </c>
      <c r="E9" s="271">
        <v>30</v>
      </c>
      <c r="F9" s="273">
        <f>D9+E9</f>
        <v>45670</v>
      </c>
      <c r="G9" s="271">
        <f>$A$3-F9</f>
        <v>-13</v>
      </c>
      <c r="H9" s="277">
        <f>B9</f>
        <v>17115800</v>
      </c>
      <c r="I9" s="271"/>
      <c r="J9" s="271"/>
      <c r="K9" s="271"/>
      <c r="L9" s="271"/>
    </row>
    <row r="10" spans="1:13">
      <c r="B10" s="272"/>
      <c r="C10" s="271"/>
      <c r="D10" s="273"/>
      <c r="E10" s="271"/>
      <c r="F10" s="273"/>
      <c r="G10" s="271"/>
      <c r="H10" s="271"/>
      <c r="I10" s="271"/>
      <c r="J10" s="271"/>
      <c r="K10" s="271"/>
      <c r="L10" s="271"/>
    </row>
    <row r="11" spans="1:13">
      <c r="A11" t="s">
        <v>83</v>
      </c>
      <c r="B11" s="272">
        <v>13506480</v>
      </c>
      <c r="C11" s="271">
        <v>36</v>
      </c>
      <c r="D11" s="273">
        <v>45553</v>
      </c>
      <c r="E11" s="271">
        <v>30</v>
      </c>
      <c r="F11" s="273">
        <f>D11+E11</f>
        <v>45583</v>
      </c>
      <c r="G11" s="271">
        <f>$A$3-F11</f>
        <v>74</v>
      </c>
      <c r="H11" s="271"/>
      <c r="I11" s="271"/>
      <c r="J11" s="271"/>
      <c r="K11" s="277">
        <f>B11</f>
        <v>13506480</v>
      </c>
      <c r="L11" s="277"/>
    </row>
    <row r="12" spans="1:13">
      <c r="B12" s="272"/>
      <c r="C12" s="291"/>
      <c r="D12" s="273"/>
      <c r="E12" s="271"/>
      <c r="F12" s="273"/>
      <c r="G12" s="271"/>
      <c r="H12" s="271"/>
      <c r="I12" s="271"/>
      <c r="J12" s="271"/>
      <c r="K12" s="277"/>
      <c r="L12" s="271"/>
    </row>
    <row r="13" spans="1:13">
      <c r="A13" t="s">
        <v>11</v>
      </c>
      <c r="B13" s="272">
        <v>24975000</v>
      </c>
      <c r="C13" s="291">
        <v>397</v>
      </c>
      <c r="D13" s="273">
        <v>45546</v>
      </c>
      <c r="E13" s="271">
        <v>30</v>
      </c>
      <c r="F13" s="273">
        <f>D13+E13</f>
        <v>45576</v>
      </c>
      <c r="G13" s="271">
        <f>$A$3-F13</f>
        <v>81</v>
      </c>
      <c r="H13" s="271"/>
      <c r="I13" s="271"/>
      <c r="J13" s="277"/>
      <c r="K13" s="277">
        <f>B13</f>
        <v>24975000</v>
      </c>
      <c r="L13" s="277"/>
    </row>
    <row r="14" spans="1:13">
      <c r="B14" s="272"/>
      <c r="C14" s="291"/>
      <c r="D14" s="273"/>
      <c r="E14" s="271"/>
      <c r="F14" s="273"/>
      <c r="G14" s="271"/>
      <c r="H14" s="271"/>
      <c r="I14" s="271"/>
      <c r="J14" s="277"/>
      <c r="K14" s="271"/>
      <c r="L14" s="271"/>
    </row>
    <row r="15" spans="1:13">
      <c r="A15" t="s">
        <v>12</v>
      </c>
      <c r="B15" s="272">
        <v>7707840</v>
      </c>
      <c r="C15" s="352" t="s">
        <v>920</v>
      </c>
      <c r="D15" s="273">
        <v>45586</v>
      </c>
      <c r="E15" s="271">
        <v>30</v>
      </c>
      <c r="F15" s="273">
        <f>D15+E15</f>
        <v>45616</v>
      </c>
      <c r="G15" s="271">
        <f t="shared" ref="G15:G47" si="1">$A$3-F15</f>
        <v>41</v>
      </c>
      <c r="H15" s="271"/>
      <c r="I15" s="277"/>
      <c r="J15" s="271"/>
      <c r="K15" s="277">
        <f>B15</f>
        <v>7707840</v>
      </c>
      <c r="L15" s="271"/>
    </row>
    <row r="16" spans="1:13">
      <c r="A16" t="s">
        <v>12</v>
      </c>
      <c r="B16" s="272">
        <v>9145290</v>
      </c>
      <c r="C16" s="352" t="s">
        <v>921</v>
      </c>
      <c r="D16" s="273">
        <v>45593</v>
      </c>
      <c r="E16" s="271">
        <v>30</v>
      </c>
      <c r="F16" s="273">
        <f t="shared" ref="F16:F33" si="2">D16+E16</f>
        <v>45623</v>
      </c>
      <c r="G16" s="271">
        <f t="shared" si="1"/>
        <v>34</v>
      </c>
      <c r="H16" s="271"/>
      <c r="I16" s="277"/>
      <c r="J16" s="277">
        <f>B16</f>
        <v>9145290</v>
      </c>
      <c r="K16" s="277"/>
      <c r="L16" s="271"/>
    </row>
    <row r="17" spans="1:12">
      <c r="A17" t="s">
        <v>12</v>
      </c>
      <c r="B17" s="272">
        <v>23742900</v>
      </c>
      <c r="C17" s="352" t="s">
        <v>922</v>
      </c>
      <c r="D17" s="273">
        <v>45597</v>
      </c>
      <c r="E17" s="271">
        <v>30</v>
      </c>
      <c r="F17" s="273">
        <f t="shared" si="2"/>
        <v>45627</v>
      </c>
      <c r="G17" s="271">
        <f t="shared" si="1"/>
        <v>30</v>
      </c>
      <c r="H17" s="271"/>
      <c r="I17" s="277">
        <f t="shared" ref="I17:I27" si="3">B17</f>
        <v>23742900</v>
      </c>
      <c r="J17" s="271"/>
      <c r="K17" s="271"/>
      <c r="L17" s="271"/>
    </row>
    <row r="18" spans="1:12">
      <c r="A18" t="s">
        <v>12</v>
      </c>
      <c r="B18" s="272">
        <v>5505600</v>
      </c>
      <c r="C18" s="352" t="s">
        <v>421</v>
      </c>
      <c r="D18" s="273">
        <v>45621</v>
      </c>
      <c r="E18" s="271">
        <v>30</v>
      </c>
      <c r="F18" s="273">
        <f t="shared" si="2"/>
        <v>45651</v>
      </c>
      <c r="G18" s="271">
        <f t="shared" si="1"/>
        <v>6</v>
      </c>
      <c r="H18" s="271"/>
      <c r="I18" s="277">
        <f t="shared" si="3"/>
        <v>5505600</v>
      </c>
      <c r="J18" s="271"/>
      <c r="K18" s="271"/>
      <c r="L18" s="271"/>
    </row>
    <row r="19" spans="1:12">
      <c r="A19" t="s">
        <v>12</v>
      </c>
      <c r="B19" s="272">
        <f>1340325-408848</f>
        <v>931477</v>
      </c>
      <c r="C19" s="352" t="s">
        <v>923</v>
      </c>
      <c r="D19" s="273">
        <v>45621</v>
      </c>
      <c r="E19" s="271">
        <v>30</v>
      </c>
      <c r="F19" s="273">
        <f t="shared" si="2"/>
        <v>45651</v>
      </c>
      <c r="G19" s="271">
        <f t="shared" si="1"/>
        <v>6</v>
      </c>
      <c r="H19" s="271"/>
      <c r="I19" s="277">
        <f t="shared" si="3"/>
        <v>931477</v>
      </c>
      <c r="J19" s="271"/>
      <c r="K19" s="271"/>
      <c r="L19" s="271"/>
    </row>
    <row r="20" spans="1:12">
      <c r="A20" t="s">
        <v>12</v>
      </c>
      <c r="B20" s="272">
        <v>8286705</v>
      </c>
      <c r="C20" s="352" t="s">
        <v>416</v>
      </c>
      <c r="D20" s="273">
        <v>45621</v>
      </c>
      <c r="E20" s="271">
        <v>30</v>
      </c>
      <c r="F20" s="273">
        <f t="shared" si="2"/>
        <v>45651</v>
      </c>
      <c r="G20" s="271">
        <f t="shared" si="1"/>
        <v>6</v>
      </c>
      <c r="H20" s="271"/>
      <c r="I20" s="277">
        <f t="shared" si="3"/>
        <v>8286705</v>
      </c>
      <c r="J20" s="271"/>
      <c r="K20" s="271"/>
      <c r="L20" s="271"/>
    </row>
    <row r="21" spans="1:12">
      <c r="A21" t="s">
        <v>12</v>
      </c>
      <c r="B21" s="272">
        <v>10217938</v>
      </c>
      <c r="C21" s="352" t="s">
        <v>924</v>
      </c>
      <c r="D21" s="273">
        <v>45621</v>
      </c>
      <c r="E21" s="271">
        <v>30</v>
      </c>
      <c r="F21" s="273">
        <f t="shared" si="2"/>
        <v>45651</v>
      </c>
      <c r="G21" s="271">
        <f t="shared" si="1"/>
        <v>6</v>
      </c>
      <c r="H21" s="271"/>
      <c r="I21" s="277">
        <f t="shared" si="3"/>
        <v>10217938</v>
      </c>
      <c r="J21" s="271"/>
      <c r="K21" s="271"/>
      <c r="L21" s="271"/>
    </row>
    <row r="22" spans="1:12">
      <c r="A22" t="s">
        <v>12</v>
      </c>
      <c r="B22" s="272">
        <v>16350566</v>
      </c>
      <c r="C22" s="352" t="s">
        <v>925</v>
      </c>
      <c r="D22" s="273">
        <v>45621</v>
      </c>
      <c r="E22" s="271">
        <v>30</v>
      </c>
      <c r="F22" s="273">
        <f t="shared" si="2"/>
        <v>45651</v>
      </c>
      <c r="G22" s="271">
        <f t="shared" si="1"/>
        <v>6</v>
      </c>
      <c r="H22" s="271"/>
      <c r="I22" s="277">
        <f t="shared" si="3"/>
        <v>16350566</v>
      </c>
      <c r="J22" s="271"/>
      <c r="K22" s="271"/>
      <c r="L22" s="271"/>
    </row>
    <row r="23" spans="1:12">
      <c r="A23" t="s">
        <v>12</v>
      </c>
      <c r="B23" s="272">
        <v>6643350</v>
      </c>
      <c r="C23" s="352" t="s">
        <v>422</v>
      </c>
      <c r="D23" s="273">
        <v>45621</v>
      </c>
      <c r="E23" s="271">
        <v>30</v>
      </c>
      <c r="F23" s="273">
        <f t="shared" si="2"/>
        <v>45651</v>
      </c>
      <c r="G23" s="271">
        <f t="shared" si="1"/>
        <v>6</v>
      </c>
      <c r="H23" s="271"/>
      <c r="I23" s="277">
        <f t="shared" si="3"/>
        <v>6643350</v>
      </c>
      <c r="J23" s="271"/>
      <c r="K23" s="271"/>
      <c r="L23" s="271"/>
    </row>
    <row r="24" spans="1:12">
      <c r="A24" t="s">
        <v>12</v>
      </c>
      <c r="B24" s="272">
        <v>8974350</v>
      </c>
      <c r="C24" s="352" t="s">
        <v>854</v>
      </c>
      <c r="D24" s="273">
        <v>45621</v>
      </c>
      <c r="E24" s="271">
        <v>30</v>
      </c>
      <c r="F24" s="273">
        <f t="shared" si="2"/>
        <v>45651</v>
      </c>
      <c r="G24" s="271">
        <f t="shared" si="1"/>
        <v>6</v>
      </c>
      <c r="H24" s="271"/>
      <c r="I24" s="277">
        <f t="shared" si="3"/>
        <v>8974350</v>
      </c>
      <c r="J24" s="271"/>
      <c r="K24" s="271"/>
      <c r="L24" s="271"/>
    </row>
    <row r="25" spans="1:12">
      <c r="A25" t="s">
        <v>12</v>
      </c>
      <c r="B25" s="272">
        <v>8974350</v>
      </c>
      <c r="C25" s="352" t="s">
        <v>926</v>
      </c>
      <c r="D25" s="273">
        <v>45621</v>
      </c>
      <c r="E25" s="271">
        <v>30</v>
      </c>
      <c r="F25" s="273">
        <f t="shared" si="2"/>
        <v>45651</v>
      </c>
      <c r="G25" s="271">
        <f t="shared" si="1"/>
        <v>6</v>
      </c>
      <c r="H25" s="271"/>
      <c r="I25" s="277">
        <f t="shared" si="3"/>
        <v>8974350</v>
      </c>
      <c r="J25" s="271"/>
      <c r="K25" s="271"/>
      <c r="L25" s="271"/>
    </row>
    <row r="26" spans="1:12">
      <c r="A26" t="s">
        <v>12</v>
      </c>
      <c r="B26" s="272">
        <v>3869404</v>
      </c>
      <c r="C26" s="352" t="s">
        <v>927</v>
      </c>
      <c r="D26" s="273">
        <v>45621</v>
      </c>
      <c r="E26" s="271">
        <v>30</v>
      </c>
      <c r="F26" s="273">
        <f t="shared" si="2"/>
        <v>45651</v>
      </c>
      <c r="G26" s="271">
        <f t="shared" si="1"/>
        <v>6</v>
      </c>
      <c r="H26" s="271"/>
      <c r="I26" s="277">
        <f t="shared" si="3"/>
        <v>3869404</v>
      </c>
      <c r="J26" s="271"/>
      <c r="K26" s="271"/>
      <c r="L26" s="271"/>
    </row>
    <row r="27" spans="1:12">
      <c r="A27" t="s">
        <v>12</v>
      </c>
      <c r="B27" s="272">
        <v>8602500</v>
      </c>
      <c r="C27" s="352" t="s">
        <v>928</v>
      </c>
      <c r="D27" s="273">
        <v>45624</v>
      </c>
      <c r="E27" s="271">
        <v>30</v>
      </c>
      <c r="F27" s="273">
        <f t="shared" si="2"/>
        <v>45654</v>
      </c>
      <c r="G27" s="271">
        <f t="shared" si="1"/>
        <v>3</v>
      </c>
      <c r="H27" s="271"/>
      <c r="I27" s="277">
        <f t="shared" si="3"/>
        <v>8602500</v>
      </c>
      <c r="J27" s="271"/>
      <c r="K27" s="271"/>
      <c r="L27" s="271"/>
    </row>
    <row r="28" spans="1:12">
      <c r="A28" t="s">
        <v>12</v>
      </c>
      <c r="B28" s="272">
        <v>6959700</v>
      </c>
      <c r="C28" s="352" t="s">
        <v>319</v>
      </c>
      <c r="D28" s="273">
        <v>45628</v>
      </c>
      <c r="E28" s="271">
        <v>30</v>
      </c>
      <c r="F28" s="273">
        <f t="shared" si="2"/>
        <v>45658</v>
      </c>
      <c r="G28" s="271">
        <f t="shared" si="1"/>
        <v>-1</v>
      </c>
      <c r="H28" s="277">
        <f t="shared" ref="H28:H33" si="4">B28</f>
        <v>6959700</v>
      </c>
      <c r="I28" s="277"/>
      <c r="J28" s="271"/>
      <c r="K28" s="271"/>
      <c r="L28" s="271"/>
    </row>
    <row r="29" spans="1:12">
      <c r="A29" t="s">
        <v>12</v>
      </c>
      <c r="B29" s="272">
        <v>23742900</v>
      </c>
      <c r="C29" s="352" t="s">
        <v>432</v>
      </c>
      <c r="D29" s="273">
        <v>45639</v>
      </c>
      <c r="E29" s="271">
        <v>30</v>
      </c>
      <c r="F29" s="273">
        <f t="shared" si="2"/>
        <v>45669</v>
      </c>
      <c r="G29" s="271">
        <f t="shared" si="1"/>
        <v>-12</v>
      </c>
      <c r="H29" s="277">
        <f t="shared" si="4"/>
        <v>23742900</v>
      </c>
      <c r="I29" s="277"/>
      <c r="J29" s="271"/>
      <c r="K29" s="271"/>
      <c r="L29" s="271"/>
    </row>
    <row r="30" spans="1:12">
      <c r="A30" t="s">
        <v>12</v>
      </c>
      <c r="B30" s="272">
        <v>7776660</v>
      </c>
      <c r="C30" s="352" t="s">
        <v>433</v>
      </c>
      <c r="D30" s="273">
        <v>45639</v>
      </c>
      <c r="E30" s="271">
        <v>30</v>
      </c>
      <c r="F30" s="273">
        <f t="shared" si="2"/>
        <v>45669</v>
      </c>
      <c r="G30" s="271">
        <f t="shared" si="1"/>
        <v>-12</v>
      </c>
      <c r="H30" s="277">
        <f t="shared" si="4"/>
        <v>7776660</v>
      </c>
      <c r="I30" s="277"/>
      <c r="J30" s="271"/>
      <c r="K30" s="271"/>
      <c r="L30" s="271"/>
    </row>
    <row r="31" spans="1:12">
      <c r="A31" t="s">
        <v>12</v>
      </c>
      <c r="B31" s="272">
        <v>2408700</v>
      </c>
      <c r="C31" s="352" t="s">
        <v>929</v>
      </c>
      <c r="D31" s="273">
        <v>45639</v>
      </c>
      <c r="E31" s="271">
        <v>30</v>
      </c>
      <c r="F31" s="273">
        <f t="shared" si="2"/>
        <v>45669</v>
      </c>
      <c r="G31" s="271">
        <f t="shared" si="1"/>
        <v>-12</v>
      </c>
      <c r="H31" s="277">
        <f t="shared" si="4"/>
        <v>2408700</v>
      </c>
      <c r="I31" s="277"/>
      <c r="J31" s="271"/>
      <c r="K31" s="271"/>
      <c r="L31" s="271"/>
    </row>
    <row r="32" spans="1:12">
      <c r="A32" t="s">
        <v>12</v>
      </c>
      <c r="B32" s="272">
        <v>2381172</v>
      </c>
      <c r="C32" s="352" t="s">
        <v>329</v>
      </c>
      <c r="D32" s="273">
        <v>45639</v>
      </c>
      <c r="E32" s="271">
        <v>30</v>
      </c>
      <c r="F32" s="273">
        <f t="shared" si="2"/>
        <v>45669</v>
      </c>
      <c r="G32" s="271">
        <f t="shared" si="1"/>
        <v>-12</v>
      </c>
      <c r="H32" s="277">
        <f t="shared" si="4"/>
        <v>2381172</v>
      </c>
      <c r="I32" s="277"/>
      <c r="J32" s="271"/>
      <c r="K32" s="271"/>
      <c r="L32" s="271"/>
    </row>
    <row r="33" spans="1:12">
      <c r="A33" t="s">
        <v>12</v>
      </c>
      <c r="B33" s="272">
        <v>2340990</v>
      </c>
      <c r="C33" s="352" t="s">
        <v>858</v>
      </c>
      <c r="D33" s="273">
        <v>45639</v>
      </c>
      <c r="E33" s="271">
        <v>30</v>
      </c>
      <c r="F33" s="273">
        <f t="shared" si="2"/>
        <v>45669</v>
      </c>
      <c r="G33" s="271">
        <f t="shared" si="1"/>
        <v>-12</v>
      </c>
      <c r="H33" s="277">
        <f t="shared" si="4"/>
        <v>2340990</v>
      </c>
      <c r="I33" s="277"/>
      <c r="J33" s="271"/>
      <c r="K33" s="271"/>
      <c r="L33" s="271"/>
    </row>
    <row r="34" spans="1:12">
      <c r="B34" s="272"/>
      <c r="C34" s="352"/>
      <c r="D34" s="273"/>
      <c r="E34" s="271"/>
      <c r="F34" s="273"/>
      <c r="G34" s="271"/>
      <c r="H34" s="271"/>
      <c r="I34" s="277"/>
      <c r="J34" s="271"/>
      <c r="K34" s="271"/>
      <c r="L34" s="271"/>
    </row>
    <row r="35" spans="1:12">
      <c r="A35" t="s">
        <v>219</v>
      </c>
      <c r="B35" s="272">
        <v>22200000</v>
      </c>
      <c r="C35" s="352" t="s">
        <v>930</v>
      </c>
      <c r="D35" s="273">
        <v>45639</v>
      </c>
      <c r="E35" s="271">
        <v>30</v>
      </c>
      <c r="F35" s="273">
        <f>D35+E35</f>
        <v>45669</v>
      </c>
      <c r="G35" s="271">
        <f t="shared" si="1"/>
        <v>-12</v>
      </c>
      <c r="H35" s="277">
        <f>B35</f>
        <v>22200000</v>
      </c>
      <c r="I35" s="277"/>
      <c r="J35" s="271"/>
      <c r="K35" s="271"/>
      <c r="L35" s="271"/>
    </row>
    <row r="36" spans="1:12">
      <c r="B36" s="272"/>
      <c r="C36" s="291"/>
      <c r="D36" s="273"/>
      <c r="E36" s="271"/>
      <c r="F36" s="273"/>
      <c r="G36" s="271"/>
      <c r="H36" s="271"/>
      <c r="I36" s="277"/>
      <c r="J36" s="271"/>
      <c r="K36" s="271"/>
      <c r="L36" s="271"/>
    </row>
    <row r="37" spans="1:12">
      <c r="A37" t="s">
        <v>66</v>
      </c>
      <c r="B37" s="272">
        <v>13098000</v>
      </c>
      <c r="C37" s="291">
        <v>601</v>
      </c>
      <c r="D37" s="273">
        <v>45621</v>
      </c>
      <c r="E37" s="271">
        <v>30</v>
      </c>
      <c r="F37" s="273">
        <f>D37+E37</f>
        <v>45651</v>
      </c>
      <c r="G37" s="271">
        <f t="shared" si="1"/>
        <v>6</v>
      </c>
      <c r="H37" s="271"/>
      <c r="I37" s="277">
        <f>B37</f>
        <v>13098000</v>
      </c>
      <c r="J37" s="271"/>
      <c r="K37" s="271"/>
      <c r="L37" s="271"/>
    </row>
    <row r="38" spans="1:12">
      <c r="A38" t="s">
        <v>66</v>
      </c>
      <c r="B38" s="272">
        <v>16761000</v>
      </c>
      <c r="C38" s="291">
        <v>664</v>
      </c>
      <c r="D38" s="273">
        <v>45642</v>
      </c>
      <c r="E38" s="271">
        <v>30</v>
      </c>
      <c r="F38" s="273">
        <f>D38+E38</f>
        <v>45672</v>
      </c>
      <c r="G38" s="271">
        <f t="shared" si="1"/>
        <v>-15</v>
      </c>
      <c r="H38" s="277">
        <f>B38</f>
        <v>16761000</v>
      </c>
      <c r="I38" s="277"/>
      <c r="J38" s="271"/>
      <c r="K38" s="271"/>
      <c r="L38" s="271"/>
    </row>
    <row r="39" spans="1:12">
      <c r="B39" s="272"/>
      <c r="C39" s="291"/>
      <c r="D39" s="273"/>
      <c r="E39" s="271"/>
      <c r="F39" s="273"/>
      <c r="G39" s="271"/>
      <c r="H39" s="271"/>
      <c r="I39" s="277"/>
      <c r="J39" s="271"/>
      <c r="K39" s="271"/>
      <c r="L39" s="271"/>
    </row>
    <row r="40" spans="1:12">
      <c r="A40" t="s">
        <v>19</v>
      </c>
      <c r="B40" s="272">
        <v>13470000</v>
      </c>
      <c r="C40" s="291">
        <v>43</v>
      </c>
      <c r="D40" s="273">
        <v>45604</v>
      </c>
      <c r="E40" s="271">
        <v>30</v>
      </c>
      <c r="F40" s="273">
        <f t="shared" ref="F40:F42" si="5">D40+E40</f>
        <v>45634</v>
      </c>
      <c r="G40" s="271">
        <f t="shared" si="1"/>
        <v>23</v>
      </c>
      <c r="H40" s="271"/>
      <c r="I40" s="277">
        <f>B40</f>
        <v>13470000</v>
      </c>
      <c r="J40" s="271"/>
      <c r="K40" s="271"/>
      <c r="L40" s="271"/>
    </row>
    <row r="41" spans="1:12">
      <c r="A41" t="s">
        <v>19</v>
      </c>
      <c r="B41" s="272">
        <v>960000</v>
      </c>
      <c r="C41" s="291">
        <v>44</v>
      </c>
      <c r="D41" s="273">
        <v>45604</v>
      </c>
      <c r="E41" s="271">
        <v>30</v>
      </c>
      <c r="F41" s="273">
        <f t="shared" si="5"/>
        <v>45634</v>
      </c>
      <c r="G41" s="271">
        <f t="shared" si="1"/>
        <v>23</v>
      </c>
      <c r="H41" s="271"/>
      <c r="I41" s="277">
        <f>B41</f>
        <v>960000</v>
      </c>
      <c r="J41" s="271"/>
      <c r="K41" s="271"/>
      <c r="L41" s="271"/>
    </row>
    <row r="42" spans="1:12">
      <c r="A42" t="s">
        <v>19</v>
      </c>
      <c r="B42" s="272">
        <v>40800000</v>
      </c>
      <c r="C42" s="291">
        <v>46</v>
      </c>
      <c r="D42" s="273">
        <v>45611</v>
      </c>
      <c r="E42" s="271">
        <v>30</v>
      </c>
      <c r="F42" s="273">
        <f t="shared" si="5"/>
        <v>45641</v>
      </c>
      <c r="G42" s="271">
        <f t="shared" si="1"/>
        <v>16</v>
      </c>
      <c r="H42" s="271"/>
      <c r="I42" s="277">
        <f>B42</f>
        <v>40800000</v>
      </c>
      <c r="J42" s="271"/>
      <c r="K42" s="271"/>
      <c r="L42" s="271"/>
    </row>
    <row r="43" spans="1:12">
      <c r="B43" s="272"/>
      <c r="C43" s="291"/>
      <c r="D43" s="273"/>
      <c r="E43" s="271"/>
      <c r="F43" s="273"/>
      <c r="G43" s="271"/>
      <c r="H43" s="271"/>
      <c r="I43" s="277"/>
      <c r="J43" s="271"/>
      <c r="K43" s="271"/>
      <c r="L43" s="271"/>
    </row>
    <row r="44" spans="1:12">
      <c r="A44" t="s">
        <v>21</v>
      </c>
      <c r="B44" s="272">
        <v>31635000</v>
      </c>
      <c r="C44" s="291">
        <v>579</v>
      </c>
      <c r="D44" s="273">
        <v>45614</v>
      </c>
      <c r="E44" s="271">
        <v>30</v>
      </c>
      <c r="F44" s="273">
        <f>D44+E44</f>
        <v>45644</v>
      </c>
      <c r="G44" s="271">
        <f t="shared" si="1"/>
        <v>13</v>
      </c>
      <c r="H44" s="271"/>
      <c r="I44" s="277">
        <f>B44</f>
        <v>31635000</v>
      </c>
      <c r="J44" s="271"/>
      <c r="K44" s="271"/>
      <c r="L44" s="271"/>
    </row>
    <row r="45" spans="1:12">
      <c r="B45" s="272"/>
      <c r="C45" s="291"/>
      <c r="D45" s="273"/>
      <c r="E45" s="271"/>
      <c r="F45" s="273"/>
      <c r="G45" s="271"/>
      <c r="H45" s="277"/>
      <c r="I45" s="271"/>
      <c r="J45" s="271"/>
      <c r="K45" s="271"/>
      <c r="L45" s="271"/>
    </row>
    <row r="46" spans="1:12">
      <c r="A46" t="s">
        <v>30</v>
      </c>
      <c r="B46" s="272">
        <v>25704000</v>
      </c>
      <c r="C46" s="291">
        <v>575</v>
      </c>
      <c r="D46" s="273">
        <v>45637</v>
      </c>
      <c r="E46" s="271">
        <v>30</v>
      </c>
      <c r="F46" s="273">
        <f t="shared" ref="F46:F47" si="6">D46+E46</f>
        <v>45667</v>
      </c>
      <c r="G46" s="271">
        <f t="shared" si="1"/>
        <v>-10</v>
      </c>
      <c r="H46" s="277">
        <f>B46</f>
        <v>25704000</v>
      </c>
      <c r="I46" s="271"/>
      <c r="J46" s="271"/>
      <c r="K46" s="271"/>
      <c r="L46" s="271"/>
    </row>
    <row r="47" spans="1:12">
      <c r="A47" t="s">
        <v>30</v>
      </c>
      <c r="B47" s="272">
        <v>28800000</v>
      </c>
      <c r="C47" s="291">
        <v>607</v>
      </c>
      <c r="D47" s="273">
        <v>45656</v>
      </c>
      <c r="E47" s="271">
        <v>30</v>
      </c>
      <c r="F47" s="273">
        <f t="shared" si="6"/>
        <v>45686</v>
      </c>
      <c r="G47" s="271">
        <f t="shared" si="1"/>
        <v>-29</v>
      </c>
      <c r="H47" s="277">
        <f>B47</f>
        <v>28800000</v>
      </c>
      <c r="I47" s="271"/>
      <c r="J47" s="271"/>
      <c r="K47" s="271"/>
      <c r="L47" s="271"/>
    </row>
    <row r="48" spans="1:12">
      <c r="B48" s="272"/>
      <c r="C48" s="291"/>
      <c r="D48" s="273"/>
      <c r="E48" s="271"/>
      <c r="F48" s="273"/>
      <c r="G48" s="271"/>
      <c r="H48" s="277"/>
      <c r="I48" s="271"/>
      <c r="J48" s="271"/>
      <c r="K48" s="271"/>
      <c r="L48" s="271"/>
    </row>
    <row r="49" spans="1:13">
      <c r="A49" t="s">
        <v>35</v>
      </c>
      <c r="B49" s="272">
        <v>34791785</v>
      </c>
      <c r="C49" s="291"/>
      <c r="D49" s="273"/>
      <c r="E49" s="271"/>
      <c r="F49" s="273"/>
      <c r="G49" s="271"/>
      <c r="H49" s="277"/>
      <c r="I49" s="277">
        <f>B49</f>
        <v>34791785</v>
      </c>
      <c r="J49" s="271"/>
      <c r="K49" s="271"/>
      <c r="L49" s="271"/>
    </row>
    <row r="50" spans="1:13">
      <c r="B50" s="272"/>
      <c r="C50" s="291"/>
      <c r="D50" s="273"/>
      <c r="E50" s="271"/>
      <c r="F50" s="273"/>
      <c r="G50" s="271"/>
      <c r="H50" s="277"/>
      <c r="I50" s="271"/>
      <c r="J50" s="271"/>
      <c r="K50" s="271"/>
      <c r="L50" s="271"/>
    </row>
    <row r="51" spans="1:13">
      <c r="A51" t="s">
        <v>36</v>
      </c>
      <c r="B51" s="371">
        <v>971250</v>
      </c>
      <c r="C51" s="291"/>
      <c r="D51" s="273"/>
      <c r="E51" s="271"/>
      <c r="F51" s="273"/>
      <c r="G51" s="271"/>
      <c r="H51" s="277"/>
      <c r="I51" s="271"/>
      <c r="J51" s="271"/>
      <c r="K51" s="271"/>
      <c r="L51" s="277">
        <f>B51</f>
        <v>971250</v>
      </c>
      <c r="M51" t="s">
        <v>1009</v>
      </c>
    </row>
    <row r="52" spans="1:13">
      <c r="B52" s="272"/>
      <c r="C52" s="291"/>
      <c r="D52" s="273"/>
      <c r="E52" s="271"/>
      <c r="F52" s="273"/>
      <c r="G52" s="271"/>
      <c r="H52" s="277"/>
      <c r="I52" s="271"/>
      <c r="J52" s="271"/>
      <c r="K52" s="271"/>
      <c r="L52" s="271"/>
    </row>
    <row r="53" spans="1:13" hidden="1">
      <c r="A53" t="s">
        <v>240</v>
      </c>
      <c r="B53" s="272">
        <v>21612870</v>
      </c>
      <c r="C53" s="291">
        <v>618</v>
      </c>
      <c r="D53" s="273">
        <v>45657</v>
      </c>
      <c r="E53" s="271">
        <v>30</v>
      </c>
      <c r="F53" s="273">
        <f t="shared" ref="F53:F72" si="7">D53+E53</f>
        <v>45687</v>
      </c>
      <c r="G53" s="271">
        <f t="shared" ref="G53:G72" si="8">$A$3-F53</f>
        <v>-30</v>
      </c>
      <c r="H53" s="277">
        <f>B53</f>
        <v>21612870</v>
      </c>
      <c r="I53" s="271"/>
      <c r="J53" s="271"/>
      <c r="K53" s="271"/>
      <c r="L53" s="271"/>
    </row>
    <row r="54" spans="1:13" hidden="1">
      <c r="A54" t="s">
        <v>240</v>
      </c>
      <c r="B54" s="272">
        <v>12076100</v>
      </c>
      <c r="C54" s="291">
        <v>617</v>
      </c>
      <c r="D54" s="273">
        <v>45657</v>
      </c>
      <c r="E54" s="271">
        <v>30</v>
      </c>
      <c r="F54" s="273">
        <f t="shared" si="7"/>
        <v>45687</v>
      </c>
      <c r="G54" s="271">
        <f t="shared" si="8"/>
        <v>-30</v>
      </c>
      <c r="H54" s="277">
        <f>B54</f>
        <v>12076100</v>
      </c>
      <c r="I54" s="271"/>
      <c r="J54" s="271"/>
      <c r="K54" s="271"/>
      <c r="L54" s="271"/>
    </row>
    <row r="55" spans="1:13" hidden="1">
      <c r="A55" t="s">
        <v>240</v>
      </c>
      <c r="B55" s="272">
        <v>21677040</v>
      </c>
      <c r="C55" s="291">
        <v>567</v>
      </c>
      <c r="D55" s="273">
        <v>45629</v>
      </c>
      <c r="E55" s="271">
        <v>30</v>
      </c>
      <c r="F55" s="273">
        <f t="shared" si="7"/>
        <v>45659</v>
      </c>
      <c r="G55" s="271">
        <f t="shared" si="8"/>
        <v>-2</v>
      </c>
      <c r="H55" s="277">
        <f>B55</f>
        <v>21677040</v>
      </c>
      <c r="I55" s="271"/>
      <c r="J55" s="271"/>
      <c r="K55" s="271"/>
      <c r="L55" s="271"/>
    </row>
    <row r="56" spans="1:13" hidden="1">
      <c r="B56" s="272"/>
      <c r="C56" s="291"/>
      <c r="D56" s="273"/>
      <c r="E56" s="271"/>
      <c r="F56" s="273"/>
      <c r="G56" s="271"/>
      <c r="H56" s="277"/>
      <c r="I56" s="271"/>
      <c r="J56" s="271"/>
      <c r="K56" s="271"/>
      <c r="L56" s="271"/>
    </row>
    <row r="57" spans="1:13" hidden="1">
      <c r="A57" t="s">
        <v>241</v>
      </c>
      <c r="B57" s="272">
        <v>5716500</v>
      </c>
      <c r="C57" s="291">
        <v>480</v>
      </c>
      <c r="D57" s="273">
        <v>45575</v>
      </c>
      <c r="E57" s="271">
        <v>30</v>
      </c>
      <c r="F57" s="273">
        <f t="shared" si="7"/>
        <v>45605</v>
      </c>
      <c r="G57" s="271">
        <f t="shared" si="8"/>
        <v>52</v>
      </c>
      <c r="H57" s="277"/>
      <c r="I57" s="271"/>
      <c r="J57" s="277">
        <f>B57</f>
        <v>5716500</v>
      </c>
      <c r="K57" s="271"/>
      <c r="L57" s="271"/>
    </row>
    <row r="58" spans="1:13" hidden="1">
      <c r="A58" t="s">
        <v>241</v>
      </c>
      <c r="B58" s="272">
        <v>610500</v>
      </c>
      <c r="C58" s="291">
        <v>42</v>
      </c>
      <c r="D58" s="273">
        <v>45597</v>
      </c>
      <c r="E58" s="271">
        <v>30</v>
      </c>
      <c r="F58" s="273">
        <f t="shared" si="7"/>
        <v>45627</v>
      </c>
      <c r="G58" s="271">
        <f t="shared" si="8"/>
        <v>30</v>
      </c>
      <c r="H58" s="277"/>
      <c r="I58" s="277">
        <f>B58</f>
        <v>610500</v>
      </c>
      <c r="J58" s="271"/>
      <c r="K58" s="271"/>
      <c r="L58" s="271"/>
    </row>
    <row r="59" spans="1:13" hidden="1">
      <c r="A59" t="s">
        <v>241</v>
      </c>
      <c r="B59" s="272">
        <v>15651000.25</v>
      </c>
      <c r="C59" s="291">
        <v>538</v>
      </c>
      <c r="D59" s="273">
        <v>45597</v>
      </c>
      <c r="E59" s="271">
        <v>30</v>
      </c>
      <c r="F59" s="273">
        <f t="shared" si="7"/>
        <v>45627</v>
      </c>
      <c r="G59" s="271">
        <f t="shared" si="8"/>
        <v>30</v>
      </c>
      <c r="H59" s="277"/>
      <c r="I59" s="277">
        <f>B59</f>
        <v>15651000.25</v>
      </c>
      <c r="J59" s="271"/>
      <c r="K59" s="271"/>
      <c r="L59" s="271"/>
    </row>
    <row r="60" spans="1:13" hidden="1">
      <c r="B60" s="272"/>
      <c r="C60" s="291"/>
      <c r="D60" s="273"/>
      <c r="E60" s="271"/>
      <c r="F60" s="273"/>
      <c r="G60" s="271"/>
      <c r="H60" s="277"/>
      <c r="I60" s="271"/>
      <c r="J60" s="271"/>
      <c r="K60" s="271"/>
      <c r="L60" s="271"/>
    </row>
    <row r="61" spans="1:13" hidden="1">
      <c r="A61" t="s">
        <v>918</v>
      </c>
      <c r="B61" s="363">
        <v>61090000</v>
      </c>
      <c r="C61" s="271">
        <v>599</v>
      </c>
      <c r="D61" s="273">
        <v>45650</v>
      </c>
      <c r="E61" s="271">
        <v>30</v>
      </c>
      <c r="F61" s="273">
        <f t="shared" si="7"/>
        <v>45680</v>
      </c>
      <c r="G61" s="271">
        <f t="shared" si="8"/>
        <v>-23</v>
      </c>
      <c r="H61" s="277">
        <f>B61</f>
        <v>61090000</v>
      </c>
      <c r="I61" s="271"/>
      <c r="J61" s="271"/>
      <c r="K61" s="271"/>
      <c r="L61" s="271"/>
    </row>
    <row r="62" spans="1:13" hidden="1">
      <c r="B62" s="272"/>
      <c r="C62" s="271"/>
      <c r="D62" s="273"/>
      <c r="E62" s="271"/>
      <c r="F62" s="273"/>
      <c r="G62" s="271"/>
      <c r="H62" s="271"/>
      <c r="I62" s="271"/>
      <c r="J62" s="271"/>
      <c r="K62" s="271"/>
      <c r="L62" s="277"/>
    </row>
    <row r="63" spans="1:13" hidden="1">
      <c r="A63" t="s">
        <v>39</v>
      </c>
      <c r="B63" s="272">
        <v>262620170</v>
      </c>
      <c r="C63" s="271">
        <v>633</v>
      </c>
      <c r="D63" s="273">
        <v>45652</v>
      </c>
      <c r="E63" s="271">
        <v>30</v>
      </c>
      <c r="F63" s="273">
        <f t="shared" si="7"/>
        <v>45682</v>
      </c>
      <c r="G63" s="271">
        <f t="shared" si="8"/>
        <v>-25</v>
      </c>
      <c r="H63" s="277">
        <f>B63</f>
        <v>262620170</v>
      </c>
      <c r="I63" s="271"/>
      <c r="J63" s="271"/>
      <c r="K63" s="271"/>
      <c r="L63" s="271"/>
    </row>
    <row r="64" spans="1:13" hidden="1">
      <c r="A64" t="s">
        <v>39</v>
      </c>
      <c r="B64" s="272">
        <v>135545234</v>
      </c>
      <c r="C64" s="271">
        <v>626</v>
      </c>
      <c r="D64" s="273">
        <v>45650</v>
      </c>
      <c r="E64" s="271">
        <v>30</v>
      </c>
      <c r="F64" s="273">
        <f t="shared" si="7"/>
        <v>45680</v>
      </c>
      <c r="G64" s="271">
        <f t="shared" si="8"/>
        <v>-23</v>
      </c>
      <c r="H64" s="277">
        <f>B64</f>
        <v>135545234</v>
      </c>
      <c r="I64" s="271"/>
      <c r="J64" s="271"/>
      <c r="K64" s="271"/>
      <c r="L64" s="271"/>
    </row>
    <row r="65" spans="1:13" hidden="1">
      <c r="B65" s="272"/>
      <c r="C65" s="271"/>
      <c r="D65" s="273"/>
      <c r="E65" s="271"/>
      <c r="F65" s="273"/>
      <c r="G65" s="271"/>
      <c r="H65" s="271"/>
      <c r="I65" s="271"/>
      <c r="J65" s="271"/>
      <c r="K65" s="271"/>
      <c r="L65" s="271"/>
    </row>
    <row r="66" spans="1:13" hidden="1">
      <c r="A66" t="s">
        <v>919</v>
      </c>
      <c r="B66" s="272">
        <v>2102768.2100000381</v>
      </c>
      <c r="C66" s="271">
        <v>3379</v>
      </c>
      <c r="D66" s="273">
        <v>45632</v>
      </c>
      <c r="E66" s="271">
        <v>30</v>
      </c>
      <c r="F66" s="273">
        <f t="shared" si="7"/>
        <v>45662</v>
      </c>
      <c r="G66" s="271">
        <f t="shared" si="8"/>
        <v>-5</v>
      </c>
      <c r="H66" s="277">
        <f>B66</f>
        <v>2102768.2100000381</v>
      </c>
      <c r="I66" s="271"/>
      <c r="J66" s="271"/>
      <c r="K66" s="271"/>
      <c r="L66" s="271"/>
    </row>
    <row r="67" spans="1:13">
      <c r="B67" s="272"/>
      <c r="C67" s="271"/>
      <c r="D67" s="273"/>
      <c r="E67" s="271"/>
      <c r="F67" s="273"/>
      <c r="G67" s="271"/>
      <c r="H67" s="277"/>
      <c r="I67" s="271"/>
      <c r="J67" s="271"/>
      <c r="K67" s="271"/>
      <c r="L67" s="271"/>
    </row>
    <row r="68" spans="1:13">
      <c r="A68" t="s">
        <v>297</v>
      </c>
      <c r="B68" s="272">
        <v>208834566</v>
      </c>
      <c r="C68" s="271">
        <v>593</v>
      </c>
      <c r="D68" s="273">
        <v>45638</v>
      </c>
      <c r="E68" s="271">
        <v>30</v>
      </c>
      <c r="F68" s="273">
        <f t="shared" si="7"/>
        <v>45668</v>
      </c>
      <c r="G68" s="271">
        <f t="shared" si="8"/>
        <v>-11</v>
      </c>
      <c r="H68" s="277">
        <f>B68</f>
        <v>208834566</v>
      </c>
      <c r="I68" s="271"/>
      <c r="J68" s="271"/>
      <c r="K68" s="271"/>
      <c r="L68" s="271"/>
    </row>
    <row r="69" spans="1:13">
      <c r="A69" t="s">
        <v>297</v>
      </c>
      <c r="B69" s="272">
        <v>80983867</v>
      </c>
      <c r="C69" s="271">
        <v>522</v>
      </c>
      <c r="D69" s="273">
        <v>45593</v>
      </c>
      <c r="E69" s="271">
        <v>30</v>
      </c>
      <c r="F69" s="273">
        <f t="shared" si="7"/>
        <v>45623</v>
      </c>
      <c r="G69" s="271">
        <f t="shared" si="8"/>
        <v>34</v>
      </c>
      <c r="H69" s="277"/>
      <c r="I69" s="271"/>
      <c r="J69" s="277">
        <f>B69</f>
        <v>80983867</v>
      </c>
      <c r="K69" s="271"/>
      <c r="L69" s="271"/>
    </row>
    <row r="70" spans="1:13">
      <c r="A70" t="s">
        <v>297</v>
      </c>
      <c r="B70" s="272">
        <v>214996197</v>
      </c>
      <c r="C70" s="271">
        <v>520</v>
      </c>
      <c r="D70" s="273">
        <v>45593</v>
      </c>
      <c r="E70" s="271">
        <v>30</v>
      </c>
      <c r="F70" s="273">
        <f t="shared" si="7"/>
        <v>45623</v>
      </c>
      <c r="G70" s="271">
        <f t="shared" si="8"/>
        <v>34</v>
      </c>
      <c r="H70" s="277"/>
      <c r="I70" s="271"/>
      <c r="J70" s="277">
        <f>B70</f>
        <v>214996197</v>
      </c>
      <c r="K70" s="271"/>
      <c r="L70" s="271"/>
    </row>
    <row r="71" spans="1:13">
      <c r="A71" t="s">
        <v>297</v>
      </c>
      <c r="B71" s="272">
        <v>70068807</v>
      </c>
      <c r="C71" s="271">
        <v>516</v>
      </c>
      <c r="D71" s="273">
        <v>45591</v>
      </c>
      <c r="E71" s="271">
        <v>30</v>
      </c>
      <c r="F71" s="273">
        <f t="shared" si="7"/>
        <v>45621</v>
      </c>
      <c r="G71" s="271">
        <f t="shared" si="8"/>
        <v>36</v>
      </c>
      <c r="H71" s="277"/>
      <c r="I71" s="271"/>
      <c r="J71" s="277">
        <f>B71</f>
        <v>70068807</v>
      </c>
      <c r="K71" s="271"/>
      <c r="L71" s="271"/>
    </row>
    <row r="72" spans="1:13">
      <c r="A72" t="s">
        <v>297</v>
      </c>
      <c r="B72" s="272">
        <v>242834425</v>
      </c>
      <c r="C72" s="271">
        <v>511</v>
      </c>
      <c r="D72" s="273">
        <v>45590</v>
      </c>
      <c r="E72" s="271">
        <v>30</v>
      </c>
      <c r="F72" s="273">
        <f t="shared" si="7"/>
        <v>45620</v>
      </c>
      <c r="G72" s="271">
        <f t="shared" si="8"/>
        <v>37</v>
      </c>
      <c r="H72" s="277"/>
      <c r="I72" s="271"/>
      <c r="J72" s="277">
        <f>B72</f>
        <v>242834425</v>
      </c>
      <c r="K72" s="271"/>
      <c r="L72" s="271"/>
    </row>
    <row r="73" spans="1:13">
      <c r="B73" s="272"/>
      <c r="C73" s="271"/>
      <c r="D73" s="273"/>
      <c r="E73" s="271"/>
      <c r="F73" s="273"/>
      <c r="G73" s="271"/>
      <c r="H73" s="277"/>
      <c r="I73" s="271"/>
      <c r="J73" s="271"/>
      <c r="K73" s="271"/>
      <c r="L73" s="271"/>
    </row>
    <row r="74" spans="1:13">
      <c r="A74" t="s">
        <v>298</v>
      </c>
      <c r="B74" s="371">
        <v>210906705</v>
      </c>
      <c r="C74" s="271"/>
      <c r="D74" s="271"/>
      <c r="E74" s="271"/>
      <c r="F74" s="273"/>
      <c r="G74" s="271"/>
      <c r="H74" s="271"/>
      <c r="I74" s="271"/>
      <c r="J74" s="271"/>
      <c r="K74" s="271"/>
      <c r="L74" s="277">
        <f>B74</f>
        <v>210906705</v>
      </c>
      <c r="M74" t="s">
        <v>1010</v>
      </c>
    </row>
    <row r="75" spans="1:13">
      <c r="B75" s="272"/>
      <c r="C75" s="271"/>
      <c r="D75" s="271"/>
      <c r="E75" s="271"/>
      <c r="F75" s="273"/>
      <c r="G75" s="271"/>
      <c r="H75" s="271"/>
      <c r="I75" s="271"/>
      <c r="J75" s="271"/>
      <c r="K75" s="271"/>
      <c r="L75" s="271"/>
    </row>
    <row r="76" spans="1:13">
      <c r="A76" t="s">
        <v>302</v>
      </c>
      <c r="B76" s="371">
        <v>9000000</v>
      </c>
      <c r="C76" s="271"/>
      <c r="D76" s="273"/>
      <c r="E76" s="271"/>
      <c r="F76" s="273"/>
      <c r="G76" s="271"/>
      <c r="H76" s="277"/>
      <c r="I76" s="271"/>
      <c r="J76" s="271"/>
      <c r="K76" s="271"/>
      <c r="L76" s="277">
        <f>B76</f>
        <v>9000000</v>
      </c>
      <c r="M76" t="s">
        <v>1009</v>
      </c>
    </row>
    <row r="77" spans="1:13">
      <c r="B77" s="272"/>
      <c r="C77" s="271"/>
      <c r="D77" s="273"/>
      <c r="E77" s="271"/>
      <c r="F77" s="273"/>
      <c r="G77" s="271"/>
      <c r="H77" s="277"/>
      <c r="I77" s="271"/>
      <c r="J77" s="271"/>
      <c r="K77" s="271"/>
      <c r="L77" s="271"/>
    </row>
    <row r="78" spans="1:13">
      <c r="A78" s="271" t="s">
        <v>627</v>
      </c>
      <c r="B78" s="272">
        <f>252999942+13</f>
        <v>252999955</v>
      </c>
      <c r="C78" s="271"/>
      <c r="D78" s="271"/>
      <c r="E78" s="271"/>
      <c r="F78" s="273"/>
      <c r="G78" s="271"/>
      <c r="H78" s="277"/>
      <c r="I78" s="277">
        <f>B78</f>
        <v>252999955</v>
      </c>
      <c r="J78" s="271"/>
      <c r="K78" s="271"/>
      <c r="L78" s="271"/>
    </row>
    <row r="79" spans="1:13">
      <c r="A79" s="369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</row>
    <row r="80" spans="1:13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</row>
    <row r="81" spans="1:12">
      <c r="A81" s="271" t="s">
        <v>145</v>
      </c>
      <c r="B81" s="364">
        <f>8079657361-SUM(B82:B150)</f>
        <v>2653920182.4800005</v>
      </c>
      <c r="C81" s="271"/>
      <c r="D81" s="271"/>
      <c r="E81" s="271"/>
      <c r="F81" s="271"/>
      <c r="G81" s="271"/>
      <c r="H81" s="271"/>
      <c r="I81" s="271"/>
      <c r="J81" s="271"/>
      <c r="K81" s="271"/>
      <c r="L81" s="271"/>
    </row>
    <row r="82" spans="1:12">
      <c r="A82" s="271" t="s">
        <v>145</v>
      </c>
      <c r="B82" s="272">
        <v>15684826.689999999</v>
      </c>
      <c r="C82" s="356">
        <v>22</v>
      </c>
      <c r="D82" s="302">
        <v>45328</v>
      </c>
      <c r="E82" s="271">
        <v>30</v>
      </c>
      <c r="F82" s="271"/>
      <c r="G82" s="271"/>
      <c r="H82" s="271"/>
      <c r="I82" s="271"/>
      <c r="J82" s="271"/>
      <c r="K82" s="271"/>
      <c r="L82" s="271"/>
    </row>
    <row r="83" spans="1:12">
      <c r="A83" s="271" t="s">
        <v>145</v>
      </c>
      <c r="B83" s="272">
        <v>17212339.670000002</v>
      </c>
      <c r="C83" s="356">
        <v>23</v>
      </c>
      <c r="D83" s="302">
        <v>45337</v>
      </c>
      <c r="E83" s="271">
        <v>30</v>
      </c>
      <c r="F83" s="271"/>
      <c r="G83" s="271"/>
      <c r="H83" s="271"/>
      <c r="I83" s="271"/>
      <c r="J83" s="271"/>
      <c r="K83" s="271"/>
      <c r="L83" s="271"/>
    </row>
    <row r="84" spans="1:12">
      <c r="A84" s="271" t="s">
        <v>145</v>
      </c>
      <c r="B84" s="272">
        <v>5253259.62</v>
      </c>
      <c r="C84" s="356">
        <v>24</v>
      </c>
      <c r="D84" s="302">
        <v>45358</v>
      </c>
      <c r="E84" s="271">
        <v>30</v>
      </c>
      <c r="F84" s="271"/>
      <c r="G84" s="271"/>
      <c r="H84" s="271"/>
      <c r="I84" s="271"/>
      <c r="J84" s="271"/>
      <c r="K84" s="271"/>
      <c r="L84" s="271"/>
    </row>
    <row r="85" spans="1:12">
      <c r="A85" s="271" t="s">
        <v>145</v>
      </c>
      <c r="B85" s="272">
        <v>13964903.539999999</v>
      </c>
      <c r="C85" s="356">
        <v>35</v>
      </c>
      <c r="D85" s="302">
        <v>45359</v>
      </c>
      <c r="E85" s="271">
        <v>30</v>
      </c>
      <c r="F85" s="271"/>
      <c r="G85" s="271"/>
      <c r="H85" s="271"/>
      <c r="I85" s="271"/>
      <c r="J85" s="271"/>
      <c r="K85" s="271"/>
      <c r="L85" s="271"/>
    </row>
    <row r="86" spans="1:12">
      <c r="A86" s="271" t="s">
        <v>145</v>
      </c>
      <c r="B86" s="272">
        <v>149784908.61000001</v>
      </c>
      <c r="C86" s="356">
        <v>26</v>
      </c>
      <c r="D86" s="302">
        <v>45359</v>
      </c>
      <c r="E86" s="271">
        <v>30</v>
      </c>
      <c r="F86" s="271"/>
      <c r="G86" s="271"/>
      <c r="H86" s="271"/>
      <c r="I86" s="271"/>
      <c r="J86" s="271"/>
      <c r="K86" s="271"/>
      <c r="L86" s="271"/>
    </row>
    <row r="87" spans="1:12">
      <c r="A87" s="271" t="s">
        <v>145</v>
      </c>
      <c r="B87" s="272">
        <v>7563972.8399999999</v>
      </c>
      <c r="C87" s="356">
        <v>27</v>
      </c>
      <c r="D87" s="302">
        <v>45363</v>
      </c>
      <c r="E87" s="271">
        <v>30</v>
      </c>
      <c r="F87" s="271"/>
      <c r="G87" s="271"/>
      <c r="H87" s="271"/>
      <c r="I87" s="271"/>
      <c r="J87" s="271"/>
      <c r="K87" s="271"/>
      <c r="L87" s="271"/>
    </row>
    <row r="88" spans="1:12">
      <c r="A88" s="271" t="s">
        <v>145</v>
      </c>
      <c r="B88" s="272">
        <v>50237588.289999999</v>
      </c>
      <c r="C88" s="356">
        <v>28</v>
      </c>
      <c r="D88" s="302">
        <v>45369</v>
      </c>
      <c r="E88" s="271">
        <v>30</v>
      </c>
      <c r="F88" s="271"/>
      <c r="G88" s="271"/>
      <c r="H88" s="271"/>
      <c r="I88" s="271"/>
      <c r="J88" s="271"/>
      <c r="K88" s="271"/>
      <c r="L88" s="271"/>
    </row>
    <row r="89" spans="1:12">
      <c r="A89" s="271" t="s">
        <v>145</v>
      </c>
      <c r="B89" s="272">
        <v>69871628.319999993</v>
      </c>
      <c r="C89" s="356">
        <v>31</v>
      </c>
      <c r="D89" s="302">
        <v>45370</v>
      </c>
      <c r="E89" s="271">
        <v>30</v>
      </c>
      <c r="F89" s="271"/>
      <c r="G89" s="271"/>
      <c r="H89" s="271"/>
      <c r="I89" s="271"/>
      <c r="J89" s="271"/>
      <c r="K89" s="271"/>
      <c r="L89" s="271"/>
    </row>
    <row r="90" spans="1:12">
      <c r="A90" s="271" t="s">
        <v>145</v>
      </c>
      <c r="B90" s="272">
        <v>161819900.03</v>
      </c>
      <c r="C90" s="356">
        <v>29</v>
      </c>
      <c r="D90" s="302">
        <v>45370</v>
      </c>
      <c r="E90" s="271">
        <v>30</v>
      </c>
      <c r="F90" s="271"/>
      <c r="G90" s="271"/>
      <c r="H90" s="271"/>
      <c r="I90" s="271"/>
      <c r="J90" s="271"/>
      <c r="K90" s="271"/>
      <c r="L90" s="271"/>
    </row>
    <row r="91" spans="1:12">
      <c r="A91" s="271" t="s">
        <v>145</v>
      </c>
      <c r="B91" s="272">
        <v>161819900.03</v>
      </c>
      <c r="C91" s="356">
        <v>30</v>
      </c>
      <c r="D91" s="302">
        <v>45370</v>
      </c>
      <c r="E91" s="271">
        <v>30</v>
      </c>
      <c r="F91" s="271"/>
      <c r="G91" s="271"/>
      <c r="H91" s="271"/>
      <c r="I91" s="271"/>
      <c r="J91" s="271"/>
      <c r="K91" s="271"/>
      <c r="L91" s="271"/>
    </row>
    <row r="92" spans="1:12">
      <c r="A92" s="271" t="s">
        <v>145</v>
      </c>
      <c r="B92" s="272">
        <v>39275303.390000001</v>
      </c>
      <c r="C92" s="356">
        <v>32</v>
      </c>
      <c r="D92" s="302">
        <v>45371</v>
      </c>
      <c r="E92" s="271">
        <v>30</v>
      </c>
      <c r="F92" s="271"/>
      <c r="G92" s="271"/>
      <c r="H92" s="271"/>
      <c r="I92" s="271"/>
      <c r="J92" s="271"/>
      <c r="K92" s="271"/>
      <c r="L92" s="271"/>
    </row>
    <row r="93" spans="1:12">
      <c r="A93" s="271" t="s">
        <v>145</v>
      </c>
      <c r="B93" s="272">
        <v>50843861.490000002</v>
      </c>
      <c r="C93" s="356">
        <v>33</v>
      </c>
      <c r="D93" s="302">
        <v>45373</v>
      </c>
      <c r="E93" s="271">
        <v>30</v>
      </c>
      <c r="F93" s="271"/>
      <c r="G93" s="271"/>
      <c r="H93" s="271"/>
      <c r="I93" s="271"/>
      <c r="J93" s="271"/>
      <c r="K93" s="271"/>
      <c r="L93" s="271"/>
    </row>
    <row r="94" spans="1:12">
      <c r="A94" s="271" t="s">
        <v>145</v>
      </c>
      <c r="B94" s="272">
        <v>38969914.729999997</v>
      </c>
      <c r="C94" s="356">
        <v>34</v>
      </c>
      <c r="D94" s="302">
        <v>45374</v>
      </c>
      <c r="E94" s="271">
        <v>30</v>
      </c>
      <c r="F94" s="271"/>
      <c r="G94" s="271"/>
      <c r="H94" s="271"/>
      <c r="I94" s="271"/>
      <c r="J94" s="271"/>
      <c r="K94" s="271"/>
      <c r="L94" s="271"/>
    </row>
    <row r="95" spans="1:12">
      <c r="A95" s="271" t="s">
        <v>145</v>
      </c>
      <c r="B95" s="272">
        <v>32465953.5</v>
      </c>
      <c r="C95" s="356">
        <v>75</v>
      </c>
      <c r="D95" s="302">
        <v>45474</v>
      </c>
      <c r="E95" s="271">
        <v>30</v>
      </c>
      <c r="F95" s="271"/>
      <c r="G95" s="271"/>
      <c r="H95" s="271"/>
      <c r="I95" s="271"/>
      <c r="J95" s="271"/>
      <c r="K95" s="271"/>
      <c r="L95" s="271"/>
    </row>
    <row r="96" spans="1:12">
      <c r="A96" s="365" t="s">
        <v>145</v>
      </c>
      <c r="B96" s="366">
        <v>52470000</v>
      </c>
      <c r="C96" s="367"/>
      <c r="D96" s="368">
        <v>45518</v>
      </c>
      <c r="E96" s="365">
        <v>30</v>
      </c>
      <c r="F96" s="271"/>
      <c r="G96" s="271"/>
      <c r="H96" s="271"/>
      <c r="I96" s="271"/>
      <c r="J96" s="271"/>
      <c r="K96" s="271"/>
      <c r="L96" s="271"/>
    </row>
    <row r="97" spans="1:12">
      <c r="A97" s="365" t="s">
        <v>145</v>
      </c>
      <c r="B97" s="366">
        <v>31700000</v>
      </c>
      <c r="C97" s="367"/>
      <c r="D97" s="368">
        <v>45518</v>
      </c>
      <c r="E97" s="365">
        <v>30</v>
      </c>
      <c r="F97" s="271"/>
      <c r="G97" s="271"/>
      <c r="H97" s="271"/>
      <c r="I97" s="271"/>
      <c r="J97" s="271"/>
      <c r="K97" s="271"/>
      <c r="L97" s="271"/>
    </row>
    <row r="98" spans="1:12">
      <c r="A98" s="365" t="s">
        <v>145</v>
      </c>
      <c r="B98" s="366">
        <v>31700000</v>
      </c>
      <c r="C98" s="367"/>
      <c r="D98" s="368">
        <v>45518</v>
      </c>
      <c r="E98" s="365">
        <v>30</v>
      </c>
      <c r="F98" s="271"/>
      <c r="G98" s="271"/>
      <c r="H98" s="271"/>
      <c r="I98" s="271"/>
      <c r="J98" s="271"/>
      <c r="K98" s="271"/>
      <c r="L98" s="271"/>
    </row>
    <row r="99" spans="1:12">
      <c r="A99" s="365" t="s">
        <v>145</v>
      </c>
      <c r="B99" s="366">
        <v>31700000</v>
      </c>
      <c r="C99" s="367"/>
      <c r="D99" s="368">
        <v>45518</v>
      </c>
      <c r="E99" s="365">
        <v>30</v>
      </c>
      <c r="F99" s="271"/>
      <c r="G99" s="271"/>
      <c r="H99" s="271"/>
      <c r="I99" s="271"/>
      <c r="J99" s="271"/>
      <c r="K99" s="271"/>
      <c r="L99" s="271"/>
    </row>
    <row r="100" spans="1:12">
      <c r="A100" s="365" t="s">
        <v>145</v>
      </c>
      <c r="B100" s="366">
        <v>77500000</v>
      </c>
      <c r="C100" s="367"/>
      <c r="D100" s="368">
        <v>45518</v>
      </c>
      <c r="E100" s="365">
        <v>30</v>
      </c>
      <c r="F100" s="271"/>
      <c r="G100" s="271"/>
      <c r="H100" s="271"/>
      <c r="I100" s="271"/>
      <c r="J100" s="271"/>
      <c r="K100" s="271"/>
      <c r="L100" s="271"/>
    </row>
    <row r="101" spans="1:12">
      <c r="A101" s="365" t="s">
        <v>145</v>
      </c>
      <c r="B101" s="366">
        <v>46500000</v>
      </c>
      <c r="C101" s="367"/>
      <c r="D101" s="368">
        <v>45520</v>
      </c>
      <c r="E101" s="365">
        <v>30</v>
      </c>
      <c r="F101" s="271"/>
      <c r="G101" s="271"/>
      <c r="H101" s="271"/>
      <c r="I101" s="271"/>
      <c r="J101" s="271"/>
      <c r="K101" s="271"/>
      <c r="L101" s="271"/>
    </row>
    <row r="102" spans="1:12">
      <c r="A102" s="365" t="s">
        <v>145</v>
      </c>
      <c r="B102" s="366">
        <v>62000000</v>
      </c>
      <c r="C102" s="367"/>
      <c r="D102" s="368">
        <v>45520</v>
      </c>
      <c r="E102" s="365">
        <v>30</v>
      </c>
      <c r="F102" s="271"/>
      <c r="G102" s="271"/>
      <c r="H102" s="271"/>
      <c r="I102" s="271"/>
      <c r="J102" s="271"/>
      <c r="K102" s="271"/>
      <c r="L102" s="271"/>
    </row>
    <row r="103" spans="1:12">
      <c r="A103" s="365" t="s">
        <v>145</v>
      </c>
      <c r="B103" s="366">
        <v>39125000</v>
      </c>
      <c r="C103" s="367"/>
      <c r="D103" s="368">
        <v>45527</v>
      </c>
      <c r="E103" s="365">
        <v>30</v>
      </c>
      <c r="F103" s="271"/>
      <c r="G103" s="271"/>
      <c r="H103" s="271"/>
      <c r="I103" s="271"/>
      <c r="J103" s="271"/>
      <c r="K103" s="271"/>
      <c r="L103" s="271"/>
    </row>
    <row r="104" spans="1:12">
      <c r="A104" s="365" t="s">
        <v>145</v>
      </c>
      <c r="B104" s="366">
        <v>77500000</v>
      </c>
      <c r="C104" s="367"/>
      <c r="D104" s="368">
        <v>45530</v>
      </c>
      <c r="E104" s="365">
        <v>30</v>
      </c>
      <c r="F104" s="271"/>
      <c r="G104" s="271"/>
      <c r="H104" s="271"/>
      <c r="I104" s="271"/>
      <c r="J104" s="271"/>
      <c r="K104" s="271"/>
      <c r="L104" s="271"/>
    </row>
    <row r="105" spans="1:12">
      <c r="A105" s="365" t="s">
        <v>145</v>
      </c>
      <c r="B105" s="366">
        <v>77500000</v>
      </c>
      <c r="C105" s="367"/>
      <c r="D105" s="368">
        <v>45530</v>
      </c>
      <c r="E105" s="365">
        <v>30</v>
      </c>
      <c r="F105" s="271"/>
      <c r="G105" s="271"/>
      <c r="H105" s="271"/>
      <c r="I105" s="271"/>
      <c r="J105" s="271"/>
      <c r="K105" s="271"/>
      <c r="L105" s="271"/>
    </row>
    <row r="106" spans="1:12">
      <c r="A106" s="365" t="s">
        <v>145</v>
      </c>
      <c r="B106" s="366">
        <v>38950000</v>
      </c>
      <c r="C106" s="367"/>
      <c r="D106" s="368">
        <v>45530</v>
      </c>
      <c r="E106" s="365">
        <v>30</v>
      </c>
      <c r="F106" s="271"/>
      <c r="G106" s="271"/>
      <c r="H106" s="271"/>
      <c r="I106" s="271"/>
      <c r="J106" s="271"/>
      <c r="K106" s="271"/>
      <c r="L106" s="271"/>
    </row>
    <row r="107" spans="1:12">
      <c r="A107" s="365" t="s">
        <v>145</v>
      </c>
      <c r="B107" s="366">
        <v>63600000</v>
      </c>
      <c r="C107" s="367"/>
      <c r="D107" s="368">
        <v>45530</v>
      </c>
      <c r="E107" s="365">
        <v>30</v>
      </c>
      <c r="F107" s="271"/>
      <c r="G107" s="271"/>
      <c r="H107" s="271"/>
      <c r="I107" s="271"/>
      <c r="J107" s="271"/>
      <c r="K107" s="271"/>
      <c r="L107" s="271"/>
    </row>
    <row r="108" spans="1:12">
      <c r="A108" s="365" t="s">
        <v>145</v>
      </c>
      <c r="B108" s="366">
        <v>46500000</v>
      </c>
      <c r="C108" s="367"/>
      <c r="D108" s="368">
        <v>45530</v>
      </c>
      <c r="E108" s="365">
        <v>30</v>
      </c>
      <c r="F108" s="271"/>
      <c r="G108" s="271"/>
      <c r="H108" s="271"/>
      <c r="I108" s="271"/>
      <c r="J108" s="271"/>
      <c r="K108" s="271"/>
      <c r="L108" s="271"/>
    </row>
    <row r="109" spans="1:12">
      <c r="A109" s="365" t="s">
        <v>145</v>
      </c>
      <c r="B109" s="366">
        <v>31000000</v>
      </c>
      <c r="C109" s="367"/>
      <c r="D109" s="368">
        <v>45531</v>
      </c>
      <c r="E109" s="365">
        <v>30</v>
      </c>
      <c r="F109" s="271"/>
      <c r="G109" s="271"/>
      <c r="H109" s="271"/>
      <c r="I109" s="271"/>
      <c r="J109" s="271"/>
      <c r="K109" s="271"/>
      <c r="L109" s="271"/>
    </row>
    <row r="110" spans="1:12">
      <c r="A110" s="365" t="s">
        <v>145</v>
      </c>
      <c r="B110" s="366">
        <v>15900000</v>
      </c>
      <c r="C110" s="367"/>
      <c r="D110" s="368">
        <v>45531</v>
      </c>
      <c r="E110" s="365">
        <v>30</v>
      </c>
      <c r="F110" s="271"/>
      <c r="G110" s="271"/>
      <c r="H110" s="271"/>
      <c r="I110" s="271"/>
      <c r="J110" s="271"/>
      <c r="K110" s="271"/>
      <c r="L110" s="271"/>
    </row>
    <row r="111" spans="1:12">
      <c r="A111" s="365" t="s">
        <v>145</v>
      </c>
      <c r="B111" s="366">
        <v>77500000</v>
      </c>
      <c r="C111" s="367"/>
      <c r="D111" s="368">
        <v>45539</v>
      </c>
      <c r="E111" s="365">
        <v>30</v>
      </c>
      <c r="F111" s="271"/>
      <c r="G111" s="271"/>
      <c r="H111" s="271"/>
      <c r="I111" s="271"/>
      <c r="J111" s="271"/>
      <c r="K111" s="271"/>
      <c r="L111" s="271"/>
    </row>
    <row r="112" spans="1:12">
      <c r="A112" s="365" t="s">
        <v>145</v>
      </c>
      <c r="B112" s="366">
        <v>85250000</v>
      </c>
      <c r="C112" s="367"/>
      <c r="D112" s="368">
        <v>45539</v>
      </c>
      <c r="E112" s="365">
        <v>30</v>
      </c>
      <c r="F112" s="271"/>
      <c r="G112" s="271"/>
      <c r="H112" s="271"/>
      <c r="I112" s="271"/>
      <c r="J112" s="271"/>
      <c r="K112" s="271"/>
      <c r="L112" s="271"/>
    </row>
    <row r="113" spans="1:12">
      <c r="A113" s="365" t="s">
        <v>145</v>
      </c>
      <c r="B113" s="366">
        <v>108500000</v>
      </c>
      <c r="C113" s="367"/>
      <c r="D113" s="368">
        <v>45540</v>
      </c>
      <c r="E113" s="365">
        <v>30</v>
      </c>
      <c r="F113" s="271"/>
      <c r="G113" s="271"/>
      <c r="H113" s="271"/>
      <c r="I113" s="271"/>
      <c r="J113" s="271"/>
      <c r="K113" s="271"/>
      <c r="L113" s="271"/>
    </row>
    <row r="114" spans="1:12">
      <c r="A114" s="365" t="s">
        <v>145</v>
      </c>
      <c r="B114" s="366">
        <v>31000000</v>
      </c>
      <c r="C114" s="367"/>
      <c r="D114" s="368">
        <v>45540</v>
      </c>
      <c r="E114" s="365">
        <v>30</v>
      </c>
      <c r="F114" s="271"/>
      <c r="G114" s="271"/>
      <c r="H114" s="271"/>
      <c r="I114" s="271"/>
      <c r="J114" s="271"/>
      <c r="K114" s="271"/>
      <c r="L114" s="271"/>
    </row>
    <row r="115" spans="1:12">
      <c r="A115" s="365" t="s">
        <v>145</v>
      </c>
      <c r="B115" s="366">
        <v>77500000</v>
      </c>
      <c r="C115" s="367"/>
      <c r="D115" s="368">
        <v>45540</v>
      </c>
      <c r="E115" s="365">
        <v>30</v>
      </c>
      <c r="F115" s="271"/>
      <c r="G115" s="271"/>
      <c r="H115" s="271"/>
      <c r="I115" s="271"/>
      <c r="J115" s="271"/>
      <c r="K115" s="271"/>
      <c r="L115" s="271"/>
    </row>
    <row r="116" spans="1:12">
      <c r="A116" s="365" t="s">
        <v>145</v>
      </c>
      <c r="B116" s="366">
        <v>62200000</v>
      </c>
      <c r="C116" s="367"/>
      <c r="D116" s="368">
        <v>45540</v>
      </c>
      <c r="E116" s="365">
        <v>30</v>
      </c>
      <c r="F116" s="271"/>
      <c r="G116" s="271"/>
      <c r="H116" s="271"/>
      <c r="I116" s="271"/>
      <c r="J116" s="271"/>
      <c r="K116" s="271"/>
      <c r="L116" s="271"/>
    </row>
    <row r="117" spans="1:12">
      <c r="A117" s="365" t="s">
        <v>145</v>
      </c>
      <c r="B117" s="366">
        <v>79300000</v>
      </c>
      <c r="C117" s="367"/>
      <c r="D117" s="368">
        <v>45548</v>
      </c>
      <c r="E117" s="365">
        <v>30</v>
      </c>
      <c r="F117" s="271"/>
      <c r="G117" s="271"/>
      <c r="H117" s="271"/>
      <c r="I117" s="271"/>
      <c r="J117" s="271"/>
      <c r="K117" s="271"/>
      <c r="L117" s="271"/>
    </row>
    <row r="118" spans="1:12">
      <c r="A118" s="365" t="s">
        <v>145</v>
      </c>
      <c r="B118" s="366">
        <v>79325000</v>
      </c>
      <c r="C118" s="367"/>
      <c r="D118" s="368">
        <v>45548</v>
      </c>
      <c r="E118" s="365">
        <v>30</v>
      </c>
      <c r="F118" s="271"/>
      <c r="G118" s="271"/>
      <c r="H118" s="271"/>
      <c r="I118" s="271"/>
      <c r="J118" s="271"/>
      <c r="K118" s="271"/>
      <c r="L118" s="271"/>
    </row>
    <row r="119" spans="1:12">
      <c r="A119" s="271" t="s">
        <v>145</v>
      </c>
      <c r="B119" s="272">
        <v>124881937.84</v>
      </c>
      <c r="C119" s="356">
        <v>95</v>
      </c>
      <c r="D119" s="302">
        <v>45569</v>
      </c>
      <c r="E119" s="271">
        <v>30</v>
      </c>
      <c r="F119" s="271"/>
      <c r="G119" s="271"/>
      <c r="H119" s="271"/>
      <c r="I119" s="271"/>
      <c r="J119" s="271"/>
      <c r="K119" s="271"/>
      <c r="L119" s="271"/>
    </row>
    <row r="120" spans="1:12">
      <c r="A120" s="271" t="s">
        <v>145</v>
      </c>
      <c r="B120" s="272">
        <v>18376876.34</v>
      </c>
      <c r="C120" s="356">
        <v>96</v>
      </c>
      <c r="D120" s="302">
        <v>45582</v>
      </c>
      <c r="E120" s="271">
        <v>30</v>
      </c>
      <c r="F120" s="271"/>
      <c r="G120" s="271"/>
      <c r="H120" s="271"/>
      <c r="I120" s="271"/>
      <c r="J120" s="271"/>
      <c r="K120" s="271"/>
      <c r="L120" s="271"/>
    </row>
    <row r="121" spans="1:12">
      <c r="A121" s="271" t="s">
        <v>145</v>
      </c>
      <c r="B121" s="272">
        <v>57706367.270000003</v>
      </c>
      <c r="C121" s="356">
        <v>97</v>
      </c>
      <c r="D121" s="302">
        <v>45583</v>
      </c>
      <c r="E121" s="271">
        <v>30</v>
      </c>
      <c r="F121" s="271"/>
      <c r="G121" s="271"/>
      <c r="H121" s="271"/>
      <c r="I121" s="271"/>
      <c r="J121" s="271"/>
      <c r="K121" s="271"/>
      <c r="L121" s="271"/>
    </row>
    <row r="122" spans="1:12">
      <c r="A122" s="271" t="s">
        <v>145</v>
      </c>
      <c r="B122" s="272">
        <v>19078839.190000001</v>
      </c>
      <c r="C122" s="356">
        <v>98</v>
      </c>
      <c r="D122" s="302">
        <v>45590</v>
      </c>
      <c r="E122" s="271">
        <v>30</v>
      </c>
      <c r="F122" s="271"/>
      <c r="G122" s="271"/>
      <c r="H122" s="271"/>
      <c r="I122" s="271"/>
      <c r="J122" s="271"/>
      <c r="K122" s="271"/>
      <c r="L122" s="271"/>
    </row>
    <row r="123" spans="1:12">
      <c r="A123" s="271" t="s">
        <v>145</v>
      </c>
      <c r="B123" s="272">
        <v>75708394.790000007</v>
      </c>
      <c r="C123" s="356">
        <v>99</v>
      </c>
      <c r="D123" s="302">
        <v>45591</v>
      </c>
      <c r="E123" s="271">
        <v>30</v>
      </c>
      <c r="F123" s="271"/>
      <c r="G123" s="271"/>
      <c r="H123" s="271"/>
      <c r="I123" s="271"/>
      <c r="J123" s="271"/>
      <c r="K123" s="271"/>
      <c r="L123" s="271"/>
    </row>
    <row r="124" spans="1:12">
      <c r="A124" s="271" t="s">
        <v>145</v>
      </c>
      <c r="B124" s="272">
        <v>149290743.97</v>
      </c>
      <c r="C124" s="356">
        <v>102</v>
      </c>
      <c r="D124" s="302">
        <v>45597</v>
      </c>
      <c r="E124" s="271">
        <v>30</v>
      </c>
      <c r="F124" s="271"/>
      <c r="G124" s="271"/>
      <c r="H124" s="271"/>
      <c r="I124" s="271"/>
      <c r="J124" s="271"/>
      <c r="K124" s="271"/>
      <c r="L124" s="271"/>
    </row>
    <row r="125" spans="1:12">
      <c r="A125" s="271" t="s">
        <v>145</v>
      </c>
      <c r="B125" s="272">
        <v>167207252.72999999</v>
      </c>
      <c r="C125" s="356">
        <v>101</v>
      </c>
      <c r="D125" s="302">
        <v>45597</v>
      </c>
      <c r="E125" s="271">
        <v>30</v>
      </c>
      <c r="F125" s="271"/>
      <c r="G125" s="271"/>
      <c r="H125" s="271"/>
      <c r="I125" s="271"/>
      <c r="J125" s="271"/>
      <c r="K125" s="271"/>
      <c r="L125" s="271"/>
    </row>
    <row r="126" spans="1:12">
      <c r="A126" s="271" t="s">
        <v>145</v>
      </c>
      <c r="B126" s="272">
        <v>73283676.390000001</v>
      </c>
      <c r="C126" s="356">
        <v>100</v>
      </c>
      <c r="D126" s="302">
        <v>45597</v>
      </c>
      <c r="E126" s="271">
        <v>30</v>
      </c>
      <c r="F126" s="271"/>
      <c r="G126" s="271"/>
      <c r="H126" s="271"/>
      <c r="I126" s="271"/>
      <c r="J126" s="271"/>
      <c r="K126" s="271"/>
      <c r="L126" s="271"/>
    </row>
    <row r="127" spans="1:12">
      <c r="A127" s="271" t="s">
        <v>145</v>
      </c>
      <c r="B127" s="272">
        <v>30957606.670000002</v>
      </c>
      <c r="C127" s="356">
        <v>103</v>
      </c>
      <c r="D127" s="302">
        <v>45598</v>
      </c>
      <c r="E127" s="271">
        <v>30</v>
      </c>
      <c r="F127" s="271"/>
      <c r="G127" s="271"/>
      <c r="H127" s="271"/>
      <c r="I127" s="271"/>
      <c r="J127" s="271"/>
      <c r="K127" s="271"/>
      <c r="L127" s="271"/>
    </row>
    <row r="128" spans="1:12">
      <c r="A128" s="271" t="s">
        <v>145</v>
      </c>
      <c r="B128" s="272">
        <v>417488313.24000001</v>
      </c>
      <c r="C128" s="356">
        <v>104</v>
      </c>
      <c r="D128" s="302">
        <v>45608</v>
      </c>
      <c r="E128" s="271">
        <v>30</v>
      </c>
      <c r="F128" s="271"/>
      <c r="G128" s="271"/>
      <c r="H128" s="271"/>
      <c r="I128" s="271"/>
      <c r="J128" s="271"/>
      <c r="K128" s="271"/>
      <c r="L128" s="271"/>
    </row>
    <row r="129" spans="1:12">
      <c r="A129" s="271" t="s">
        <v>145</v>
      </c>
      <c r="B129" s="272">
        <v>45873282.18</v>
      </c>
      <c r="C129" s="356">
        <v>105</v>
      </c>
      <c r="D129" s="302">
        <v>45610</v>
      </c>
      <c r="E129" s="271">
        <v>30</v>
      </c>
      <c r="F129" s="271"/>
      <c r="G129" s="271"/>
      <c r="H129" s="271"/>
      <c r="I129" s="271"/>
      <c r="J129" s="271"/>
      <c r="K129" s="271"/>
      <c r="L129" s="271"/>
    </row>
    <row r="130" spans="1:12">
      <c r="A130" s="271" t="s">
        <v>145</v>
      </c>
      <c r="B130" s="272">
        <v>52673208.950000003</v>
      </c>
      <c r="C130" s="356">
        <v>106</v>
      </c>
      <c r="D130" s="302">
        <v>45611</v>
      </c>
      <c r="E130" s="271">
        <v>30</v>
      </c>
      <c r="F130" s="271"/>
      <c r="G130" s="271"/>
      <c r="H130" s="271"/>
      <c r="I130" s="271"/>
      <c r="J130" s="271"/>
      <c r="K130" s="271"/>
      <c r="L130" s="271"/>
    </row>
    <row r="131" spans="1:12">
      <c r="A131" s="271" t="s">
        <v>145</v>
      </c>
      <c r="B131" s="272">
        <v>17040476.120000001</v>
      </c>
      <c r="C131" s="356">
        <v>107</v>
      </c>
      <c r="D131" s="302">
        <v>45614</v>
      </c>
      <c r="E131" s="271">
        <v>30</v>
      </c>
      <c r="F131" s="271"/>
      <c r="G131" s="271"/>
      <c r="H131" s="271"/>
      <c r="I131" s="271"/>
      <c r="J131" s="271"/>
      <c r="K131" s="271"/>
      <c r="L131" s="271"/>
    </row>
    <row r="132" spans="1:12">
      <c r="A132" s="271" t="s">
        <v>145</v>
      </c>
      <c r="B132" s="272">
        <v>120498259.34999999</v>
      </c>
      <c r="C132" s="356">
        <v>108</v>
      </c>
      <c r="D132" s="302">
        <v>45614</v>
      </c>
      <c r="E132" s="271">
        <v>30</v>
      </c>
      <c r="F132" s="271"/>
      <c r="G132" s="271"/>
      <c r="H132" s="271"/>
      <c r="I132" s="271"/>
      <c r="J132" s="271"/>
      <c r="K132" s="271"/>
      <c r="L132" s="271"/>
    </row>
    <row r="133" spans="1:12">
      <c r="A133" s="271" t="s">
        <v>145</v>
      </c>
      <c r="B133" s="272">
        <v>152291684.31</v>
      </c>
      <c r="C133" s="356">
        <v>110</v>
      </c>
      <c r="D133" s="302">
        <v>45618</v>
      </c>
      <c r="E133" s="271">
        <v>30</v>
      </c>
      <c r="F133" s="271"/>
      <c r="G133" s="271"/>
      <c r="H133" s="271"/>
      <c r="I133" s="271"/>
      <c r="J133" s="271"/>
      <c r="K133" s="271"/>
      <c r="L133" s="271"/>
    </row>
    <row r="134" spans="1:12">
      <c r="A134" s="271" t="s">
        <v>145</v>
      </c>
      <c r="B134" s="272">
        <v>115017370.84999999</v>
      </c>
      <c r="C134" s="356">
        <v>111</v>
      </c>
      <c r="D134" s="302">
        <v>45619</v>
      </c>
      <c r="E134" s="271">
        <v>30</v>
      </c>
      <c r="F134" s="271"/>
      <c r="G134" s="271"/>
      <c r="H134" s="271"/>
      <c r="I134" s="271"/>
      <c r="J134" s="271"/>
      <c r="K134" s="271"/>
      <c r="L134" s="271"/>
    </row>
    <row r="135" spans="1:12">
      <c r="A135" s="271" t="s">
        <v>145</v>
      </c>
      <c r="B135" s="272">
        <v>63408677.579999998</v>
      </c>
      <c r="C135" s="356">
        <v>112</v>
      </c>
      <c r="D135" s="302">
        <v>45621</v>
      </c>
      <c r="E135" s="271">
        <v>30</v>
      </c>
      <c r="F135" s="271"/>
      <c r="G135" s="271"/>
      <c r="H135" s="271"/>
      <c r="I135" s="271"/>
      <c r="J135" s="271"/>
      <c r="K135" s="271"/>
      <c r="L135" s="271"/>
    </row>
    <row r="136" spans="1:12">
      <c r="A136" s="271" t="s">
        <v>145</v>
      </c>
      <c r="B136" s="272">
        <v>109532564.45999999</v>
      </c>
      <c r="C136" s="356">
        <v>113</v>
      </c>
      <c r="D136" s="302">
        <v>45621</v>
      </c>
      <c r="E136" s="271">
        <v>30</v>
      </c>
      <c r="F136" s="271"/>
      <c r="G136" s="271"/>
      <c r="H136" s="271"/>
      <c r="I136" s="271"/>
      <c r="J136" s="271"/>
      <c r="K136" s="271"/>
      <c r="L136" s="271"/>
    </row>
    <row r="137" spans="1:12">
      <c r="A137" s="271" t="s">
        <v>145</v>
      </c>
      <c r="B137" s="272">
        <v>125957727.2</v>
      </c>
      <c r="C137" s="356">
        <v>114</v>
      </c>
      <c r="D137" s="302">
        <v>45628</v>
      </c>
      <c r="E137" s="271">
        <v>30</v>
      </c>
      <c r="F137" s="271"/>
      <c r="G137" s="271"/>
      <c r="H137" s="271"/>
      <c r="I137" s="271"/>
      <c r="J137" s="271"/>
      <c r="K137" s="271"/>
      <c r="L137" s="271"/>
    </row>
    <row r="138" spans="1:12">
      <c r="A138" s="271" t="s">
        <v>145</v>
      </c>
      <c r="B138" s="272">
        <v>268822378.06999999</v>
      </c>
      <c r="C138" s="356">
        <v>115</v>
      </c>
      <c r="D138" s="302">
        <v>45638</v>
      </c>
      <c r="E138" s="271">
        <v>30</v>
      </c>
      <c r="F138" s="271"/>
      <c r="G138" s="271"/>
      <c r="H138" s="271"/>
      <c r="I138" s="271"/>
      <c r="J138" s="271"/>
      <c r="K138" s="271"/>
      <c r="L138" s="271"/>
    </row>
    <row r="139" spans="1:12">
      <c r="A139" s="271" t="s">
        <v>145</v>
      </c>
      <c r="B139" s="272">
        <v>85463170.530000001</v>
      </c>
      <c r="C139" s="356">
        <v>116</v>
      </c>
      <c r="D139" s="302">
        <v>45640</v>
      </c>
      <c r="E139" s="271">
        <v>30</v>
      </c>
      <c r="F139" s="271"/>
      <c r="G139" s="271"/>
      <c r="H139" s="271"/>
      <c r="I139" s="271"/>
      <c r="J139" s="271"/>
      <c r="K139" s="271"/>
      <c r="L139" s="271"/>
    </row>
    <row r="140" spans="1:12">
      <c r="A140" s="271" t="s">
        <v>145</v>
      </c>
      <c r="B140" s="272">
        <v>241995792.72999999</v>
      </c>
      <c r="C140" s="356">
        <v>117</v>
      </c>
      <c r="D140" s="302">
        <v>45642</v>
      </c>
      <c r="E140" s="271">
        <v>30</v>
      </c>
      <c r="F140" s="271"/>
      <c r="G140" s="271"/>
      <c r="H140" s="271"/>
      <c r="I140" s="271"/>
      <c r="J140" s="271"/>
      <c r="K140" s="271"/>
      <c r="L140" s="271"/>
    </row>
    <row r="141" spans="1:12">
      <c r="A141" s="271" t="s">
        <v>145</v>
      </c>
      <c r="B141" s="272">
        <v>229679418.52000001</v>
      </c>
      <c r="C141" s="356">
        <v>120</v>
      </c>
      <c r="D141" s="302">
        <v>45643</v>
      </c>
      <c r="E141" s="271">
        <v>30</v>
      </c>
      <c r="F141" s="271"/>
      <c r="G141" s="271"/>
      <c r="H141" s="271"/>
      <c r="I141" s="271"/>
      <c r="J141" s="271"/>
      <c r="K141" s="271"/>
      <c r="L141" s="271"/>
    </row>
    <row r="142" spans="1:12">
      <c r="A142" s="271" t="s">
        <v>145</v>
      </c>
      <c r="B142" s="272">
        <v>216800543.50999999</v>
      </c>
      <c r="C142" s="356">
        <v>119</v>
      </c>
      <c r="D142" s="302">
        <v>45643</v>
      </c>
      <c r="E142" s="271">
        <v>30</v>
      </c>
      <c r="F142" s="271"/>
      <c r="G142" s="271"/>
      <c r="H142" s="271"/>
      <c r="I142" s="271"/>
      <c r="J142" s="271"/>
      <c r="K142" s="271"/>
      <c r="L142" s="271"/>
    </row>
    <row r="143" spans="1:12">
      <c r="A143" s="271" t="s">
        <v>145</v>
      </c>
      <c r="B143" s="272">
        <v>151780012.52000001</v>
      </c>
      <c r="C143" s="356">
        <v>118</v>
      </c>
      <c r="D143" s="302">
        <v>45643</v>
      </c>
      <c r="E143" s="271">
        <v>30</v>
      </c>
      <c r="F143" s="271"/>
      <c r="G143" s="271"/>
      <c r="H143" s="271"/>
      <c r="I143" s="271"/>
      <c r="J143" s="271"/>
      <c r="K143" s="271"/>
      <c r="L143" s="271"/>
    </row>
    <row r="144" spans="1:12">
      <c r="A144" s="271" t="s">
        <v>145</v>
      </c>
      <c r="B144" s="272">
        <v>53507682.969999999</v>
      </c>
      <c r="C144" s="356">
        <v>121</v>
      </c>
      <c r="D144" s="302">
        <v>45644</v>
      </c>
      <c r="E144" s="271">
        <v>30</v>
      </c>
      <c r="F144" s="271"/>
      <c r="G144" s="271"/>
      <c r="H144" s="271"/>
      <c r="I144" s="271"/>
      <c r="J144" s="271"/>
      <c r="K144" s="271"/>
      <c r="L144" s="271"/>
    </row>
    <row r="145" spans="1:12">
      <c r="A145" s="271" t="s">
        <v>145</v>
      </c>
      <c r="B145" s="272">
        <v>97335311.489999995</v>
      </c>
      <c r="C145" s="356">
        <v>122</v>
      </c>
      <c r="D145" s="302">
        <v>45645</v>
      </c>
      <c r="E145" s="271">
        <v>30</v>
      </c>
      <c r="F145" s="271"/>
      <c r="G145" s="271"/>
      <c r="H145" s="271"/>
      <c r="I145" s="271"/>
      <c r="J145" s="271"/>
      <c r="K145" s="271"/>
      <c r="L145" s="271"/>
    </row>
    <row r="146" spans="1:12">
      <c r="A146" s="365" t="s">
        <v>145</v>
      </c>
      <c r="B146" s="366">
        <v>1155954</v>
      </c>
      <c r="C146" s="367"/>
      <c r="D146" s="368">
        <v>45649</v>
      </c>
      <c r="E146" s="365">
        <v>30</v>
      </c>
      <c r="F146" s="271"/>
      <c r="G146" s="271"/>
      <c r="H146" s="271"/>
      <c r="I146" s="271"/>
      <c r="J146" s="271"/>
      <c r="K146" s="271"/>
      <c r="L146" s="271"/>
    </row>
    <row r="147" spans="1:12">
      <c r="A147" s="365" t="s">
        <v>145</v>
      </c>
      <c r="B147" s="366">
        <v>1320678</v>
      </c>
      <c r="C147" s="367"/>
      <c r="D147" s="368">
        <v>45650</v>
      </c>
      <c r="E147" s="365">
        <v>30</v>
      </c>
      <c r="F147" s="271"/>
      <c r="G147" s="271"/>
      <c r="H147" s="271"/>
      <c r="I147" s="271"/>
      <c r="J147" s="271"/>
      <c r="K147" s="271"/>
      <c r="L147" s="271"/>
    </row>
    <row r="148" spans="1:12">
      <c r="A148" s="365" t="s">
        <v>145</v>
      </c>
      <c r="B148" s="366">
        <v>1233210</v>
      </c>
      <c r="C148" s="367"/>
      <c r="D148" s="368">
        <v>45651</v>
      </c>
      <c r="E148" s="365">
        <v>30</v>
      </c>
      <c r="F148" s="271"/>
      <c r="G148" s="271"/>
      <c r="H148" s="271"/>
      <c r="I148" s="271"/>
      <c r="J148" s="271"/>
      <c r="K148" s="271"/>
      <c r="L148" s="271"/>
    </row>
    <row r="149" spans="1:12">
      <c r="A149" s="365" t="s">
        <v>145</v>
      </c>
      <c r="B149" s="366">
        <v>901098</v>
      </c>
      <c r="C149" s="367"/>
      <c r="D149" s="368">
        <v>45652</v>
      </c>
      <c r="E149" s="365">
        <v>30</v>
      </c>
      <c r="F149" s="271"/>
      <c r="G149" s="271"/>
      <c r="H149" s="271"/>
      <c r="I149" s="271"/>
      <c r="J149" s="271"/>
      <c r="K149" s="271"/>
      <c r="L149" s="271"/>
    </row>
    <row r="150" spans="1:12">
      <c r="A150" s="365" t="s">
        <v>145</v>
      </c>
      <c r="B150" s="366">
        <v>480408</v>
      </c>
      <c r="C150" s="367"/>
      <c r="D150" s="368">
        <v>45653</v>
      </c>
      <c r="E150" s="365">
        <v>30</v>
      </c>
      <c r="F150" s="271"/>
      <c r="G150" s="271"/>
      <c r="H150" s="271"/>
      <c r="I150" s="271"/>
      <c r="J150" s="271"/>
      <c r="K150" s="271"/>
      <c r="L150" s="271"/>
    </row>
  </sheetData>
  <autoFilter ref="A5:L79" xr:uid="{9304C5D0-3E95-42C0-803F-D917F5B1727D}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F2E2-4B87-4C5F-B96E-13AF7F4F9141}">
  <sheetPr>
    <tabColor rgb="FFFFC000"/>
  </sheetPr>
  <dimension ref="A1:L54"/>
  <sheetViews>
    <sheetView showGridLines="0" workbookViewId="0">
      <pane xSplit="2" ySplit="6" topLeftCell="C49" activePane="bottomRight" state="frozen"/>
      <selection activeCell="C23" sqref="C23"/>
      <selection pane="topRight" activeCell="C23" sqref="C23"/>
      <selection pane="bottomLeft" activeCell="C23" sqref="C23"/>
      <selection pane="bottomRight" activeCell="B53" sqref="B53"/>
    </sheetView>
  </sheetViews>
  <sheetFormatPr defaultRowHeight="14.5"/>
  <cols>
    <col min="1" max="1" width="39.81640625" bestFit="1" customWidth="1"/>
    <col min="2" max="2" width="23.7265625" customWidth="1"/>
    <col min="3" max="3" width="17.54296875" bestFit="1" customWidth="1"/>
    <col min="4" max="4" width="9.7265625" customWidth="1"/>
    <col min="5" max="5" width="12.08984375" bestFit="1" customWidth="1"/>
    <col min="6" max="6" width="18.6328125" bestFit="1" customWidth="1"/>
    <col min="7" max="7" width="5.81640625" bestFit="1" customWidth="1"/>
    <col min="8" max="8" width="14.81640625" bestFit="1" customWidth="1"/>
    <col min="9" max="9" width="11.26953125" bestFit="1" customWidth="1"/>
    <col min="10" max="10" width="9.81640625" bestFit="1" customWidth="1"/>
    <col min="11" max="11" width="11.1796875" bestFit="1" customWidth="1"/>
    <col min="12" max="12" width="8.6328125" bestFit="1" customWidth="1"/>
  </cols>
  <sheetData>
    <row r="1" spans="1:12">
      <c r="A1" s="198" t="s">
        <v>172</v>
      </c>
    </row>
    <row r="2" spans="1:12">
      <c r="A2" s="198" t="s">
        <v>268</v>
      </c>
      <c r="B2" s="330">
        <f>B4-B3</f>
        <v>-1.983642578125E-3</v>
      </c>
    </row>
    <row r="3" spans="1:12">
      <c r="A3" s="199">
        <v>45657</v>
      </c>
      <c r="B3" s="236">
        <v>48139666342.163986</v>
      </c>
    </row>
    <row r="4" spans="1:12">
      <c r="B4" s="330">
        <f>SUM(B8:B54)</f>
        <v>48139666342.162003</v>
      </c>
      <c r="H4" s="16">
        <f>SUM(H8:H54)</f>
        <v>48098655567.162003</v>
      </c>
      <c r="I4" s="16">
        <f>SUM(I8:I54)</f>
        <v>28450775</v>
      </c>
      <c r="J4" s="16">
        <f>SUM(J8:J54)</f>
        <v>0</v>
      </c>
      <c r="K4" s="16">
        <f>SUM(K8:K54)</f>
        <v>12560000</v>
      </c>
      <c r="L4" s="16">
        <f>SUM(L8:L54)</f>
        <v>0</v>
      </c>
    </row>
    <row r="5" spans="1:12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</row>
    <row r="6" spans="1:12" s="49" customFormat="1">
      <c r="A6" s="52" t="s">
        <v>2</v>
      </c>
      <c r="B6" s="345" t="s">
        <v>3</v>
      </c>
      <c r="C6" s="343" t="s">
        <v>4</v>
      </c>
      <c r="D6" s="343" t="s">
        <v>5</v>
      </c>
      <c r="E6" s="343" t="s">
        <v>101</v>
      </c>
      <c r="F6" s="343" t="s">
        <v>7</v>
      </c>
      <c r="G6" s="348" t="s">
        <v>173</v>
      </c>
      <c r="H6" s="348" t="s">
        <v>174</v>
      </c>
      <c r="I6" s="348" t="s">
        <v>178</v>
      </c>
      <c r="J6" s="348" t="s">
        <v>175</v>
      </c>
      <c r="K6" s="348" t="s">
        <v>176</v>
      </c>
      <c r="L6" s="112" t="s">
        <v>177</v>
      </c>
    </row>
    <row r="7" spans="1:12">
      <c r="A7" s="325" t="s">
        <v>362</v>
      </c>
      <c r="B7" s="346"/>
      <c r="C7" s="271"/>
      <c r="D7" s="271"/>
      <c r="E7" s="271"/>
      <c r="F7" s="271"/>
      <c r="G7" s="271"/>
      <c r="H7" s="271"/>
      <c r="I7" s="271"/>
      <c r="J7" s="271"/>
      <c r="K7" s="271"/>
      <c r="L7" s="271"/>
    </row>
    <row r="8" spans="1:12">
      <c r="A8" s="326" t="s">
        <v>113</v>
      </c>
      <c r="B8" s="347">
        <v>2100000</v>
      </c>
      <c r="C8" s="355" t="s">
        <v>961</v>
      </c>
      <c r="D8" s="273">
        <v>45633</v>
      </c>
      <c r="E8" s="271">
        <v>30</v>
      </c>
      <c r="F8" s="273">
        <f>D8+E8</f>
        <v>45663</v>
      </c>
      <c r="G8" s="271">
        <f>$A$3-F8</f>
        <v>-6</v>
      </c>
      <c r="H8" s="274">
        <f>B8</f>
        <v>2100000</v>
      </c>
      <c r="I8" s="271"/>
      <c r="J8" s="271"/>
      <c r="K8" s="271"/>
      <c r="L8" s="271"/>
    </row>
    <row r="9" spans="1:12">
      <c r="A9" s="326" t="s">
        <v>113</v>
      </c>
      <c r="B9" s="347">
        <v>3360000</v>
      </c>
      <c r="C9" s="355" t="s">
        <v>962</v>
      </c>
      <c r="D9" s="273">
        <v>45633</v>
      </c>
      <c r="E9" s="271">
        <v>30</v>
      </c>
      <c r="F9" s="273">
        <f t="shared" ref="F9:F14" si="0">D9+E9</f>
        <v>45663</v>
      </c>
      <c r="G9" s="271">
        <f t="shared" ref="G9:G14" si="1">$A$3-F9</f>
        <v>-6</v>
      </c>
      <c r="H9" s="274">
        <f>B9</f>
        <v>3360000</v>
      </c>
      <c r="I9" s="271"/>
      <c r="J9" s="271"/>
      <c r="K9" s="271"/>
      <c r="L9" s="271"/>
    </row>
    <row r="10" spans="1:12">
      <c r="A10" s="326" t="s">
        <v>113</v>
      </c>
      <c r="B10" s="347">
        <v>3360000</v>
      </c>
      <c r="C10" s="355" t="s">
        <v>963</v>
      </c>
      <c r="D10" s="273">
        <v>45634</v>
      </c>
      <c r="E10" s="271">
        <v>30</v>
      </c>
      <c r="F10" s="273">
        <f t="shared" si="0"/>
        <v>45664</v>
      </c>
      <c r="G10" s="271">
        <f t="shared" si="1"/>
        <v>-7</v>
      </c>
      <c r="H10" s="274">
        <f t="shared" ref="H10:H14" si="2">B10</f>
        <v>3360000</v>
      </c>
      <c r="I10" s="271"/>
      <c r="J10" s="271"/>
      <c r="K10" s="271"/>
      <c r="L10" s="271"/>
    </row>
    <row r="11" spans="1:12">
      <c r="A11" s="326" t="s">
        <v>113</v>
      </c>
      <c r="B11" s="347">
        <v>1680000</v>
      </c>
      <c r="C11" s="355" t="s">
        <v>964</v>
      </c>
      <c r="D11" s="273">
        <v>45635</v>
      </c>
      <c r="E11" s="271">
        <v>30</v>
      </c>
      <c r="F11" s="273">
        <f t="shared" si="0"/>
        <v>45665</v>
      </c>
      <c r="G11" s="271">
        <f t="shared" si="1"/>
        <v>-8</v>
      </c>
      <c r="H11" s="274">
        <f t="shared" si="2"/>
        <v>1680000</v>
      </c>
      <c r="I11" s="271"/>
      <c r="J11" s="271"/>
      <c r="K11" s="271"/>
      <c r="L11" s="271"/>
    </row>
    <row r="12" spans="1:12">
      <c r="A12" s="326" t="s">
        <v>113</v>
      </c>
      <c r="B12" s="347">
        <v>1680000</v>
      </c>
      <c r="C12" s="355" t="s">
        <v>965</v>
      </c>
      <c r="D12" s="273">
        <v>45635</v>
      </c>
      <c r="E12" s="271">
        <v>30</v>
      </c>
      <c r="F12" s="273">
        <f t="shared" si="0"/>
        <v>45665</v>
      </c>
      <c r="G12" s="271">
        <f t="shared" si="1"/>
        <v>-8</v>
      </c>
      <c r="H12" s="274">
        <f t="shared" si="2"/>
        <v>1680000</v>
      </c>
      <c r="I12" s="271"/>
      <c r="J12" s="271"/>
      <c r="K12" s="271"/>
      <c r="L12" s="271"/>
    </row>
    <row r="13" spans="1:12">
      <c r="A13" s="326" t="s">
        <v>113</v>
      </c>
      <c r="B13" s="347">
        <v>1680000</v>
      </c>
      <c r="C13" s="355" t="s">
        <v>966</v>
      </c>
      <c r="D13" s="273">
        <v>45642</v>
      </c>
      <c r="E13" s="271">
        <v>30</v>
      </c>
      <c r="F13" s="273">
        <f t="shared" si="0"/>
        <v>45672</v>
      </c>
      <c r="G13" s="271">
        <f t="shared" si="1"/>
        <v>-15</v>
      </c>
      <c r="H13" s="274">
        <f t="shared" si="2"/>
        <v>1680000</v>
      </c>
      <c r="I13" s="271"/>
      <c r="J13" s="271"/>
      <c r="K13" s="271"/>
      <c r="L13" s="271"/>
    </row>
    <row r="14" spans="1:12">
      <c r="A14" s="326" t="s">
        <v>113</v>
      </c>
      <c r="B14" s="347">
        <v>2100000</v>
      </c>
      <c r="C14" s="355" t="s">
        <v>967</v>
      </c>
      <c r="D14" s="273">
        <v>45649</v>
      </c>
      <c r="E14" s="271">
        <v>30</v>
      </c>
      <c r="F14" s="273">
        <f t="shared" si="0"/>
        <v>45679</v>
      </c>
      <c r="G14" s="271">
        <f t="shared" si="1"/>
        <v>-22</v>
      </c>
      <c r="H14" s="274">
        <f t="shared" si="2"/>
        <v>2100000</v>
      </c>
      <c r="I14" s="271"/>
      <c r="J14" s="271"/>
      <c r="K14" s="271"/>
      <c r="L14" s="271"/>
    </row>
    <row r="15" spans="1:12">
      <c r="A15" s="326"/>
      <c r="B15" s="347"/>
      <c r="C15" s="271"/>
      <c r="D15" s="273"/>
      <c r="E15" s="271"/>
      <c r="F15" s="273"/>
      <c r="G15" s="271"/>
      <c r="H15" s="274"/>
      <c r="I15" s="271"/>
      <c r="J15" s="271"/>
      <c r="K15" s="271"/>
      <c r="L15" s="271"/>
    </row>
    <row r="16" spans="1:12">
      <c r="A16" s="326" t="s">
        <v>125</v>
      </c>
      <c r="B16" s="347">
        <v>59370000</v>
      </c>
      <c r="C16" s="271"/>
      <c r="D16" s="273">
        <v>45627</v>
      </c>
      <c r="E16" s="271">
        <v>30</v>
      </c>
      <c r="F16" s="273">
        <f t="shared" ref="F16:F20" si="3">D16+E16</f>
        <v>45657</v>
      </c>
      <c r="G16" s="271">
        <f t="shared" ref="G16" si="4">$A$3-F16</f>
        <v>0</v>
      </c>
      <c r="H16" s="274">
        <f>B16</f>
        <v>59370000</v>
      </c>
      <c r="I16" s="271"/>
      <c r="J16" s="271"/>
      <c r="K16" s="271"/>
      <c r="L16" s="271"/>
    </row>
    <row r="17" spans="1:12">
      <c r="A17" s="326" t="s">
        <v>125</v>
      </c>
      <c r="B17" s="347">
        <v>7920000</v>
      </c>
      <c r="C17" s="271"/>
      <c r="D17" s="273">
        <v>45597</v>
      </c>
      <c r="E17" s="271">
        <v>30</v>
      </c>
      <c r="F17" s="273">
        <f t="shared" ref="F17:F18" si="5">D17+E17</f>
        <v>45627</v>
      </c>
      <c r="G17" s="271">
        <f t="shared" ref="G17:G18" si="6">$A$3-F17</f>
        <v>30</v>
      </c>
      <c r="H17" s="274"/>
      <c r="I17" s="274">
        <f>B17</f>
        <v>7920000</v>
      </c>
      <c r="J17" s="271"/>
      <c r="K17" s="271"/>
      <c r="L17" s="271"/>
    </row>
    <row r="18" spans="1:12">
      <c r="A18" s="326" t="s">
        <v>125</v>
      </c>
      <c r="B18" s="347">
        <v>12560000</v>
      </c>
      <c r="C18" s="271"/>
      <c r="D18" s="273">
        <v>45566</v>
      </c>
      <c r="E18" s="271">
        <v>30</v>
      </c>
      <c r="F18" s="273">
        <f t="shared" si="5"/>
        <v>45596</v>
      </c>
      <c r="G18" s="271">
        <f t="shared" si="6"/>
        <v>61</v>
      </c>
      <c r="H18" s="274"/>
      <c r="I18" s="271"/>
      <c r="J18" s="271"/>
      <c r="K18" s="274">
        <f>B18</f>
        <v>12560000</v>
      </c>
      <c r="L18" s="271"/>
    </row>
    <row r="19" spans="1:12">
      <c r="A19" s="326"/>
      <c r="B19" s="347"/>
      <c r="C19" s="271"/>
      <c r="D19" s="273"/>
      <c r="E19" s="271"/>
      <c r="F19" s="273"/>
      <c r="G19" s="271"/>
      <c r="H19" s="274"/>
      <c r="I19" s="271"/>
      <c r="J19" s="271"/>
      <c r="K19" s="271"/>
      <c r="L19" s="271"/>
    </row>
    <row r="20" spans="1:12">
      <c r="A20" s="326" t="s">
        <v>830</v>
      </c>
      <c r="B20" s="347">
        <v>20530775</v>
      </c>
      <c r="C20" s="271"/>
      <c r="D20" s="273"/>
      <c r="E20" s="271">
        <v>30</v>
      </c>
      <c r="F20" s="273">
        <f t="shared" si="3"/>
        <v>30</v>
      </c>
      <c r="G20" s="271"/>
      <c r="H20" s="274"/>
      <c r="I20" s="274">
        <f>B20</f>
        <v>20530775</v>
      </c>
      <c r="J20" s="271"/>
      <c r="K20" s="271"/>
      <c r="L20" s="271"/>
    </row>
    <row r="21" spans="1:12">
      <c r="A21" s="326"/>
      <c r="B21" s="347"/>
      <c r="C21" s="271"/>
      <c r="D21" s="273"/>
      <c r="E21" s="271"/>
      <c r="F21" s="273"/>
      <c r="G21" s="271"/>
      <c r="H21" s="271"/>
      <c r="I21" s="271"/>
      <c r="J21" s="271"/>
      <c r="K21" s="271"/>
      <c r="L21" s="271"/>
    </row>
    <row r="22" spans="1:12">
      <c r="A22" s="326"/>
      <c r="B22" s="332"/>
      <c r="C22" s="271"/>
      <c r="D22" s="271"/>
      <c r="E22" s="271"/>
      <c r="F22" s="271"/>
      <c r="G22" s="271"/>
      <c r="H22" s="271"/>
      <c r="I22" s="274"/>
      <c r="J22" s="271"/>
      <c r="K22" s="271"/>
      <c r="L22" s="271"/>
    </row>
    <row r="23" spans="1:12">
      <c r="A23" s="325" t="s">
        <v>355</v>
      </c>
      <c r="B23" s="346"/>
      <c r="C23" s="334"/>
      <c r="D23" s="271"/>
      <c r="E23" s="335"/>
      <c r="F23" s="271"/>
      <c r="G23" s="271"/>
      <c r="H23" s="271"/>
      <c r="I23" s="271"/>
      <c r="J23" s="271"/>
      <c r="K23" s="271"/>
      <c r="L23" s="271"/>
    </row>
    <row r="24" spans="1:12">
      <c r="A24" s="326" t="s">
        <v>272</v>
      </c>
      <c r="B24" s="332">
        <v>2308725538.5</v>
      </c>
      <c r="C24" s="334" t="s">
        <v>941</v>
      </c>
      <c r="D24" s="273">
        <v>45649</v>
      </c>
      <c r="E24" s="335">
        <v>60</v>
      </c>
      <c r="F24" s="273">
        <f t="shared" ref="F24" si="7">D24+E24</f>
        <v>45709</v>
      </c>
      <c r="G24" s="271">
        <f t="shared" ref="G24" si="8">$A$3-F24</f>
        <v>-52</v>
      </c>
      <c r="H24" s="274">
        <f t="shared" ref="H24:H26" si="9">B24</f>
        <v>2308725538.5</v>
      </c>
      <c r="I24" s="271"/>
      <c r="J24" s="271"/>
      <c r="K24" s="271"/>
      <c r="L24" s="271"/>
    </row>
    <row r="25" spans="1:12">
      <c r="A25" s="326" t="s">
        <v>272</v>
      </c>
      <c r="B25" s="332">
        <v>2208548733</v>
      </c>
      <c r="C25" s="334" t="s">
        <v>942</v>
      </c>
      <c r="D25" s="273">
        <v>45674</v>
      </c>
      <c r="E25" s="335">
        <v>60</v>
      </c>
      <c r="F25" s="273">
        <f t="shared" ref="F25:F26" si="10">D25+E25</f>
        <v>45734</v>
      </c>
      <c r="G25" s="271">
        <f t="shared" ref="G25:G26" si="11">$A$3-F25</f>
        <v>-77</v>
      </c>
      <c r="H25" s="274">
        <f t="shared" si="9"/>
        <v>2208548733</v>
      </c>
      <c r="I25" s="271"/>
      <c r="J25" s="271"/>
      <c r="K25" s="271"/>
      <c r="L25" s="271"/>
    </row>
    <row r="26" spans="1:12">
      <c r="A26" s="326" t="s">
        <v>272</v>
      </c>
      <c r="B26" s="332">
        <v>1856847460</v>
      </c>
      <c r="C26" s="334" t="s">
        <v>940</v>
      </c>
      <c r="D26" s="273">
        <v>45716</v>
      </c>
      <c r="E26" s="335">
        <v>60</v>
      </c>
      <c r="F26" s="273">
        <f t="shared" si="10"/>
        <v>45776</v>
      </c>
      <c r="G26" s="271">
        <f t="shared" si="11"/>
        <v>-119</v>
      </c>
      <c r="H26" s="274">
        <f t="shared" si="9"/>
        <v>1856847460</v>
      </c>
      <c r="I26" s="271"/>
      <c r="J26" s="271"/>
      <c r="K26" s="271"/>
      <c r="L26" s="271"/>
    </row>
    <row r="27" spans="1:12">
      <c r="A27" s="326"/>
      <c r="B27" s="332"/>
      <c r="C27" s="334"/>
      <c r="D27" s="273"/>
      <c r="E27" s="335"/>
      <c r="F27" s="273"/>
      <c r="G27" s="271"/>
      <c r="H27" s="274"/>
      <c r="I27" s="271"/>
      <c r="J27" s="271"/>
      <c r="K27" s="271"/>
      <c r="L27" s="271"/>
    </row>
    <row r="28" spans="1:12">
      <c r="A28" s="326" t="s">
        <v>105</v>
      </c>
      <c r="B28" s="332">
        <v>1895802600</v>
      </c>
      <c r="C28" s="271" t="s">
        <v>943</v>
      </c>
      <c r="D28" s="273">
        <v>45657</v>
      </c>
      <c r="E28" s="335">
        <v>60</v>
      </c>
      <c r="F28" s="273">
        <f t="shared" ref="F28" si="12">D28+E28</f>
        <v>45717</v>
      </c>
      <c r="G28" s="271">
        <f t="shared" ref="G28" si="13">$A$3-F28</f>
        <v>-60</v>
      </c>
      <c r="H28" s="274">
        <f>B28</f>
        <v>1895802600</v>
      </c>
      <c r="I28" s="271"/>
      <c r="J28" s="271"/>
      <c r="K28" s="271"/>
      <c r="L28" s="271"/>
    </row>
    <row r="29" spans="1:12">
      <c r="A29" s="326"/>
      <c r="B29" s="332"/>
      <c r="C29" s="271"/>
      <c r="D29" s="273"/>
      <c r="E29" s="271"/>
      <c r="F29" s="273"/>
      <c r="G29" s="271"/>
      <c r="H29" s="274"/>
      <c r="I29" s="271"/>
      <c r="J29" s="271"/>
      <c r="K29" s="271"/>
      <c r="L29" s="271"/>
    </row>
    <row r="30" spans="1:12">
      <c r="A30" s="326" t="s">
        <v>111</v>
      </c>
      <c r="B30" s="332">
        <v>1936844000</v>
      </c>
      <c r="C30" s="271" t="s">
        <v>946</v>
      </c>
      <c r="D30" s="273">
        <v>45716</v>
      </c>
      <c r="E30" s="335">
        <v>60</v>
      </c>
      <c r="F30" s="273">
        <f t="shared" ref="F30:F33" si="14">D30+E30</f>
        <v>45776</v>
      </c>
      <c r="G30" s="271">
        <f t="shared" ref="G30:G33" si="15">$A$3-F30</f>
        <v>-119</v>
      </c>
      <c r="H30" s="274">
        <f t="shared" ref="H30:H33" si="16">B30</f>
        <v>1936844000</v>
      </c>
      <c r="I30" s="271"/>
      <c r="J30" s="271"/>
      <c r="K30" s="271"/>
      <c r="L30" s="271"/>
    </row>
    <row r="31" spans="1:12">
      <c r="A31" s="326" t="s">
        <v>111</v>
      </c>
      <c r="B31" s="332">
        <f>1869424835.12-3516621</f>
        <v>1865908214.1199999</v>
      </c>
      <c r="C31" s="271" t="s">
        <v>944</v>
      </c>
      <c r="D31" s="273">
        <v>45656</v>
      </c>
      <c r="E31" s="335">
        <v>60</v>
      </c>
      <c r="F31" s="273">
        <f t="shared" si="14"/>
        <v>45716</v>
      </c>
      <c r="G31" s="271">
        <f t="shared" si="15"/>
        <v>-59</v>
      </c>
      <c r="H31" s="274">
        <f t="shared" si="16"/>
        <v>1865908214.1199999</v>
      </c>
      <c r="I31" s="271"/>
      <c r="J31" s="271"/>
      <c r="K31" s="271"/>
      <c r="L31" s="271"/>
    </row>
    <row r="32" spans="1:12">
      <c r="A32" s="326" t="s">
        <v>111</v>
      </c>
      <c r="B32" s="332">
        <v>2058914000</v>
      </c>
      <c r="C32" s="271" t="s">
        <v>1011</v>
      </c>
      <c r="D32" s="273">
        <v>45681</v>
      </c>
      <c r="E32" s="335">
        <v>60</v>
      </c>
      <c r="F32" s="273">
        <f t="shared" si="14"/>
        <v>45741</v>
      </c>
      <c r="G32" s="271">
        <f t="shared" si="15"/>
        <v>-84</v>
      </c>
      <c r="H32" s="274">
        <f t="shared" si="16"/>
        <v>2058914000</v>
      </c>
      <c r="I32" s="271"/>
      <c r="J32" s="271"/>
      <c r="K32" s="271"/>
      <c r="L32" s="271"/>
    </row>
    <row r="33" spans="1:12">
      <c r="A33" s="326" t="s">
        <v>111</v>
      </c>
      <c r="B33" s="332">
        <v>2146804400</v>
      </c>
      <c r="C33" s="271" t="s">
        <v>945</v>
      </c>
      <c r="D33" s="353">
        <v>45681</v>
      </c>
      <c r="E33" s="335">
        <v>60</v>
      </c>
      <c r="F33" s="273">
        <f t="shared" si="14"/>
        <v>45741</v>
      </c>
      <c r="G33" s="271">
        <f t="shared" si="15"/>
        <v>-84</v>
      </c>
      <c r="H33" s="274">
        <f t="shared" si="16"/>
        <v>2146804400</v>
      </c>
      <c r="I33" s="271"/>
      <c r="J33" s="271"/>
      <c r="K33" s="271"/>
      <c r="L33" s="271"/>
    </row>
    <row r="34" spans="1:12">
      <c r="A34" s="326"/>
      <c r="B34" s="332"/>
      <c r="C34" s="271"/>
      <c r="D34" s="273"/>
      <c r="E34" s="271"/>
      <c r="F34" s="273"/>
      <c r="G34" s="271"/>
      <c r="H34" s="274"/>
      <c r="I34" s="271"/>
      <c r="J34" s="271"/>
      <c r="K34" s="271"/>
      <c r="L34" s="271"/>
    </row>
    <row r="35" spans="1:12">
      <c r="A35" s="326" t="s">
        <v>259</v>
      </c>
      <c r="B35" s="332">
        <v>2198904748</v>
      </c>
      <c r="C35" s="271" t="s">
        <v>947</v>
      </c>
      <c r="D35" s="273">
        <v>45651</v>
      </c>
      <c r="E35" s="335">
        <v>60</v>
      </c>
      <c r="F35" s="273">
        <f t="shared" ref="F35:F40" si="17">D35+E35</f>
        <v>45711</v>
      </c>
      <c r="G35" s="271">
        <f t="shared" ref="G35:G40" si="18">$A$3-F35</f>
        <v>-54</v>
      </c>
      <c r="H35" s="274">
        <f t="shared" ref="H35:H40" si="19">B35</f>
        <v>2198904748</v>
      </c>
      <c r="I35" s="271"/>
      <c r="J35" s="271"/>
      <c r="K35" s="271"/>
      <c r="L35" s="271"/>
    </row>
    <row r="36" spans="1:12">
      <c r="A36" s="326" t="s">
        <v>259</v>
      </c>
      <c r="B36" s="332">
        <v>2053900249.2</v>
      </c>
      <c r="C36" s="271" t="s">
        <v>952</v>
      </c>
      <c r="D36" s="273">
        <v>45671</v>
      </c>
      <c r="E36" s="335">
        <v>60</v>
      </c>
      <c r="F36" s="273">
        <f t="shared" si="17"/>
        <v>45731</v>
      </c>
      <c r="G36" s="271">
        <f t="shared" si="18"/>
        <v>-74</v>
      </c>
      <c r="H36" s="274">
        <f t="shared" si="19"/>
        <v>2053900249.2</v>
      </c>
      <c r="I36" s="271"/>
      <c r="J36" s="271"/>
      <c r="K36" s="271"/>
      <c r="L36" s="271"/>
    </row>
    <row r="37" spans="1:12">
      <c r="A37" s="326" t="s">
        <v>259</v>
      </c>
      <c r="B37" s="332">
        <v>1853540178</v>
      </c>
      <c r="C37" s="271" t="s">
        <v>951</v>
      </c>
      <c r="D37" s="273">
        <v>45682</v>
      </c>
      <c r="E37" s="335">
        <v>60</v>
      </c>
      <c r="F37" s="273">
        <f t="shared" si="17"/>
        <v>45742</v>
      </c>
      <c r="G37" s="271">
        <f t="shared" si="18"/>
        <v>-85</v>
      </c>
      <c r="H37" s="274">
        <f t="shared" si="19"/>
        <v>1853540178</v>
      </c>
      <c r="I37" s="271"/>
      <c r="J37" s="271"/>
      <c r="K37" s="271"/>
      <c r="L37" s="271"/>
    </row>
    <row r="38" spans="1:12">
      <c r="A38" s="326" t="s">
        <v>259</v>
      </c>
      <c r="B38" s="332">
        <v>1953120000</v>
      </c>
      <c r="C38" s="271" t="s">
        <v>948</v>
      </c>
      <c r="D38" s="273">
        <v>45716</v>
      </c>
      <c r="E38" s="335">
        <v>60</v>
      </c>
      <c r="F38" s="273">
        <f t="shared" si="17"/>
        <v>45776</v>
      </c>
      <c r="G38" s="271">
        <f t="shared" si="18"/>
        <v>-119</v>
      </c>
      <c r="H38" s="274">
        <f t="shared" si="19"/>
        <v>1953120000</v>
      </c>
      <c r="I38" s="271"/>
      <c r="J38" s="271"/>
      <c r="K38" s="271"/>
      <c r="L38" s="271"/>
    </row>
    <row r="39" spans="1:12">
      <c r="A39" s="326" t="s">
        <v>259</v>
      </c>
      <c r="B39" s="332">
        <v>1953120000</v>
      </c>
      <c r="C39" s="271" t="s">
        <v>949</v>
      </c>
      <c r="D39" s="273">
        <v>45716</v>
      </c>
      <c r="E39" s="335">
        <v>60</v>
      </c>
      <c r="F39" s="273">
        <f t="shared" si="17"/>
        <v>45776</v>
      </c>
      <c r="G39" s="271">
        <f t="shared" si="18"/>
        <v>-119</v>
      </c>
      <c r="H39" s="274">
        <f t="shared" si="19"/>
        <v>1953120000</v>
      </c>
      <c r="I39" s="271"/>
      <c r="J39" s="271"/>
      <c r="K39" s="271"/>
      <c r="L39" s="271"/>
    </row>
    <row r="40" spans="1:12">
      <c r="A40" s="326" t="s">
        <v>259</v>
      </c>
      <c r="B40" s="373">
        <v>1871740000</v>
      </c>
      <c r="C40" s="271" t="s">
        <v>950</v>
      </c>
      <c r="D40" s="273">
        <v>45716</v>
      </c>
      <c r="E40" s="335">
        <v>60</v>
      </c>
      <c r="F40" s="273">
        <f t="shared" si="17"/>
        <v>45776</v>
      </c>
      <c r="G40" s="271">
        <f t="shared" si="18"/>
        <v>-119</v>
      </c>
      <c r="H40" s="274">
        <f t="shared" si="19"/>
        <v>1871740000</v>
      </c>
      <c r="I40" s="271"/>
      <c r="J40" s="271"/>
      <c r="K40" s="271"/>
      <c r="L40" s="271"/>
    </row>
    <row r="41" spans="1:12">
      <c r="A41" s="326"/>
      <c r="B41" s="332"/>
      <c r="C41" s="271"/>
      <c r="D41" s="273"/>
      <c r="E41" s="271"/>
      <c r="F41" s="273"/>
      <c r="G41" s="271"/>
      <c r="H41" s="274"/>
      <c r="I41" s="271"/>
      <c r="J41" s="271"/>
      <c r="K41" s="271"/>
      <c r="L41" s="271"/>
    </row>
    <row r="42" spans="1:12">
      <c r="A42" s="331" t="s">
        <v>698</v>
      </c>
      <c r="B42" s="332">
        <f>2176601141+202049</f>
        <v>2176803190</v>
      </c>
      <c r="C42" s="271" t="s">
        <v>953</v>
      </c>
      <c r="D42" s="273">
        <v>45651</v>
      </c>
      <c r="E42" s="335">
        <v>60</v>
      </c>
      <c r="F42" s="273">
        <f t="shared" ref="F42:F47" si="20">D42+E42</f>
        <v>45711</v>
      </c>
      <c r="G42" s="271">
        <f t="shared" ref="G42:G47" si="21">$A$3-F42</f>
        <v>-54</v>
      </c>
      <c r="H42" s="274">
        <f t="shared" ref="H42:H47" si="22">B42</f>
        <v>2176803190</v>
      </c>
      <c r="I42" s="271"/>
      <c r="J42" s="271"/>
      <c r="K42" s="271"/>
      <c r="L42" s="271"/>
    </row>
    <row r="43" spans="1:12">
      <c r="A43" s="331" t="s">
        <v>698</v>
      </c>
      <c r="B43" s="332">
        <f>2128131350+202048</f>
        <v>2128333398</v>
      </c>
      <c r="C43" s="271" t="s">
        <v>954</v>
      </c>
      <c r="D43" s="273">
        <v>45657</v>
      </c>
      <c r="E43" s="335">
        <v>60</v>
      </c>
      <c r="F43" s="273">
        <f t="shared" si="20"/>
        <v>45717</v>
      </c>
      <c r="G43" s="271">
        <f t="shared" si="21"/>
        <v>-60</v>
      </c>
      <c r="H43" s="274">
        <f t="shared" si="22"/>
        <v>2128333398</v>
      </c>
      <c r="I43" s="271"/>
      <c r="J43" s="271"/>
      <c r="K43" s="271"/>
      <c r="L43" s="271"/>
    </row>
    <row r="44" spans="1:12">
      <c r="A44" s="331" t="s">
        <v>698</v>
      </c>
      <c r="B44" s="332">
        <v>2147708672</v>
      </c>
      <c r="C44" s="271" t="s">
        <v>955</v>
      </c>
      <c r="D44" s="273">
        <v>45672</v>
      </c>
      <c r="E44" s="335">
        <v>60</v>
      </c>
      <c r="F44" s="273">
        <f t="shared" si="20"/>
        <v>45732</v>
      </c>
      <c r="G44" s="271">
        <f t="shared" si="21"/>
        <v>-75</v>
      </c>
      <c r="H44" s="274">
        <f t="shared" si="22"/>
        <v>2147708672</v>
      </c>
      <c r="I44" s="271"/>
      <c r="J44" s="271"/>
      <c r="K44" s="271"/>
      <c r="L44" s="271"/>
    </row>
    <row r="45" spans="1:12">
      <c r="A45" s="331" t="s">
        <v>698</v>
      </c>
      <c r="B45" s="332">
        <v>2105002553.2379999</v>
      </c>
      <c r="C45" s="271" t="s">
        <v>956</v>
      </c>
      <c r="D45" s="273">
        <v>45679</v>
      </c>
      <c r="E45" s="335">
        <v>60</v>
      </c>
      <c r="F45" s="273">
        <f t="shared" si="20"/>
        <v>45739</v>
      </c>
      <c r="G45" s="271">
        <f t="shared" si="21"/>
        <v>-82</v>
      </c>
      <c r="H45" s="274">
        <f t="shared" si="22"/>
        <v>2105002553.2379999</v>
      </c>
      <c r="I45" s="271"/>
      <c r="J45" s="271"/>
      <c r="K45" s="271"/>
      <c r="L45" s="271"/>
    </row>
    <row r="46" spans="1:12">
      <c r="A46" s="331" t="s">
        <v>698</v>
      </c>
      <c r="B46" s="332">
        <v>2264382224</v>
      </c>
      <c r="C46" s="271" t="s">
        <v>957</v>
      </c>
      <c r="D46" s="273">
        <v>45716</v>
      </c>
      <c r="E46" s="335">
        <v>60</v>
      </c>
      <c r="F46" s="273">
        <f t="shared" si="20"/>
        <v>45776</v>
      </c>
      <c r="G46" s="271">
        <f t="shared" si="21"/>
        <v>-119</v>
      </c>
      <c r="H46" s="274">
        <f t="shared" si="22"/>
        <v>2264382224</v>
      </c>
      <c r="I46" s="271"/>
      <c r="J46" s="271"/>
      <c r="K46" s="271"/>
      <c r="L46" s="271"/>
    </row>
    <row r="47" spans="1:12">
      <c r="A47" s="331" t="s">
        <v>698</v>
      </c>
      <c r="B47" s="332">
        <v>2398659224</v>
      </c>
      <c r="C47" s="271" t="s">
        <v>958</v>
      </c>
      <c r="D47" s="273">
        <v>45716</v>
      </c>
      <c r="E47" s="335">
        <v>60</v>
      </c>
      <c r="F47" s="273">
        <f t="shared" si="20"/>
        <v>45776</v>
      </c>
      <c r="G47" s="271">
        <f t="shared" si="21"/>
        <v>-119</v>
      </c>
      <c r="H47" s="274">
        <f t="shared" si="22"/>
        <v>2398659224</v>
      </c>
      <c r="I47" s="271"/>
      <c r="J47" s="271"/>
      <c r="K47" s="271"/>
      <c r="L47" s="271"/>
    </row>
    <row r="48" spans="1:12">
      <c r="A48" s="331"/>
      <c r="B48" s="332"/>
      <c r="C48" s="271"/>
      <c r="D48" s="271"/>
      <c r="E48" s="271"/>
      <c r="F48" s="271"/>
      <c r="G48" s="271"/>
      <c r="H48" s="271"/>
      <c r="I48" s="271"/>
      <c r="J48" s="271"/>
      <c r="K48" s="271"/>
      <c r="L48" s="271"/>
    </row>
    <row r="49" spans="1:12">
      <c r="A49" s="326" t="s">
        <v>934</v>
      </c>
      <c r="B49" s="332">
        <v>1958979360</v>
      </c>
      <c r="C49" s="271" t="s">
        <v>968</v>
      </c>
      <c r="D49" s="353">
        <v>45681</v>
      </c>
      <c r="E49" s="335">
        <v>60</v>
      </c>
      <c r="F49" s="273">
        <f t="shared" ref="F49" si="23">D49+E49</f>
        <v>45741</v>
      </c>
      <c r="G49" s="271">
        <f t="shared" ref="G49" si="24">$A$3-F49</f>
        <v>-84</v>
      </c>
      <c r="H49" s="274">
        <f>B49</f>
        <v>1958979360</v>
      </c>
      <c r="I49" s="271"/>
      <c r="J49" s="271"/>
      <c r="K49" s="271"/>
      <c r="L49" s="271"/>
    </row>
    <row r="50" spans="1:12">
      <c r="A50" s="326" t="s">
        <v>934</v>
      </c>
      <c r="B50" s="373">
        <v>1882156640</v>
      </c>
      <c r="C50" s="271" t="s">
        <v>973</v>
      </c>
      <c r="D50" s="354">
        <v>45716</v>
      </c>
      <c r="E50" s="335">
        <v>60</v>
      </c>
      <c r="F50" s="273">
        <f t="shared" ref="F50" si="25">D50+E50</f>
        <v>45776</v>
      </c>
      <c r="G50" s="271">
        <f t="shared" ref="G50" si="26">$A$3-F50</f>
        <v>-119</v>
      </c>
      <c r="H50" s="274">
        <f>B50</f>
        <v>1882156640</v>
      </c>
      <c r="I50" s="271"/>
      <c r="J50" s="271"/>
      <c r="K50" s="271"/>
      <c r="L50" s="271"/>
    </row>
    <row r="51" spans="1:12">
      <c r="A51" s="326"/>
      <c r="B51" s="332"/>
      <c r="C51" s="271"/>
      <c r="D51" s="273"/>
      <c r="E51" s="335"/>
      <c r="F51" s="273"/>
      <c r="G51" s="271"/>
      <c r="H51" s="274"/>
      <c r="I51" s="271"/>
      <c r="J51" s="271"/>
      <c r="K51" s="271"/>
      <c r="L51" s="271"/>
    </row>
    <row r="52" spans="1:12">
      <c r="A52" s="326" t="s">
        <v>361</v>
      </c>
      <c r="B52" s="332">
        <f>726320280-480</f>
        <v>726319800</v>
      </c>
      <c r="C52" s="271" t="s">
        <v>959</v>
      </c>
      <c r="D52" s="273">
        <v>45657</v>
      </c>
      <c r="E52" s="335">
        <v>60</v>
      </c>
      <c r="F52" s="273">
        <f t="shared" ref="F52:F53" si="27">D52+E52</f>
        <v>45717</v>
      </c>
      <c r="G52" s="271">
        <f t="shared" ref="G52:G53" si="28">$A$3-F52</f>
        <v>-60</v>
      </c>
      <c r="H52" s="274">
        <f t="shared" ref="H52:H53" si="29">B52</f>
        <v>726319800</v>
      </c>
      <c r="I52" s="271"/>
      <c r="J52" s="271"/>
      <c r="K52" s="271"/>
      <c r="L52" s="271"/>
    </row>
    <row r="53" spans="1:12">
      <c r="A53" s="326" t="s">
        <v>361</v>
      </c>
      <c r="B53" s="332">
        <v>2072260385.1040001</v>
      </c>
      <c r="C53" s="271" t="s">
        <v>960</v>
      </c>
      <c r="D53" s="354">
        <v>45716</v>
      </c>
      <c r="E53" s="335">
        <v>60</v>
      </c>
      <c r="F53" s="273">
        <f t="shared" si="27"/>
        <v>45776</v>
      </c>
      <c r="G53" s="271">
        <f t="shared" si="28"/>
        <v>-119</v>
      </c>
      <c r="H53" s="274">
        <f t="shared" si="29"/>
        <v>2072260385.1040001</v>
      </c>
      <c r="I53" s="271"/>
      <c r="J53" s="271"/>
      <c r="K53" s="271"/>
      <c r="L53" s="271"/>
    </row>
    <row r="54" spans="1:12">
      <c r="A54" s="331"/>
      <c r="B54" s="332"/>
      <c r="C54" s="271"/>
      <c r="D54" s="271"/>
      <c r="E54" s="271"/>
      <c r="F54" s="271"/>
      <c r="G54" s="271"/>
      <c r="H54" s="271"/>
      <c r="I54" s="271"/>
      <c r="J54" s="271"/>
      <c r="K54" s="271"/>
      <c r="L54" s="271"/>
    </row>
  </sheetData>
  <autoFilter ref="A6:L53" xr:uid="{C9FCF2E2-4B87-4C5F-B96E-13AF7F4F9141}"/>
  <mergeCells count="2">
    <mergeCell ref="C5:F5"/>
    <mergeCell ref="G5:L5"/>
  </mergeCells>
  <pageMargins left="0.7" right="0.7" top="0.75" bottom="0.75" header="0.3" footer="0.3"/>
  <ignoredErrors>
    <ignoredError sqref="C8:C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E725-8E63-4D7B-A692-90D543A00447}">
  <sheetPr>
    <tabColor rgb="FFFFABAB"/>
  </sheetPr>
  <dimension ref="A1:L39"/>
  <sheetViews>
    <sheetView showGridLines="0" workbookViewId="0">
      <pane xSplit="2" ySplit="6" topLeftCell="C13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25.6328125" bestFit="1" customWidth="1"/>
    <col min="2" max="2" width="14.81640625" bestFit="1" customWidth="1"/>
    <col min="3" max="3" width="23" bestFit="1" customWidth="1"/>
    <col min="4" max="4" width="11.26953125" customWidth="1"/>
    <col min="5" max="5" width="16.6328125" bestFit="1" customWidth="1"/>
    <col min="6" max="6" width="23.1796875" bestFit="1" customWidth="1"/>
    <col min="8" max="8" width="14.81640625" bestFit="1" customWidth="1"/>
    <col min="9" max="9" width="11.26953125" bestFit="1" customWidth="1"/>
    <col min="10" max="12" width="8.81640625" bestFit="1" customWidth="1"/>
  </cols>
  <sheetData>
    <row r="1" spans="1:12">
      <c r="A1" s="198" t="s">
        <v>831</v>
      </c>
    </row>
    <row r="2" spans="1:12">
      <c r="A2" s="198" t="s">
        <v>268</v>
      </c>
    </row>
    <row r="3" spans="1:12">
      <c r="A3" s="199">
        <v>45565</v>
      </c>
    </row>
    <row r="4" spans="1:12">
      <c r="B4" s="330">
        <f>SUM(B8:B31)</f>
        <v>23871074594.5</v>
      </c>
      <c r="H4" s="16">
        <f t="shared" ref="H4:L4" si="0">SUM(H8:H31)</f>
        <v>23835255707.5</v>
      </c>
      <c r="I4" s="16">
        <f t="shared" si="0"/>
        <v>35818887</v>
      </c>
      <c r="J4" s="16">
        <f t="shared" si="0"/>
        <v>0</v>
      </c>
      <c r="K4" s="16">
        <f t="shared" si="0"/>
        <v>0</v>
      </c>
      <c r="L4" s="16">
        <f t="shared" si="0"/>
        <v>0</v>
      </c>
    </row>
    <row r="5" spans="1:12">
      <c r="A5" s="51"/>
      <c r="B5" s="51"/>
      <c r="C5" s="375" t="s">
        <v>0</v>
      </c>
      <c r="D5" s="375"/>
      <c r="E5" s="375"/>
      <c r="F5" s="375"/>
      <c r="G5" s="376" t="s">
        <v>203</v>
      </c>
      <c r="H5" s="377"/>
      <c r="I5" s="377"/>
      <c r="J5" s="377"/>
      <c r="K5" s="377"/>
      <c r="L5" s="378"/>
    </row>
    <row r="6" spans="1:12">
      <c r="A6" s="52" t="s">
        <v>2</v>
      </c>
      <c r="B6" s="5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</row>
    <row r="7" spans="1:12">
      <c r="A7" s="333" t="s">
        <v>362</v>
      </c>
      <c r="B7" s="271"/>
      <c r="C7" s="271"/>
      <c r="D7" s="271"/>
      <c r="E7" s="271"/>
      <c r="F7" s="271"/>
      <c r="G7" s="271"/>
      <c r="H7" s="271"/>
      <c r="I7" s="271"/>
      <c r="J7" s="271"/>
      <c r="K7" s="271"/>
      <c r="L7" s="271"/>
    </row>
    <row r="8" spans="1:12">
      <c r="A8" s="269" t="s">
        <v>363</v>
      </c>
      <c r="B8" s="270">
        <v>35818887</v>
      </c>
      <c r="C8" s="271"/>
      <c r="D8" s="273">
        <v>45504</v>
      </c>
      <c r="E8" s="271">
        <v>30</v>
      </c>
      <c r="F8" s="273">
        <f>D8+E8</f>
        <v>45534</v>
      </c>
      <c r="G8" s="271">
        <f>$A$3-F8</f>
        <v>31</v>
      </c>
      <c r="H8" s="271"/>
      <c r="I8" s="274">
        <f>B8</f>
        <v>35818887</v>
      </c>
      <c r="J8" s="271"/>
      <c r="K8" s="271"/>
      <c r="L8" s="271"/>
    </row>
    <row r="9" spans="1:12">
      <c r="A9" s="269" t="s">
        <v>363</v>
      </c>
      <c r="B9" s="270">
        <v>302993500</v>
      </c>
      <c r="C9" s="271"/>
      <c r="D9" s="273">
        <v>45535</v>
      </c>
      <c r="E9" s="271">
        <v>30</v>
      </c>
      <c r="F9" s="273">
        <f t="shared" ref="F9:F10" si="1">D9+E9</f>
        <v>45565</v>
      </c>
      <c r="G9" s="271">
        <f t="shared" ref="G9:G10" si="2">$A$3-F9</f>
        <v>0</v>
      </c>
      <c r="H9" s="274">
        <f>B9</f>
        <v>302993500</v>
      </c>
      <c r="I9" s="271"/>
      <c r="J9" s="271"/>
      <c r="K9" s="271"/>
      <c r="L9" s="271"/>
    </row>
    <row r="10" spans="1:12">
      <c r="A10" s="269" t="s">
        <v>363</v>
      </c>
      <c r="B10" s="270">
        <v>1082094</v>
      </c>
      <c r="C10" s="271"/>
      <c r="D10" s="273">
        <v>45565</v>
      </c>
      <c r="E10" s="271">
        <v>30</v>
      </c>
      <c r="F10" s="273">
        <f t="shared" si="1"/>
        <v>45595</v>
      </c>
      <c r="G10" s="271">
        <f t="shared" si="2"/>
        <v>-30</v>
      </c>
      <c r="H10" s="274">
        <f>B10</f>
        <v>1082094</v>
      </c>
      <c r="I10" s="271"/>
      <c r="J10" s="271"/>
      <c r="K10" s="271"/>
      <c r="L10" s="271"/>
    </row>
    <row r="11" spans="1:12">
      <c r="A11" s="269"/>
      <c r="B11" s="270"/>
      <c r="C11" s="271"/>
      <c r="D11" s="271"/>
      <c r="E11" s="271"/>
      <c r="F11" s="271"/>
      <c r="G11" s="271"/>
      <c r="H11" s="271"/>
      <c r="I11" s="271"/>
      <c r="J11" s="271"/>
      <c r="K11" s="271"/>
      <c r="L11" s="271"/>
    </row>
    <row r="12" spans="1:12">
      <c r="A12" s="333" t="s">
        <v>355</v>
      </c>
      <c r="B12" s="270"/>
      <c r="C12" s="334"/>
      <c r="D12" s="271"/>
      <c r="E12" s="335"/>
      <c r="F12" s="271"/>
      <c r="G12" s="271"/>
      <c r="H12" s="271"/>
      <c r="I12" s="271"/>
      <c r="J12" s="271"/>
      <c r="K12" s="271"/>
      <c r="L12" s="271"/>
    </row>
    <row r="13" spans="1:12">
      <c r="A13" s="269"/>
      <c r="B13" s="270"/>
      <c r="C13" s="334"/>
      <c r="D13" s="271"/>
      <c r="E13" s="335"/>
      <c r="F13" s="271"/>
      <c r="G13" s="271"/>
      <c r="H13" s="271"/>
      <c r="I13" s="271"/>
      <c r="J13" s="271"/>
      <c r="K13" s="271"/>
      <c r="L13" s="271"/>
    </row>
    <row r="14" spans="1:12">
      <c r="A14" s="269" t="s">
        <v>356</v>
      </c>
      <c r="B14" s="270">
        <v>2304857600</v>
      </c>
      <c r="C14" s="334" t="s">
        <v>834</v>
      </c>
      <c r="D14" s="273">
        <v>45576</v>
      </c>
      <c r="E14" s="335">
        <v>60</v>
      </c>
      <c r="F14" s="273">
        <f t="shared" ref="F14:F22" si="3">D14+E14</f>
        <v>45636</v>
      </c>
      <c r="G14" s="271">
        <f t="shared" ref="G14:G22" si="4">$A$3-F14</f>
        <v>-71</v>
      </c>
      <c r="H14" s="274">
        <f>B14</f>
        <v>2304857600</v>
      </c>
      <c r="I14" s="271"/>
      <c r="J14" s="271"/>
      <c r="K14" s="271"/>
      <c r="L14" s="271"/>
    </row>
    <row r="15" spans="1:12">
      <c r="A15" s="269" t="s">
        <v>356</v>
      </c>
      <c r="B15" s="270">
        <v>1998078000</v>
      </c>
      <c r="C15" s="334" t="s">
        <v>865</v>
      </c>
      <c r="D15" s="336">
        <v>45587</v>
      </c>
      <c r="E15" s="335">
        <v>60</v>
      </c>
      <c r="F15" s="273">
        <f t="shared" si="3"/>
        <v>45647</v>
      </c>
      <c r="G15" s="271">
        <f t="shared" si="4"/>
        <v>-82</v>
      </c>
      <c r="H15" s="274">
        <f t="shared" ref="H15:H22" si="5">B15</f>
        <v>1998078000</v>
      </c>
      <c r="I15" s="271"/>
      <c r="J15" s="271"/>
      <c r="K15" s="271"/>
      <c r="L15" s="271"/>
    </row>
    <row r="16" spans="1:12">
      <c r="A16" s="269" t="s">
        <v>356</v>
      </c>
      <c r="B16" s="270">
        <v>1930996000</v>
      </c>
      <c r="C16" s="334" t="s">
        <v>835</v>
      </c>
      <c r="D16" s="336">
        <v>45588</v>
      </c>
      <c r="E16" s="335">
        <v>60</v>
      </c>
      <c r="F16" s="273">
        <f t="shared" si="3"/>
        <v>45648</v>
      </c>
      <c r="G16" s="271">
        <f t="shared" si="4"/>
        <v>-83</v>
      </c>
      <c r="H16" s="274">
        <f t="shared" si="5"/>
        <v>1930996000</v>
      </c>
      <c r="I16" s="271"/>
      <c r="J16" s="271"/>
      <c r="K16" s="271"/>
      <c r="L16" s="271"/>
    </row>
    <row r="17" spans="1:12">
      <c r="A17" s="269" t="s">
        <v>356</v>
      </c>
      <c r="B17" s="270">
        <v>1647014400</v>
      </c>
      <c r="C17" s="334">
        <v>50</v>
      </c>
      <c r="D17" s="336">
        <v>45565</v>
      </c>
      <c r="E17" s="335">
        <v>60</v>
      </c>
      <c r="F17" s="273">
        <f t="shared" si="3"/>
        <v>45625</v>
      </c>
      <c r="G17" s="271">
        <f t="shared" si="4"/>
        <v>-60</v>
      </c>
      <c r="H17" s="274">
        <f t="shared" si="5"/>
        <v>1647014400</v>
      </c>
      <c r="I17" s="271"/>
      <c r="J17" s="271"/>
      <c r="K17" s="271"/>
      <c r="L17" s="271"/>
    </row>
    <row r="18" spans="1:12">
      <c r="A18" s="269" t="s">
        <v>356</v>
      </c>
      <c r="B18" s="270">
        <v>1565193150</v>
      </c>
      <c r="C18" s="334">
        <v>51</v>
      </c>
      <c r="D18" s="336">
        <v>45565</v>
      </c>
      <c r="E18" s="335">
        <v>60</v>
      </c>
      <c r="F18" s="273">
        <f t="shared" si="3"/>
        <v>45625</v>
      </c>
      <c r="G18" s="271">
        <f t="shared" si="4"/>
        <v>-60</v>
      </c>
      <c r="H18" s="274">
        <f t="shared" si="5"/>
        <v>1565193150</v>
      </c>
      <c r="I18" s="271"/>
      <c r="J18" s="271"/>
      <c r="K18" s="271"/>
      <c r="L18" s="271"/>
    </row>
    <row r="19" spans="1:12">
      <c r="A19" s="269" t="s">
        <v>356</v>
      </c>
      <c r="B19" s="270">
        <v>1878625800</v>
      </c>
      <c r="C19" s="334">
        <v>52</v>
      </c>
      <c r="D19" s="336">
        <v>45565</v>
      </c>
      <c r="E19" s="335">
        <v>60</v>
      </c>
      <c r="F19" s="273">
        <f t="shared" si="3"/>
        <v>45625</v>
      </c>
      <c r="G19" s="271">
        <f t="shared" si="4"/>
        <v>-60</v>
      </c>
      <c r="H19" s="274">
        <f t="shared" si="5"/>
        <v>1878625800</v>
      </c>
      <c r="I19" s="271"/>
      <c r="J19" s="271"/>
      <c r="K19" s="271"/>
      <c r="L19" s="271"/>
    </row>
    <row r="20" spans="1:12">
      <c r="A20" s="269" t="s">
        <v>356</v>
      </c>
      <c r="B20" s="270">
        <v>1856930400</v>
      </c>
      <c r="C20" s="334">
        <v>49</v>
      </c>
      <c r="D20" s="336">
        <v>45563</v>
      </c>
      <c r="E20" s="335">
        <v>60</v>
      </c>
      <c r="F20" s="273">
        <f t="shared" si="3"/>
        <v>45623</v>
      </c>
      <c r="G20" s="271">
        <f t="shared" si="4"/>
        <v>-58</v>
      </c>
      <c r="H20" s="274">
        <f t="shared" si="5"/>
        <v>1856930400</v>
      </c>
      <c r="I20" s="271"/>
      <c r="J20" s="271"/>
      <c r="K20" s="271"/>
      <c r="L20" s="271"/>
    </row>
    <row r="21" spans="1:12">
      <c r="A21" s="269" t="s">
        <v>356</v>
      </c>
      <c r="B21" s="270">
        <f>1580599365-38442196+0.5</f>
        <v>1542157169.5</v>
      </c>
      <c r="C21" s="334">
        <v>46</v>
      </c>
      <c r="D21" s="336">
        <v>45556</v>
      </c>
      <c r="E21" s="335">
        <v>60</v>
      </c>
      <c r="F21" s="273">
        <f t="shared" si="3"/>
        <v>45616</v>
      </c>
      <c r="G21" s="271">
        <f t="shared" si="4"/>
        <v>-51</v>
      </c>
      <c r="H21" s="274">
        <f t="shared" si="5"/>
        <v>1542157169.5</v>
      </c>
      <c r="I21" s="271"/>
      <c r="J21" s="271"/>
      <c r="K21" s="271"/>
      <c r="L21" s="271"/>
    </row>
    <row r="22" spans="1:12">
      <c r="A22" s="269" t="s">
        <v>356</v>
      </c>
      <c r="B22" s="270">
        <v>1949092500</v>
      </c>
      <c r="C22" s="334">
        <v>44</v>
      </c>
      <c r="D22" s="336">
        <v>45555</v>
      </c>
      <c r="E22" s="335">
        <v>60</v>
      </c>
      <c r="F22" s="273">
        <f t="shared" si="3"/>
        <v>45615</v>
      </c>
      <c r="G22" s="271">
        <f t="shared" si="4"/>
        <v>-50</v>
      </c>
      <c r="H22" s="274">
        <f t="shared" si="5"/>
        <v>1949092500</v>
      </c>
      <c r="I22" s="271"/>
      <c r="J22" s="271"/>
      <c r="K22" s="271"/>
      <c r="L22" s="271"/>
    </row>
    <row r="23" spans="1:12">
      <c r="A23" s="269"/>
      <c r="B23" s="270"/>
      <c r="C23" s="334"/>
      <c r="D23" s="336"/>
      <c r="E23" s="335"/>
      <c r="F23" s="271"/>
      <c r="G23" s="271"/>
      <c r="H23" s="271"/>
      <c r="I23" s="271"/>
      <c r="J23" s="271"/>
      <c r="K23" s="271"/>
      <c r="L23" s="271"/>
    </row>
    <row r="24" spans="1:12">
      <c r="A24" s="269" t="s">
        <v>357</v>
      </c>
      <c r="B24" s="270">
        <v>1353639940</v>
      </c>
      <c r="C24" s="271">
        <v>31</v>
      </c>
      <c r="D24" s="273">
        <v>45520</v>
      </c>
      <c r="E24" s="335">
        <v>60</v>
      </c>
      <c r="F24" s="273">
        <f t="shared" ref="F24" si="6">D24+E24</f>
        <v>45580</v>
      </c>
      <c r="G24" s="271">
        <f t="shared" ref="G24" si="7">$A$3-F24</f>
        <v>-15</v>
      </c>
      <c r="H24" s="274">
        <f>B24</f>
        <v>1353639940</v>
      </c>
      <c r="I24" s="271"/>
      <c r="J24" s="271"/>
      <c r="K24" s="271"/>
      <c r="L24" s="271"/>
    </row>
    <row r="25" spans="1:12">
      <c r="A25" s="269"/>
      <c r="B25" s="270"/>
      <c r="C25" s="271"/>
      <c r="D25" s="271"/>
      <c r="E25" s="271"/>
      <c r="F25" s="271"/>
      <c r="G25" s="271"/>
      <c r="H25" s="271"/>
      <c r="I25" s="271"/>
      <c r="J25" s="271"/>
      <c r="K25" s="271"/>
      <c r="L25" s="271"/>
    </row>
    <row r="26" spans="1:12">
      <c r="A26" s="269" t="s">
        <v>832</v>
      </c>
      <c r="B26" s="270">
        <v>1783098720</v>
      </c>
      <c r="C26" s="271" t="s">
        <v>866</v>
      </c>
      <c r="D26" s="273">
        <v>45584</v>
      </c>
      <c r="E26" s="335">
        <v>60</v>
      </c>
      <c r="F26" s="273">
        <f t="shared" ref="F26:F27" si="8">D26+E26</f>
        <v>45644</v>
      </c>
      <c r="G26" s="271">
        <f t="shared" ref="G26:G29" si="9">$A$3-F26</f>
        <v>-79</v>
      </c>
      <c r="H26" s="274">
        <f t="shared" ref="H26:H27" si="10">B26</f>
        <v>1783098720</v>
      </c>
      <c r="I26" s="271"/>
      <c r="J26" s="271"/>
      <c r="K26" s="271"/>
      <c r="L26" s="271"/>
    </row>
    <row r="27" spans="1:12">
      <c r="A27" s="269" t="s">
        <v>832</v>
      </c>
      <c r="B27" s="270">
        <v>1739932234</v>
      </c>
      <c r="C27" s="271">
        <v>47</v>
      </c>
      <c r="D27" s="273">
        <v>45561</v>
      </c>
      <c r="E27" s="335">
        <v>60</v>
      </c>
      <c r="F27" s="273">
        <f t="shared" si="8"/>
        <v>45621</v>
      </c>
      <c r="G27" s="271">
        <f t="shared" si="9"/>
        <v>-56</v>
      </c>
      <c r="H27" s="274">
        <f t="shared" si="10"/>
        <v>1739932234</v>
      </c>
      <c r="I27" s="271"/>
      <c r="J27" s="271"/>
      <c r="K27" s="271"/>
      <c r="L27" s="271"/>
    </row>
    <row r="28" spans="1:12">
      <c r="A28" s="269"/>
      <c r="B28" s="270"/>
      <c r="C28" s="271"/>
      <c r="D28" s="271"/>
      <c r="E28" s="271"/>
      <c r="F28" s="271"/>
      <c r="G28" s="271"/>
      <c r="H28" s="271"/>
      <c r="I28" s="271"/>
      <c r="J28" s="271"/>
      <c r="K28" s="271"/>
      <c r="L28" s="271"/>
    </row>
    <row r="29" spans="1:12">
      <c r="A29" s="269" t="s">
        <v>833</v>
      </c>
      <c r="B29" s="270">
        <v>1981564200</v>
      </c>
      <c r="C29" s="271">
        <v>48</v>
      </c>
      <c r="D29" s="273">
        <v>45562</v>
      </c>
      <c r="E29" s="335">
        <v>60</v>
      </c>
      <c r="F29" s="273">
        <f t="shared" ref="F29" si="11">D29+E29</f>
        <v>45622</v>
      </c>
      <c r="G29" s="271">
        <f t="shared" si="9"/>
        <v>-57</v>
      </c>
      <c r="H29" s="274">
        <f>B29</f>
        <v>1981564200</v>
      </c>
      <c r="I29" s="271"/>
      <c r="J29" s="271"/>
      <c r="K29" s="271"/>
      <c r="L29" s="271"/>
    </row>
    <row r="30" spans="1:12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</row>
    <row r="31" spans="1:12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</row>
    <row r="32" spans="1:12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</row>
    <row r="33" spans="1:12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</row>
    <row r="34" spans="1:12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</row>
    <row r="35" spans="1:12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</row>
    <row r="36" spans="1:12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</row>
    <row r="37" spans="1:12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</row>
    <row r="38" spans="1:12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</row>
    <row r="39" spans="1:12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</row>
  </sheetData>
  <autoFilter ref="A6:L29" xr:uid="{4AD0E725-8E63-4D7B-A692-90D543A00447}"/>
  <mergeCells count="2">
    <mergeCell ref="C5:F5"/>
    <mergeCell ref="G5:L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CF2F-5104-4335-A4E4-1B3A6FCF1028}">
  <sheetPr>
    <tabColor rgb="FFFFABAB"/>
  </sheetPr>
  <dimension ref="A1:M109"/>
  <sheetViews>
    <sheetView showGridLines="0" zoomScale="80" zoomScaleNormal="80" workbookViewId="0">
      <pane xSplit="2" ySplit="5" topLeftCell="C102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43" bestFit="1" customWidth="1"/>
    <col min="2" max="2" width="14.453125" bestFit="1" customWidth="1"/>
    <col min="3" max="3" width="14.81640625" bestFit="1" customWidth="1"/>
    <col min="4" max="4" width="15.1796875" bestFit="1" customWidth="1"/>
    <col min="5" max="5" width="16.6328125" bestFit="1" customWidth="1"/>
    <col min="6" max="6" width="19.7265625" bestFit="1" customWidth="1"/>
    <col min="7" max="7" width="11.54296875" bestFit="1" customWidth="1"/>
    <col min="8" max="8" width="14.453125" bestFit="1" customWidth="1"/>
    <col min="9" max="9" width="13.90625" bestFit="1" customWidth="1"/>
    <col min="10" max="11" width="14.81640625" bestFit="1" customWidth="1"/>
    <col min="12" max="12" width="13.36328125" bestFit="1" customWidth="1"/>
  </cols>
  <sheetData>
    <row r="1" spans="1:13">
      <c r="A1" s="158" t="s">
        <v>185</v>
      </c>
      <c r="B1" s="16"/>
      <c r="C1" s="18"/>
    </row>
    <row r="2" spans="1:13">
      <c r="A2" s="158" t="s">
        <v>145</v>
      </c>
      <c r="B2" s="16"/>
    </row>
    <row r="3" spans="1:13">
      <c r="A3" s="160">
        <v>45565</v>
      </c>
      <c r="B3" s="16"/>
    </row>
    <row r="4" spans="1:13">
      <c r="B4" s="16">
        <f>SUBTOTAL(9,B6:B107)</f>
        <v>3257924289.7299995</v>
      </c>
      <c r="H4" s="16">
        <f>SUBTOTAL(9,H6:H107)</f>
        <v>2783605669.2299995</v>
      </c>
      <c r="I4" s="16">
        <f t="shared" ref="I4:L4" si="0">SUBTOTAL(9,I6:I107)</f>
        <v>433264604.5</v>
      </c>
      <c r="J4" s="16">
        <f t="shared" si="0"/>
        <v>14154286</v>
      </c>
      <c r="K4" s="16">
        <f t="shared" si="0"/>
        <v>8031460</v>
      </c>
      <c r="L4" s="16">
        <f t="shared" si="0"/>
        <v>18868270</v>
      </c>
      <c r="M4" s="18">
        <f>SUM(H4:L4)-B4</f>
        <v>0</v>
      </c>
    </row>
    <row r="5" spans="1:13">
      <c r="A5" s="341" t="s">
        <v>2</v>
      </c>
      <c r="B5" s="286" t="s">
        <v>3</v>
      </c>
      <c r="C5" s="288" t="s">
        <v>244</v>
      </c>
      <c r="D5" s="288" t="s">
        <v>245</v>
      </c>
      <c r="E5" s="288" t="s">
        <v>209</v>
      </c>
      <c r="F5" s="286" t="s">
        <v>210</v>
      </c>
      <c r="G5" s="286" t="s">
        <v>211</v>
      </c>
      <c r="H5" s="286" t="s">
        <v>174</v>
      </c>
      <c r="I5" s="286" t="s">
        <v>212</v>
      </c>
      <c r="J5" s="286" t="s">
        <v>213</v>
      </c>
      <c r="K5" s="286" t="s">
        <v>214</v>
      </c>
      <c r="L5" s="286" t="s">
        <v>215</v>
      </c>
    </row>
    <row r="6" spans="1:13">
      <c r="A6" t="s">
        <v>774</v>
      </c>
      <c r="B6" s="272">
        <v>287627286.03999996</v>
      </c>
      <c r="C6" s="271">
        <v>648</v>
      </c>
      <c r="D6" s="273">
        <v>45561</v>
      </c>
      <c r="E6" s="271">
        <v>30</v>
      </c>
      <c r="F6" s="273">
        <f>D6+E6</f>
        <v>45591</v>
      </c>
      <c r="G6" s="271">
        <f>$A$3-F6</f>
        <v>-26</v>
      </c>
      <c r="H6" s="277">
        <f>B6</f>
        <v>287627286.03999996</v>
      </c>
      <c r="I6" s="271"/>
      <c r="J6" s="271"/>
      <c r="K6" s="271"/>
      <c r="L6" s="271"/>
    </row>
    <row r="7" spans="1:13">
      <c r="B7" s="272"/>
      <c r="C7" s="271"/>
      <c r="D7" s="273"/>
      <c r="E7" s="271"/>
      <c r="F7" s="273"/>
      <c r="G7" s="271"/>
      <c r="H7" s="271"/>
      <c r="I7" s="271"/>
      <c r="J7" s="271"/>
      <c r="K7" s="271"/>
      <c r="L7" s="271"/>
    </row>
    <row r="8" spans="1:13">
      <c r="A8" t="s">
        <v>368</v>
      </c>
      <c r="B8" s="272">
        <v>1113430</v>
      </c>
      <c r="C8" s="271"/>
      <c r="D8" s="273">
        <v>45443</v>
      </c>
      <c r="E8" s="271">
        <v>30</v>
      </c>
      <c r="F8" s="273">
        <f t="shared" ref="F8:F97" si="1">D8+E8</f>
        <v>45473</v>
      </c>
      <c r="G8" s="271">
        <f t="shared" ref="G8:G105" si="2">$A$3-F8</f>
        <v>92</v>
      </c>
      <c r="H8" s="271"/>
      <c r="I8" s="271"/>
      <c r="J8" s="271"/>
      <c r="K8" s="271"/>
      <c r="L8" s="277">
        <f>B8</f>
        <v>1113430</v>
      </c>
    </row>
    <row r="9" spans="1:13">
      <c r="A9" t="s">
        <v>368</v>
      </c>
      <c r="B9" s="272">
        <v>8031460</v>
      </c>
      <c r="C9" s="291" t="s">
        <v>645</v>
      </c>
      <c r="D9" s="273">
        <v>45448</v>
      </c>
      <c r="E9" s="271">
        <v>30</v>
      </c>
      <c r="F9" s="273">
        <f t="shared" ref="F9:F39" si="3">D9+E9</f>
        <v>45478</v>
      </c>
      <c r="G9" s="271">
        <f t="shared" si="2"/>
        <v>87</v>
      </c>
      <c r="H9" s="271"/>
      <c r="I9" s="271"/>
      <c r="J9" s="271"/>
      <c r="K9" s="277">
        <f>B9</f>
        <v>8031460</v>
      </c>
      <c r="L9" s="271"/>
    </row>
    <row r="10" spans="1:13">
      <c r="A10" t="s">
        <v>368</v>
      </c>
      <c r="B10" s="272">
        <v>3059437</v>
      </c>
      <c r="C10" s="291" t="s">
        <v>311</v>
      </c>
      <c r="D10" s="273">
        <v>45489</v>
      </c>
      <c r="E10" s="271">
        <v>30</v>
      </c>
      <c r="F10" s="273">
        <f t="shared" si="3"/>
        <v>45519</v>
      </c>
      <c r="G10" s="271">
        <f t="shared" si="2"/>
        <v>46</v>
      </c>
      <c r="H10" s="271"/>
      <c r="I10" s="271"/>
      <c r="J10" s="277">
        <f>B10</f>
        <v>3059437</v>
      </c>
      <c r="K10" s="271"/>
      <c r="L10" s="271"/>
    </row>
    <row r="11" spans="1:13">
      <c r="A11" t="s">
        <v>368</v>
      </c>
      <c r="B11" s="272">
        <v>27872100</v>
      </c>
      <c r="C11" s="291" t="s">
        <v>839</v>
      </c>
      <c r="D11" s="273">
        <v>45523</v>
      </c>
      <c r="E11" s="271">
        <v>30</v>
      </c>
      <c r="F11" s="273">
        <f t="shared" si="3"/>
        <v>45553</v>
      </c>
      <c r="G11" s="271">
        <f t="shared" si="2"/>
        <v>12</v>
      </c>
      <c r="H11" s="271"/>
      <c r="I11" s="277">
        <f>B11</f>
        <v>27872100</v>
      </c>
      <c r="J11" s="271"/>
      <c r="K11" s="271"/>
      <c r="L11" s="271"/>
    </row>
    <row r="12" spans="1:13">
      <c r="A12" t="s">
        <v>368</v>
      </c>
      <c r="B12" s="272">
        <v>24431100</v>
      </c>
      <c r="C12" s="291" t="s">
        <v>840</v>
      </c>
      <c r="D12" s="273">
        <v>45523</v>
      </c>
      <c r="E12" s="271">
        <v>30</v>
      </c>
      <c r="F12" s="273">
        <f t="shared" si="3"/>
        <v>45553</v>
      </c>
      <c r="G12" s="271">
        <f t="shared" si="2"/>
        <v>12</v>
      </c>
      <c r="H12" s="271"/>
      <c r="I12" s="277">
        <f t="shared" ref="I12:I23" si="4">B12</f>
        <v>24431100</v>
      </c>
      <c r="J12" s="271"/>
      <c r="K12" s="271"/>
      <c r="L12" s="271"/>
    </row>
    <row r="13" spans="1:13">
      <c r="A13" t="s">
        <v>368</v>
      </c>
      <c r="B13" s="272">
        <v>16516800</v>
      </c>
      <c r="C13" s="291" t="s">
        <v>841</v>
      </c>
      <c r="D13" s="273">
        <v>45526</v>
      </c>
      <c r="E13" s="271">
        <v>30</v>
      </c>
      <c r="F13" s="273">
        <f t="shared" si="3"/>
        <v>45556</v>
      </c>
      <c r="G13" s="271">
        <f t="shared" si="2"/>
        <v>9</v>
      </c>
      <c r="H13" s="271"/>
      <c r="I13" s="277">
        <f t="shared" si="4"/>
        <v>16516800</v>
      </c>
      <c r="J13" s="271"/>
      <c r="K13" s="271"/>
      <c r="L13" s="271"/>
    </row>
    <row r="14" spans="1:13">
      <c r="A14" t="s">
        <v>368</v>
      </c>
      <c r="B14" s="272">
        <v>7914300</v>
      </c>
      <c r="C14" s="291" t="s">
        <v>842</v>
      </c>
      <c r="D14" s="273">
        <v>45527</v>
      </c>
      <c r="E14" s="271">
        <v>30</v>
      </c>
      <c r="F14" s="273">
        <f t="shared" si="3"/>
        <v>45557</v>
      </c>
      <c r="G14" s="271">
        <f t="shared" si="2"/>
        <v>8</v>
      </c>
      <c r="H14" s="271"/>
      <c r="I14" s="277">
        <f t="shared" si="4"/>
        <v>7914300</v>
      </c>
      <c r="J14" s="271"/>
      <c r="K14" s="271"/>
      <c r="L14" s="271"/>
    </row>
    <row r="15" spans="1:13">
      <c r="A15" t="s">
        <v>368</v>
      </c>
      <c r="B15" s="272">
        <v>5782045.5</v>
      </c>
      <c r="C15" s="291" t="s">
        <v>843</v>
      </c>
      <c r="D15" s="273">
        <v>45528</v>
      </c>
      <c r="E15" s="271">
        <v>30</v>
      </c>
      <c r="F15" s="273">
        <f t="shared" si="3"/>
        <v>45558</v>
      </c>
      <c r="G15" s="271">
        <f t="shared" si="2"/>
        <v>7</v>
      </c>
      <c r="H15" s="271"/>
      <c r="I15" s="277">
        <f t="shared" si="4"/>
        <v>5782045.5</v>
      </c>
      <c r="J15" s="271"/>
      <c r="K15" s="271"/>
      <c r="L15" s="271"/>
    </row>
    <row r="16" spans="1:13">
      <c r="A16" t="s">
        <v>368</v>
      </c>
      <c r="B16" s="272">
        <v>4142320</v>
      </c>
      <c r="C16" s="291" t="s">
        <v>844</v>
      </c>
      <c r="D16" s="273">
        <v>45528</v>
      </c>
      <c r="E16" s="271">
        <v>30</v>
      </c>
      <c r="F16" s="273">
        <f t="shared" si="3"/>
        <v>45558</v>
      </c>
      <c r="G16" s="271">
        <f t="shared" si="2"/>
        <v>7</v>
      </c>
      <c r="H16" s="271"/>
      <c r="I16" s="277">
        <f t="shared" si="4"/>
        <v>4142320</v>
      </c>
      <c r="J16" s="271"/>
      <c r="K16" s="271"/>
      <c r="L16" s="271"/>
    </row>
    <row r="17" spans="1:12">
      <c r="A17" t="s">
        <v>368</v>
      </c>
      <c r="B17" s="272">
        <v>3291838</v>
      </c>
      <c r="C17" s="291" t="s">
        <v>845</v>
      </c>
      <c r="D17" s="273">
        <v>45528</v>
      </c>
      <c r="E17" s="271">
        <v>30</v>
      </c>
      <c r="F17" s="273">
        <f t="shared" si="3"/>
        <v>45558</v>
      </c>
      <c r="G17" s="271">
        <f t="shared" si="2"/>
        <v>7</v>
      </c>
      <c r="H17" s="271"/>
      <c r="I17" s="277">
        <f t="shared" si="4"/>
        <v>3291838</v>
      </c>
      <c r="J17" s="271"/>
      <c r="K17" s="271"/>
      <c r="L17" s="271"/>
    </row>
    <row r="18" spans="1:12">
      <c r="A18" t="s">
        <v>368</v>
      </c>
      <c r="B18" s="272">
        <v>11507203</v>
      </c>
      <c r="C18" s="291" t="s">
        <v>846</v>
      </c>
      <c r="D18" s="273">
        <v>45529</v>
      </c>
      <c r="E18" s="271">
        <v>30</v>
      </c>
      <c r="F18" s="273">
        <f t="shared" si="3"/>
        <v>45559</v>
      </c>
      <c r="G18" s="271">
        <f t="shared" si="2"/>
        <v>6</v>
      </c>
      <c r="H18" s="271"/>
      <c r="I18" s="277">
        <f t="shared" si="4"/>
        <v>11507203</v>
      </c>
      <c r="J18" s="271"/>
      <c r="K18" s="271"/>
      <c r="L18" s="271"/>
    </row>
    <row r="19" spans="1:12">
      <c r="A19" t="s">
        <v>368</v>
      </c>
      <c r="B19" s="272">
        <v>787212</v>
      </c>
      <c r="C19" s="291" t="s">
        <v>847</v>
      </c>
      <c r="D19" s="273">
        <v>45529</v>
      </c>
      <c r="E19" s="271">
        <v>30</v>
      </c>
      <c r="F19" s="273">
        <f t="shared" si="3"/>
        <v>45559</v>
      </c>
      <c r="G19" s="271">
        <f t="shared" si="2"/>
        <v>6</v>
      </c>
      <c r="H19" s="271"/>
      <c r="I19" s="277">
        <f t="shared" si="4"/>
        <v>787212</v>
      </c>
      <c r="J19" s="271"/>
      <c r="K19" s="271"/>
      <c r="L19" s="271"/>
    </row>
    <row r="20" spans="1:12">
      <c r="A20" t="s">
        <v>368</v>
      </c>
      <c r="B20" s="272">
        <v>4784377</v>
      </c>
      <c r="C20" s="291" t="s">
        <v>315</v>
      </c>
      <c r="D20" s="273">
        <v>45533</v>
      </c>
      <c r="E20" s="271">
        <v>30</v>
      </c>
      <c r="F20" s="273">
        <f t="shared" si="3"/>
        <v>45563</v>
      </c>
      <c r="G20" s="271">
        <f t="shared" si="2"/>
        <v>2</v>
      </c>
      <c r="H20" s="271"/>
      <c r="I20" s="277">
        <f t="shared" si="4"/>
        <v>4784377</v>
      </c>
      <c r="J20" s="271"/>
      <c r="K20" s="271"/>
      <c r="L20" s="271"/>
    </row>
    <row r="21" spans="1:12">
      <c r="A21" t="s">
        <v>368</v>
      </c>
      <c r="B21" s="272">
        <v>39463164</v>
      </c>
      <c r="C21" s="291" t="s">
        <v>848</v>
      </c>
      <c r="D21" s="273">
        <v>45534</v>
      </c>
      <c r="E21" s="271">
        <v>30</v>
      </c>
      <c r="F21" s="273">
        <f t="shared" si="3"/>
        <v>45564</v>
      </c>
      <c r="G21" s="271">
        <f t="shared" si="2"/>
        <v>1</v>
      </c>
      <c r="H21" s="271"/>
      <c r="I21" s="277">
        <f t="shared" si="4"/>
        <v>39463164</v>
      </c>
      <c r="J21" s="271"/>
      <c r="K21" s="271"/>
      <c r="L21" s="271"/>
    </row>
    <row r="22" spans="1:12">
      <c r="A22" t="s">
        <v>368</v>
      </c>
      <c r="B22" s="272">
        <v>35519500</v>
      </c>
      <c r="C22" s="291" t="s">
        <v>849</v>
      </c>
      <c r="D22" s="273">
        <v>45534</v>
      </c>
      <c r="E22" s="271">
        <v>30</v>
      </c>
      <c r="F22" s="273">
        <f t="shared" si="3"/>
        <v>45564</v>
      </c>
      <c r="G22" s="271">
        <f t="shared" si="2"/>
        <v>1</v>
      </c>
      <c r="H22" s="271"/>
      <c r="I22" s="277">
        <f t="shared" si="4"/>
        <v>35519500</v>
      </c>
      <c r="J22" s="271"/>
      <c r="K22" s="271"/>
      <c r="L22" s="271"/>
    </row>
    <row r="23" spans="1:12">
      <c r="A23" t="s">
        <v>368</v>
      </c>
      <c r="B23" s="272">
        <v>17118975</v>
      </c>
      <c r="C23" s="291" t="s">
        <v>850</v>
      </c>
      <c r="D23" s="273">
        <v>45534</v>
      </c>
      <c r="E23" s="271">
        <v>30</v>
      </c>
      <c r="F23" s="273">
        <f t="shared" si="3"/>
        <v>45564</v>
      </c>
      <c r="G23" s="271">
        <f t="shared" si="2"/>
        <v>1</v>
      </c>
      <c r="H23" s="271"/>
      <c r="I23" s="277">
        <f t="shared" si="4"/>
        <v>17118975</v>
      </c>
      <c r="J23" s="271"/>
      <c r="K23" s="271"/>
      <c r="L23" s="271"/>
    </row>
    <row r="24" spans="1:12">
      <c r="A24" t="s">
        <v>368</v>
      </c>
      <c r="B24" s="272">
        <v>3892548</v>
      </c>
      <c r="C24" s="291" t="s">
        <v>851</v>
      </c>
      <c r="D24" s="273">
        <v>45535</v>
      </c>
      <c r="E24" s="271">
        <v>30</v>
      </c>
      <c r="F24" s="273">
        <f t="shared" si="3"/>
        <v>45565</v>
      </c>
      <c r="G24" s="271">
        <f t="shared" si="2"/>
        <v>0</v>
      </c>
      <c r="H24" s="277">
        <f t="shared" ref="H24:H39" si="5">B24</f>
        <v>3892548</v>
      </c>
      <c r="I24" s="271"/>
      <c r="J24" s="271"/>
      <c r="K24" s="271"/>
      <c r="L24" s="271"/>
    </row>
    <row r="25" spans="1:12">
      <c r="A25" t="s">
        <v>368</v>
      </c>
      <c r="B25" s="272">
        <v>23605260</v>
      </c>
      <c r="C25" s="291" t="s">
        <v>852</v>
      </c>
      <c r="D25" s="273">
        <v>45535</v>
      </c>
      <c r="E25" s="271">
        <v>30</v>
      </c>
      <c r="F25" s="273">
        <f t="shared" si="3"/>
        <v>45565</v>
      </c>
      <c r="G25" s="271">
        <f t="shared" si="2"/>
        <v>0</v>
      </c>
      <c r="H25" s="277">
        <f t="shared" si="5"/>
        <v>23605260</v>
      </c>
      <c r="I25" s="271"/>
      <c r="J25" s="271"/>
      <c r="K25" s="271"/>
      <c r="L25" s="271"/>
    </row>
    <row r="26" spans="1:12">
      <c r="A26" t="s">
        <v>368</v>
      </c>
      <c r="B26" s="272">
        <v>21403020</v>
      </c>
      <c r="C26" s="291" t="s">
        <v>853</v>
      </c>
      <c r="D26" s="273">
        <v>45540</v>
      </c>
      <c r="E26" s="271">
        <v>30</v>
      </c>
      <c r="F26" s="273">
        <f t="shared" si="3"/>
        <v>45570</v>
      </c>
      <c r="G26" s="271">
        <f t="shared" si="2"/>
        <v>-5</v>
      </c>
      <c r="H26" s="277">
        <f t="shared" si="5"/>
        <v>21403020</v>
      </c>
      <c r="I26" s="271"/>
      <c r="J26" s="271"/>
      <c r="K26" s="271"/>
      <c r="L26" s="271"/>
    </row>
    <row r="27" spans="1:12">
      <c r="A27" t="s">
        <v>368</v>
      </c>
      <c r="B27" s="272">
        <v>2339880</v>
      </c>
      <c r="C27" s="291" t="s">
        <v>854</v>
      </c>
      <c r="D27" s="273">
        <v>45542</v>
      </c>
      <c r="E27" s="271">
        <v>30</v>
      </c>
      <c r="F27" s="273">
        <f t="shared" si="3"/>
        <v>45572</v>
      </c>
      <c r="G27" s="271">
        <f t="shared" si="2"/>
        <v>-7</v>
      </c>
      <c r="H27" s="277">
        <f t="shared" si="5"/>
        <v>2339880</v>
      </c>
      <c r="I27" s="271"/>
      <c r="J27" s="271"/>
      <c r="K27" s="271"/>
      <c r="L27" s="271"/>
    </row>
    <row r="28" spans="1:12">
      <c r="A28" t="s">
        <v>368</v>
      </c>
      <c r="B28" s="272">
        <v>94076940</v>
      </c>
      <c r="C28" s="291" t="s">
        <v>855</v>
      </c>
      <c r="D28" s="273">
        <v>45547</v>
      </c>
      <c r="E28" s="271">
        <v>30</v>
      </c>
      <c r="F28" s="273">
        <f t="shared" si="3"/>
        <v>45577</v>
      </c>
      <c r="G28" s="271">
        <f t="shared" si="2"/>
        <v>-12</v>
      </c>
      <c r="H28" s="277">
        <f t="shared" si="5"/>
        <v>94076940</v>
      </c>
      <c r="I28" s="271"/>
      <c r="J28" s="271"/>
      <c r="K28" s="271"/>
      <c r="L28" s="271"/>
    </row>
    <row r="29" spans="1:12">
      <c r="A29" t="s">
        <v>368</v>
      </c>
      <c r="B29" s="272">
        <v>961537</v>
      </c>
      <c r="C29" s="291" t="s">
        <v>856</v>
      </c>
      <c r="D29" s="273">
        <v>45547</v>
      </c>
      <c r="E29" s="271">
        <v>30</v>
      </c>
      <c r="F29" s="273">
        <f t="shared" si="3"/>
        <v>45577</v>
      </c>
      <c r="G29" s="271">
        <f t="shared" si="2"/>
        <v>-12</v>
      </c>
      <c r="H29" s="277">
        <f t="shared" si="5"/>
        <v>961537</v>
      </c>
      <c r="I29" s="271"/>
      <c r="J29" s="271"/>
      <c r="K29" s="271"/>
      <c r="L29" s="271"/>
    </row>
    <row r="30" spans="1:12">
      <c r="A30" t="s">
        <v>368</v>
      </c>
      <c r="B30" s="272">
        <v>17120473</v>
      </c>
      <c r="C30" s="291" t="s">
        <v>857</v>
      </c>
      <c r="D30" s="273">
        <v>45551</v>
      </c>
      <c r="E30" s="271">
        <v>30</v>
      </c>
      <c r="F30" s="273">
        <f t="shared" si="3"/>
        <v>45581</v>
      </c>
      <c r="G30" s="271">
        <f t="shared" si="2"/>
        <v>-16</v>
      </c>
      <c r="H30" s="277">
        <f t="shared" si="5"/>
        <v>17120473</v>
      </c>
      <c r="I30" s="271"/>
      <c r="J30" s="271"/>
      <c r="K30" s="271"/>
      <c r="L30" s="271"/>
    </row>
    <row r="31" spans="1:12">
      <c r="A31" t="s">
        <v>368</v>
      </c>
      <c r="B31" s="272">
        <v>11837040</v>
      </c>
      <c r="C31" s="291" t="s">
        <v>433</v>
      </c>
      <c r="D31" s="273">
        <v>45552</v>
      </c>
      <c r="E31" s="271">
        <v>30</v>
      </c>
      <c r="F31" s="273">
        <f t="shared" si="3"/>
        <v>45582</v>
      </c>
      <c r="G31" s="271">
        <f t="shared" si="2"/>
        <v>-17</v>
      </c>
      <c r="H31" s="277">
        <f t="shared" si="5"/>
        <v>11837040</v>
      </c>
      <c r="I31" s="271"/>
      <c r="J31" s="271"/>
      <c r="K31" s="271"/>
      <c r="L31" s="271"/>
    </row>
    <row r="32" spans="1:12">
      <c r="A32" t="s">
        <v>368</v>
      </c>
      <c r="B32" s="272">
        <v>6905587</v>
      </c>
      <c r="C32" s="291" t="s">
        <v>329</v>
      </c>
      <c r="D32" s="273">
        <v>45553</v>
      </c>
      <c r="E32" s="271">
        <v>30</v>
      </c>
      <c r="F32" s="273">
        <f t="shared" si="3"/>
        <v>45583</v>
      </c>
      <c r="G32" s="271">
        <f t="shared" si="2"/>
        <v>-18</v>
      </c>
      <c r="H32" s="277">
        <f t="shared" si="5"/>
        <v>6905587</v>
      </c>
      <c r="I32" s="271"/>
      <c r="J32" s="271"/>
      <c r="K32" s="271"/>
      <c r="L32" s="271"/>
    </row>
    <row r="33" spans="1:12">
      <c r="A33" t="s">
        <v>368</v>
      </c>
      <c r="B33" s="272">
        <v>11905860</v>
      </c>
      <c r="C33" s="291" t="s">
        <v>858</v>
      </c>
      <c r="D33" s="273">
        <v>45553</v>
      </c>
      <c r="E33" s="271">
        <v>30</v>
      </c>
      <c r="F33" s="273">
        <f t="shared" si="3"/>
        <v>45583</v>
      </c>
      <c r="G33" s="271">
        <f t="shared" si="2"/>
        <v>-18</v>
      </c>
      <c r="H33" s="277">
        <f t="shared" si="5"/>
        <v>11905860</v>
      </c>
      <c r="I33" s="271"/>
      <c r="J33" s="271"/>
      <c r="K33" s="271"/>
      <c r="L33" s="271"/>
    </row>
    <row r="34" spans="1:12">
      <c r="A34" t="s">
        <v>368</v>
      </c>
      <c r="B34" s="272">
        <v>39164352</v>
      </c>
      <c r="C34" s="291" t="s">
        <v>434</v>
      </c>
      <c r="D34" s="273">
        <v>45553</v>
      </c>
      <c r="E34" s="271">
        <v>30</v>
      </c>
      <c r="F34" s="273">
        <f t="shared" si="3"/>
        <v>45583</v>
      </c>
      <c r="G34" s="271">
        <f t="shared" si="2"/>
        <v>-18</v>
      </c>
      <c r="H34" s="277">
        <f t="shared" si="5"/>
        <v>39164352</v>
      </c>
      <c r="I34" s="271"/>
      <c r="J34" s="271"/>
      <c r="K34" s="271"/>
      <c r="L34" s="271"/>
    </row>
    <row r="35" spans="1:12">
      <c r="A35" t="s">
        <v>368</v>
      </c>
      <c r="B35" s="272">
        <v>5292480</v>
      </c>
      <c r="C35" s="291" t="s">
        <v>859</v>
      </c>
      <c r="D35" s="273">
        <v>45554</v>
      </c>
      <c r="E35" s="271">
        <v>30</v>
      </c>
      <c r="F35" s="273">
        <f t="shared" si="3"/>
        <v>45584</v>
      </c>
      <c r="G35" s="271">
        <f t="shared" si="2"/>
        <v>-19</v>
      </c>
      <c r="H35" s="277">
        <f t="shared" si="5"/>
        <v>5292480</v>
      </c>
      <c r="I35" s="271"/>
      <c r="J35" s="271"/>
      <c r="K35" s="271"/>
      <c r="L35" s="271"/>
    </row>
    <row r="36" spans="1:12">
      <c r="A36" t="s">
        <v>368</v>
      </c>
      <c r="B36" s="272">
        <v>18925500</v>
      </c>
      <c r="C36" s="291" t="s">
        <v>860</v>
      </c>
      <c r="D36" s="273">
        <v>45556</v>
      </c>
      <c r="E36" s="271">
        <v>30</v>
      </c>
      <c r="F36" s="273">
        <f t="shared" si="3"/>
        <v>45586</v>
      </c>
      <c r="G36" s="271">
        <f t="shared" si="2"/>
        <v>-21</v>
      </c>
      <c r="H36" s="277">
        <f t="shared" si="5"/>
        <v>18925500</v>
      </c>
      <c r="I36" s="271"/>
      <c r="J36" s="271"/>
      <c r="K36" s="271"/>
      <c r="L36" s="271"/>
    </row>
    <row r="37" spans="1:12">
      <c r="A37" t="s">
        <v>368</v>
      </c>
      <c r="B37" s="272">
        <v>18003034</v>
      </c>
      <c r="C37" s="291" t="s">
        <v>861</v>
      </c>
      <c r="D37" s="273">
        <v>45556</v>
      </c>
      <c r="E37" s="271">
        <v>30</v>
      </c>
      <c r="F37" s="273">
        <f t="shared" si="3"/>
        <v>45586</v>
      </c>
      <c r="G37" s="271">
        <f t="shared" si="2"/>
        <v>-21</v>
      </c>
      <c r="H37" s="277">
        <f t="shared" si="5"/>
        <v>18003034</v>
      </c>
      <c r="I37" s="271"/>
      <c r="J37" s="271"/>
      <c r="K37" s="271"/>
      <c r="L37" s="271"/>
    </row>
    <row r="38" spans="1:12">
      <c r="A38" t="s">
        <v>368</v>
      </c>
      <c r="B38" s="272">
        <v>5505600</v>
      </c>
      <c r="C38" s="291" t="s">
        <v>862</v>
      </c>
      <c r="D38" s="273">
        <v>45557</v>
      </c>
      <c r="E38" s="271">
        <v>30</v>
      </c>
      <c r="F38" s="273">
        <f t="shared" si="3"/>
        <v>45587</v>
      </c>
      <c r="G38" s="271">
        <f t="shared" si="2"/>
        <v>-22</v>
      </c>
      <c r="H38" s="277">
        <f t="shared" si="5"/>
        <v>5505600</v>
      </c>
      <c r="I38" s="271"/>
      <c r="J38" s="271"/>
      <c r="K38" s="271"/>
      <c r="L38" s="271"/>
    </row>
    <row r="39" spans="1:12">
      <c r="A39" t="s">
        <v>368</v>
      </c>
      <c r="B39" s="272">
        <v>8031460</v>
      </c>
      <c r="C39" s="291" t="s">
        <v>863</v>
      </c>
      <c r="D39" s="273">
        <v>45565</v>
      </c>
      <c r="E39" s="271">
        <v>30</v>
      </c>
      <c r="F39" s="273">
        <f t="shared" si="3"/>
        <v>45595</v>
      </c>
      <c r="G39" s="271">
        <f t="shared" si="2"/>
        <v>-30</v>
      </c>
      <c r="H39" s="277">
        <f t="shared" si="5"/>
        <v>8031460</v>
      </c>
      <c r="I39" s="271"/>
      <c r="J39" s="271"/>
      <c r="K39" s="271"/>
      <c r="L39" s="271"/>
    </row>
    <row r="40" spans="1:12">
      <c r="B40" s="272"/>
      <c r="C40" s="271"/>
      <c r="D40" s="271"/>
      <c r="E40" s="271"/>
      <c r="F40" s="273"/>
      <c r="G40" s="271"/>
      <c r="H40" s="271"/>
      <c r="I40" s="271"/>
      <c r="J40" s="271"/>
      <c r="K40" s="271"/>
      <c r="L40" s="271"/>
    </row>
    <row r="41" spans="1:12">
      <c r="A41" t="s">
        <v>622</v>
      </c>
      <c r="B41" s="272">
        <v>28860000</v>
      </c>
      <c r="C41" s="271">
        <v>616</v>
      </c>
      <c r="D41" s="273">
        <v>45514</v>
      </c>
      <c r="E41" s="271">
        <v>30</v>
      </c>
      <c r="F41" s="273">
        <f t="shared" ref="F41:F43" si="6">D41+E41</f>
        <v>45544</v>
      </c>
      <c r="G41" s="271">
        <f t="shared" si="2"/>
        <v>21</v>
      </c>
      <c r="H41" s="271"/>
      <c r="I41" s="277">
        <f>B41</f>
        <v>28860000</v>
      </c>
      <c r="J41" s="271"/>
      <c r="K41" s="271"/>
      <c r="L41" s="271"/>
    </row>
    <row r="42" spans="1:12">
      <c r="A42" t="s">
        <v>622</v>
      </c>
      <c r="B42" s="272">
        <v>28860000</v>
      </c>
      <c r="C42" s="271">
        <v>527</v>
      </c>
      <c r="D42" s="273">
        <v>45546</v>
      </c>
      <c r="E42" s="271">
        <v>30</v>
      </c>
      <c r="F42" s="273">
        <f t="shared" si="6"/>
        <v>45576</v>
      </c>
      <c r="G42" s="271">
        <f t="shared" si="2"/>
        <v>-11</v>
      </c>
      <c r="H42" s="277">
        <f>B42</f>
        <v>28860000</v>
      </c>
      <c r="I42" s="271"/>
      <c r="J42" s="271"/>
      <c r="K42" s="271"/>
      <c r="L42" s="271"/>
    </row>
    <row r="43" spans="1:12">
      <c r="A43" t="s">
        <v>622</v>
      </c>
      <c r="B43" s="272">
        <v>6660000</v>
      </c>
      <c r="C43" s="271">
        <v>31</v>
      </c>
      <c r="D43" s="273">
        <v>45302</v>
      </c>
      <c r="E43" s="271">
        <v>30</v>
      </c>
      <c r="F43" s="273">
        <f t="shared" si="6"/>
        <v>45332</v>
      </c>
      <c r="G43" s="271">
        <f t="shared" si="2"/>
        <v>233</v>
      </c>
      <c r="H43" s="271"/>
      <c r="I43" s="271"/>
      <c r="J43" s="271"/>
      <c r="K43" s="271"/>
      <c r="L43" s="277">
        <f>B43</f>
        <v>6660000</v>
      </c>
    </row>
    <row r="44" spans="1:12">
      <c r="B44" s="272"/>
      <c r="C44" s="271"/>
      <c r="D44" s="273"/>
      <c r="E44" s="271"/>
      <c r="F44" s="273"/>
      <c r="G44" s="271"/>
      <c r="H44" s="271"/>
      <c r="I44" s="271"/>
      <c r="J44" s="271"/>
      <c r="K44" s="271"/>
      <c r="L44" s="271"/>
    </row>
    <row r="45" spans="1:12">
      <c r="A45" t="s">
        <v>776</v>
      </c>
      <c r="B45" s="272">
        <v>79300000</v>
      </c>
      <c r="C45" s="271">
        <v>2434</v>
      </c>
      <c r="D45" s="273">
        <v>45548</v>
      </c>
      <c r="E45" s="271">
        <v>30</v>
      </c>
      <c r="F45" s="273">
        <f t="shared" ref="F45:F46" si="7">D45+E45</f>
        <v>45578</v>
      </c>
      <c r="G45" s="271">
        <f t="shared" si="2"/>
        <v>-13</v>
      </c>
      <c r="H45" s="277">
        <f t="shared" ref="H45:H46" si="8">B45</f>
        <v>79300000</v>
      </c>
      <c r="I45" s="271"/>
      <c r="J45" s="271"/>
      <c r="K45" s="271"/>
      <c r="L45" s="271"/>
    </row>
    <row r="46" spans="1:12">
      <c r="A46" t="s">
        <v>776</v>
      </c>
      <c r="B46" s="272">
        <v>79325000</v>
      </c>
      <c r="C46" s="271">
        <v>2435</v>
      </c>
      <c r="D46" s="273">
        <v>45548</v>
      </c>
      <c r="E46" s="271">
        <v>30</v>
      </c>
      <c r="F46" s="273">
        <f t="shared" si="7"/>
        <v>45578</v>
      </c>
      <c r="G46" s="271">
        <f t="shared" si="2"/>
        <v>-13</v>
      </c>
      <c r="H46" s="277">
        <f t="shared" si="8"/>
        <v>79325000</v>
      </c>
      <c r="I46" s="271"/>
      <c r="J46" s="271"/>
      <c r="K46" s="271"/>
      <c r="L46" s="271"/>
    </row>
    <row r="47" spans="1:12">
      <c r="B47" s="272"/>
      <c r="C47" s="271"/>
      <c r="D47" s="271"/>
      <c r="E47" s="271"/>
      <c r="F47" s="273"/>
      <c r="G47" s="271"/>
      <c r="H47" s="271"/>
      <c r="I47" s="271"/>
      <c r="J47" s="271"/>
      <c r="K47" s="271"/>
      <c r="L47" s="271"/>
    </row>
    <row r="48" spans="1:12">
      <c r="A48" t="s">
        <v>777</v>
      </c>
      <c r="B48" s="272">
        <v>129507783.42000008</v>
      </c>
      <c r="C48" s="271">
        <v>655</v>
      </c>
      <c r="D48" s="273">
        <v>45562</v>
      </c>
      <c r="E48" s="271">
        <v>30</v>
      </c>
      <c r="F48" s="273">
        <f t="shared" si="1"/>
        <v>45592</v>
      </c>
      <c r="G48" s="271">
        <f t="shared" si="2"/>
        <v>-27</v>
      </c>
      <c r="H48" s="277">
        <f>B48</f>
        <v>129507783.42000008</v>
      </c>
      <c r="I48" s="271"/>
      <c r="J48" s="271"/>
      <c r="K48" s="271"/>
      <c r="L48" s="271"/>
    </row>
    <row r="49" spans="1:12">
      <c r="B49" s="272"/>
      <c r="C49" s="271"/>
      <c r="D49" s="271"/>
      <c r="E49" s="271"/>
      <c r="F49" s="273"/>
      <c r="G49" s="271"/>
      <c r="H49" s="271"/>
      <c r="I49" s="271"/>
      <c r="J49" s="271"/>
      <c r="K49" s="271"/>
      <c r="L49" s="271"/>
    </row>
    <row r="50" spans="1:12">
      <c r="A50" t="s">
        <v>778</v>
      </c>
      <c r="B50" s="272">
        <v>31635000</v>
      </c>
      <c r="C50" s="271">
        <v>687</v>
      </c>
      <c r="D50" s="273">
        <v>45565</v>
      </c>
      <c r="E50" s="271">
        <v>30</v>
      </c>
      <c r="F50" s="273">
        <f t="shared" si="1"/>
        <v>45595</v>
      </c>
      <c r="G50" s="271">
        <f t="shared" si="2"/>
        <v>-30</v>
      </c>
      <c r="H50" s="277">
        <f>B50</f>
        <v>31635000</v>
      </c>
      <c r="I50" s="271"/>
      <c r="J50" s="271"/>
      <c r="K50" s="271"/>
      <c r="L50" s="271"/>
    </row>
    <row r="51" spans="1:12">
      <c r="B51" s="272"/>
      <c r="C51" s="271"/>
      <c r="D51" s="271"/>
      <c r="E51" s="271"/>
      <c r="F51" s="273"/>
      <c r="G51" s="271"/>
      <c r="H51" s="271"/>
      <c r="I51" s="271"/>
      <c r="J51" s="271"/>
      <c r="K51" s="271"/>
      <c r="L51" s="271"/>
    </row>
    <row r="52" spans="1:12">
      <c r="A52" t="s">
        <v>405</v>
      </c>
      <c r="B52" s="272">
        <v>252234395</v>
      </c>
      <c r="C52" s="271">
        <v>649</v>
      </c>
      <c r="D52" s="273">
        <v>45561</v>
      </c>
      <c r="E52" s="271">
        <v>30</v>
      </c>
      <c r="F52" s="273">
        <f t="shared" ref="F52:F55" si="9">D52+E52</f>
        <v>45591</v>
      </c>
      <c r="G52" s="271">
        <f t="shared" si="2"/>
        <v>-26</v>
      </c>
      <c r="H52" s="277">
        <f t="shared" ref="H52:H55" si="10">B52</f>
        <v>252234395</v>
      </c>
      <c r="I52" s="271"/>
      <c r="J52" s="271"/>
      <c r="K52" s="271"/>
      <c r="L52" s="271"/>
    </row>
    <row r="53" spans="1:12">
      <c r="A53" t="s">
        <v>405</v>
      </c>
      <c r="B53" s="272">
        <v>225407721</v>
      </c>
      <c r="C53" s="271">
        <v>650</v>
      </c>
      <c r="D53" s="273">
        <v>45561</v>
      </c>
      <c r="E53" s="271">
        <v>30</v>
      </c>
      <c r="F53" s="273">
        <f t="shared" si="9"/>
        <v>45591</v>
      </c>
      <c r="G53" s="271">
        <f t="shared" si="2"/>
        <v>-26</v>
      </c>
      <c r="H53" s="277">
        <f t="shared" si="10"/>
        <v>225407721</v>
      </c>
      <c r="I53" s="271"/>
      <c r="J53" s="271"/>
      <c r="K53" s="271"/>
      <c r="L53" s="271"/>
    </row>
    <row r="54" spans="1:12">
      <c r="A54" t="s">
        <v>405</v>
      </c>
      <c r="B54" s="272">
        <v>44990866</v>
      </c>
      <c r="C54" s="271">
        <v>675</v>
      </c>
      <c r="D54" s="273">
        <v>45565</v>
      </c>
      <c r="E54" s="271">
        <v>30</v>
      </c>
      <c r="F54" s="273">
        <f t="shared" si="9"/>
        <v>45595</v>
      </c>
      <c r="G54" s="271">
        <f t="shared" si="2"/>
        <v>-30</v>
      </c>
      <c r="H54" s="277">
        <f t="shared" si="10"/>
        <v>44990866</v>
      </c>
      <c r="I54" s="271"/>
      <c r="J54" s="271"/>
      <c r="K54" s="271"/>
      <c r="L54" s="271"/>
    </row>
    <row r="55" spans="1:12">
      <c r="A55" t="s">
        <v>405</v>
      </c>
      <c r="B55" s="272">
        <v>67875183.149999619</v>
      </c>
      <c r="C55" s="271">
        <v>572</v>
      </c>
      <c r="D55" s="273">
        <v>45548</v>
      </c>
      <c r="E55" s="271">
        <v>30</v>
      </c>
      <c r="F55" s="273">
        <f t="shared" si="9"/>
        <v>45578</v>
      </c>
      <c r="G55" s="271">
        <f t="shared" si="2"/>
        <v>-13</v>
      </c>
      <c r="H55" s="277">
        <f t="shared" si="10"/>
        <v>67875183.149999619</v>
      </c>
      <c r="I55" s="271"/>
      <c r="J55" s="271"/>
      <c r="K55" s="271"/>
      <c r="L55" s="271"/>
    </row>
    <row r="56" spans="1:12">
      <c r="B56" s="272"/>
      <c r="C56" s="271"/>
      <c r="D56" s="271"/>
      <c r="E56" s="271"/>
      <c r="F56" s="273"/>
      <c r="G56" s="271"/>
      <c r="H56" s="271"/>
      <c r="I56" s="271"/>
      <c r="J56" s="271"/>
      <c r="K56" s="271"/>
      <c r="L56" s="271"/>
    </row>
    <row r="57" spans="1:12">
      <c r="A57" t="s">
        <v>625</v>
      </c>
      <c r="B57" s="272">
        <f>200753868.45*0</f>
        <v>0</v>
      </c>
      <c r="C57" s="271">
        <v>630</v>
      </c>
      <c r="D57" s="273">
        <v>45560</v>
      </c>
      <c r="E57" s="271">
        <v>30</v>
      </c>
      <c r="F57" s="273">
        <f t="shared" si="1"/>
        <v>45590</v>
      </c>
      <c r="G57" s="271">
        <f t="shared" si="2"/>
        <v>-25</v>
      </c>
      <c r="H57" s="277">
        <f>B57</f>
        <v>0</v>
      </c>
      <c r="I57" s="271"/>
      <c r="J57" s="271"/>
      <c r="K57" s="271"/>
      <c r="L57" s="271"/>
    </row>
    <row r="58" spans="1:12">
      <c r="B58" s="272"/>
      <c r="C58" s="271"/>
      <c r="D58" s="271"/>
      <c r="E58" s="271"/>
      <c r="F58" s="273"/>
      <c r="G58" s="271"/>
      <c r="H58" s="271"/>
      <c r="I58" s="271"/>
      <c r="J58" s="271"/>
      <c r="K58" s="271"/>
      <c r="L58" s="271"/>
    </row>
    <row r="59" spans="1:12">
      <c r="A59" t="s">
        <v>440</v>
      </c>
      <c r="B59" s="272">
        <v>33776865</v>
      </c>
      <c r="C59" s="271">
        <v>575</v>
      </c>
      <c r="D59" s="273">
        <v>45533</v>
      </c>
      <c r="E59" s="271">
        <v>30</v>
      </c>
      <c r="F59" s="273">
        <f t="shared" ref="F59:F65" si="11">D59+E59</f>
        <v>45563</v>
      </c>
      <c r="G59" s="271">
        <f t="shared" si="2"/>
        <v>2</v>
      </c>
      <c r="H59" s="271"/>
      <c r="I59" s="277">
        <f>B59</f>
        <v>33776865</v>
      </c>
      <c r="J59" s="271"/>
      <c r="K59" s="271"/>
      <c r="L59" s="271"/>
    </row>
    <row r="60" spans="1:12">
      <c r="A60" t="s">
        <v>440</v>
      </c>
      <c r="B60" s="272">
        <v>25054920</v>
      </c>
      <c r="C60" s="271">
        <v>600</v>
      </c>
      <c r="D60" s="273">
        <v>45540</v>
      </c>
      <c r="E60" s="271">
        <v>30</v>
      </c>
      <c r="F60" s="273">
        <f t="shared" si="11"/>
        <v>45570</v>
      </c>
      <c r="G60" s="271">
        <f t="shared" si="2"/>
        <v>-5</v>
      </c>
      <c r="H60" s="277">
        <f t="shared" ref="H60:H65" si="12">B60</f>
        <v>25054920</v>
      </c>
      <c r="I60" s="271"/>
      <c r="J60" s="271"/>
      <c r="K60" s="271"/>
      <c r="L60" s="271"/>
    </row>
    <row r="61" spans="1:12">
      <c r="A61" t="s">
        <v>440</v>
      </c>
      <c r="B61" s="272">
        <v>25054920</v>
      </c>
      <c r="C61" s="271">
        <v>601</v>
      </c>
      <c r="D61" s="273">
        <v>45540</v>
      </c>
      <c r="E61" s="271">
        <v>30</v>
      </c>
      <c r="F61" s="273">
        <f t="shared" si="11"/>
        <v>45570</v>
      </c>
      <c r="G61" s="271">
        <f t="shared" si="2"/>
        <v>-5</v>
      </c>
      <c r="H61" s="277">
        <f t="shared" si="12"/>
        <v>25054920</v>
      </c>
      <c r="I61" s="271"/>
      <c r="J61" s="271"/>
      <c r="K61" s="271"/>
      <c r="L61" s="271"/>
    </row>
    <row r="62" spans="1:12">
      <c r="A62" t="s">
        <v>440</v>
      </c>
      <c r="B62" s="272">
        <v>42475704</v>
      </c>
      <c r="C62" s="271">
        <v>610</v>
      </c>
      <c r="D62" s="273">
        <v>45542</v>
      </c>
      <c r="E62" s="271">
        <v>30</v>
      </c>
      <c r="F62" s="273">
        <f t="shared" si="11"/>
        <v>45572</v>
      </c>
      <c r="G62" s="271">
        <f t="shared" si="2"/>
        <v>-7</v>
      </c>
      <c r="H62" s="277">
        <f t="shared" si="12"/>
        <v>42475704</v>
      </c>
      <c r="I62" s="271"/>
      <c r="J62" s="271"/>
      <c r="K62" s="271"/>
      <c r="L62" s="271"/>
    </row>
    <row r="63" spans="1:12">
      <c r="A63" t="s">
        <v>440</v>
      </c>
      <c r="B63" s="272">
        <v>48999840</v>
      </c>
      <c r="C63" s="271">
        <v>6111</v>
      </c>
      <c r="D63" s="273">
        <v>45542</v>
      </c>
      <c r="E63" s="271">
        <v>30</v>
      </c>
      <c r="F63" s="273">
        <f t="shared" si="11"/>
        <v>45572</v>
      </c>
      <c r="G63" s="271">
        <f t="shared" si="2"/>
        <v>-7</v>
      </c>
      <c r="H63" s="277">
        <f t="shared" si="12"/>
        <v>48999840</v>
      </c>
      <c r="I63" s="271"/>
      <c r="J63" s="271"/>
      <c r="K63" s="271"/>
      <c r="L63" s="271"/>
    </row>
    <row r="64" spans="1:12">
      <c r="A64" t="s">
        <v>440</v>
      </c>
      <c r="B64" s="272">
        <v>74325600</v>
      </c>
      <c r="C64" s="271">
        <v>665</v>
      </c>
      <c r="D64" s="273">
        <v>45554</v>
      </c>
      <c r="E64" s="271">
        <v>30</v>
      </c>
      <c r="F64" s="273">
        <f t="shared" si="11"/>
        <v>45584</v>
      </c>
      <c r="G64" s="271">
        <f t="shared" si="2"/>
        <v>-19</v>
      </c>
      <c r="H64" s="277">
        <f t="shared" si="12"/>
        <v>74325600</v>
      </c>
      <c r="I64" s="271"/>
      <c r="J64" s="271"/>
      <c r="K64" s="271"/>
      <c r="L64" s="271"/>
    </row>
    <row r="65" spans="1:12">
      <c r="A65" t="s">
        <v>440</v>
      </c>
      <c r="B65" s="272">
        <v>688200</v>
      </c>
      <c r="C65" s="271">
        <v>666</v>
      </c>
      <c r="D65" s="273">
        <v>45554</v>
      </c>
      <c r="E65" s="271">
        <v>30</v>
      </c>
      <c r="F65" s="273">
        <f t="shared" si="11"/>
        <v>45584</v>
      </c>
      <c r="G65" s="271">
        <f t="shared" si="2"/>
        <v>-19</v>
      </c>
      <c r="H65" s="277">
        <f t="shared" si="12"/>
        <v>688200</v>
      </c>
      <c r="I65" s="271"/>
      <c r="J65" s="271"/>
      <c r="K65" s="271"/>
      <c r="L65" s="271"/>
    </row>
    <row r="66" spans="1:12">
      <c r="B66" s="272"/>
      <c r="C66" s="271"/>
      <c r="D66" s="271"/>
      <c r="E66" s="271"/>
      <c r="F66" s="273"/>
      <c r="G66" s="271"/>
      <c r="H66" s="271"/>
      <c r="I66" s="271"/>
      <c r="J66" s="271"/>
      <c r="K66" s="271"/>
      <c r="L66" s="271"/>
    </row>
    <row r="67" spans="1:12">
      <c r="A67" t="s">
        <v>441</v>
      </c>
      <c r="B67" s="272">
        <v>23976000</v>
      </c>
      <c r="C67" s="271">
        <v>650</v>
      </c>
      <c r="D67" s="273">
        <v>45552</v>
      </c>
      <c r="E67" s="271">
        <v>30</v>
      </c>
      <c r="F67" s="273">
        <f t="shared" ref="F67:F68" si="13">D67+E67</f>
        <v>45582</v>
      </c>
      <c r="G67" s="271">
        <f t="shared" si="2"/>
        <v>-17</v>
      </c>
      <c r="H67" s="277">
        <f t="shared" ref="H67:H68" si="14">B67</f>
        <v>23976000</v>
      </c>
      <c r="I67" s="271"/>
      <c r="J67" s="271"/>
      <c r="K67" s="271"/>
      <c r="L67" s="271"/>
    </row>
    <row r="68" spans="1:12">
      <c r="A68" s="271" t="s">
        <v>441</v>
      </c>
      <c r="B68" s="272">
        <v>46353600</v>
      </c>
      <c r="C68" s="271">
        <v>651</v>
      </c>
      <c r="D68" s="273">
        <v>45552</v>
      </c>
      <c r="E68" s="271">
        <v>30</v>
      </c>
      <c r="F68" s="273">
        <f t="shared" si="13"/>
        <v>45582</v>
      </c>
      <c r="G68" s="271">
        <f t="shared" si="2"/>
        <v>-17</v>
      </c>
      <c r="H68" s="277">
        <f t="shared" si="14"/>
        <v>46353600</v>
      </c>
      <c r="I68" s="271"/>
      <c r="J68" s="271"/>
      <c r="K68" s="271"/>
      <c r="L68" s="271"/>
    </row>
    <row r="69" spans="1:12">
      <c r="A69" s="271"/>
      <c r="B69" s="272"/>
      <c r="C69" s="271"/>
      <c r="D69" s="271"/>
      <c r="E69" s="271"/>
      <c r="F69" s="273"/>
      <c r="G69" s="271"/>
      <c r="H69" s="271"/>
      <c r="I69" s="271"/>
      <c r="J69" s="271"/>
      <c r="K69" s="271"/>
      <c r="L69" s="271"/>
    </row>
    <row r="70" spans="1:12">
      <c r="A70" s="271" t="s">
        <v>443</v>
      </c>
      <c r="B70" s="272">
        <v>20535000</v>
      </c>
      <c r="C70" s="271">
        <v>576</v>
      </c>
      <c r="D70" s="273">
        <v>45533</v>
      </c>
      <c r="E70" s="271">
        <v>30</v>
      </c>
      <c r="F70" s="273">
        <f t="shared" si="1"/>
        <v>45563</v>
      </c>
      <c r="G70" s="271">
        <f t="shared" si="2"/>
        <v>2</v>
      </c>
      <c r="H70" s="271"/>
      <c r="I70" s="277">
        <f>B70</f>
        <v>20535000</v>
      </c>
      <c r="J70" s="271"/>
      <c r="K70" s="271"/>
      <c r="L70" s="271"/>
    </row>
    <row r="71" spans="1:12">
      <c r="A71" s="271"/>
      <c r="B71" s="272"/>
      <c r="C71" s="271"/>
      <c r="D71" s="271"/>
      <c r="E71" s="271"/>
      <c r="F71" s="273"/>
      <c r="G71" s="271"/>
      <c r="H71" s="271"/>
      <c r="I71" s="271"/>
      <c r="J71" s="271"/>
      <c r="K71" s="271"/>
      <c r="L71" s="271"/>
    </row>
    <row r="72" spans="1:12">
      <c r="A72" s="271" t="s">
        <v>836</v>
      </c>
      <c r="B72" s="272">
        <v>1080000</v>
      </c>
      <c r="C72" s="271">
        <v>593</v>
      </c>
      <c r="D72" s="273">
        <v>45539</v>
      </c>
      <c r="E72" s="271">
        <v>30</v>
      </c>
      <c r="F72" s="273">
        <f t="shared" ref="F72:F77" si="15">D72+E72</f>
        <v>45569</v>
      </c>
      <c r="G72" s="271">
        <f t="shared" si="2"/>
        <v>-4</v>
      </c>
      <c r="H72" s="277">
        <f t="shared" ref="H72:H77" si="16">B72</f>
        <v>1080000</v>
      </c>
      <c r="I72" s="271"/>
      <c r="J72" s="271"/>
      <c r="K72" s="271"/>
      <c r="L72" s="271"/>
    </row>
    <row r="73" spans="1:12">
      <c r="A73" s="271" t="s">
        <v>836</v>
      </c>
      <c r="B73" s="272">
        <v>360000</v>
      </c>
      <c r="C73" s="271">
        <v>607</v>
      </c>
      <c r="D73" s="273">
        <v>45542</v>
      </c>
      <c r="E73" s="271">
        <v>30</v>
      </c>
      <c r="F73" s="273">
        <f t="shared" si="15"/>
        <v>45572</v>
      </c>
      <c r="G73" s="271">
        <f t="shared" si="2"/>
        <v>-7</v>
      </c>
      <c r="H73" s="277">
        <f t="shared" si="16"/>
        <v>360000</v>
      </c>
      <c r="I73" s="271"/>
      <c r="J73" s="271"/>
      <c r="K73" s="271"/>
      <c r="L73" s="271"/>
    </row>
    <row r="74" spans="1:12">
      <c r="A74" s="271" t="s">
        <v>836</v>
      </c>
      <c r="B74" s="272">
        <v>10290000</v>
      </c>
      <c r="C74" s="271">
        <v>613</v>
      </c>
      <c r="D74" s="273">
        <v>45545</v>
      </c>
      <c r="E74" s="271">
        <v>30</v>
      </c>
      <c r="F74" s="273">
        <f t="shared" si="15"/>
        <v>45575</v>
      </c>
      <c r="G74" s="271">
        <f t="shared" si="2"/>
        <v>-10</v>
      </c>
      <c r="H74" s="277">
        <f t="shared" si="16"/>
        <v>10290000</v>
      </c>
      <c r="I74" s="271"/>
      <c r="J74" s="271"/>
      <c r="K74" s="271"/>
      <c r="L74" s="271"/>
    </row>
    <row r="75" spans="1:12">
      <c r="A75" s="271" t="s">
        <v>836</v>
      </c>
      <c r="B75" s="272">
        <v>4320000</v>
      </c>
      <c r="C75" s="271">
        <v>654</v>
      </c>
      <c r="D75" s="273">
        <v>45552</v>
      </c>
      <c r="E75" s="271">
        <v>30</v>
      </c>
      <c r="F75" s="273">
        <f t="shared" si="15"/>
        <v>45582</v>
      </c>
      <c r="G75" s="271">
        <f t="shared" si="2"/>
        <v>-17</v>
      </c>
      <c r="H75" s="277">
        <f t="shared" si="16"/>
        <v>4320000</v>
      </c>
      <c r="I75" s="271"/>
      <c r="J75" s="271"/>
      <c r="K75" s="271"/>
      <c r="L75" s="271"/>
    </row>
    <row r="76" spans="1:12">
      <c r="A76" s="271" t="s">
        <v>836</v>
      </c>
      <c r="B76" s="272">
        <v>16990000</v>
      </c>
      <c r="C76" s="271">
        <v>682</v>
      </c>
      <c r="D76" s="273">
        <v>45562</v>
      </c>
      <c r="E76" s="271">
        <v>30</v>
      </c>
      <c r="F76" s="273">
        <f t="shared" si="15"/>
        <v>45592</v>
      </c>
      <c r="G76" s="271">
        <f t="shared" si="2"/>
        <v>-27</v>
      </c>
      <c r="H76" s="277">
        <f t="shared" si="16"/>
        <v>16990000</v>
      </c>
      <c r="I76" s="271"/>
      <c r="J76" s="271"/>
      <c r="K76" s="271"/>
      <c r="L76" s="271"/>
    </row>
    <row r="77" spans="1:12">
      <c r="A77" s="271" t="s">
        <v>836</v>
      </c>
      <c r="B77" s="272">
        <v>10290000</v>
      </c>
      <c r="C77" s="271">
        <v>684</v>
      </c>
      <c r="D77" s="273">
        <v>45565</v>
      </c>
      <c r="E77" s="271">
        <v>30</v>
      </c>
      <c r="F77" s="273">
        <f t="shared" si="15"/>
        <v>45595</v>
      </c>
      <c r="G77" s="271">
        <f t="shared" si="2"/>
        <v>-30</v>
      </c>
      <c r="H77" s="277">
        <f t="shared" si="16"/>
        <v>10290000</v>
      </c>
      <c r="I77" s="271"/>
      <c r="J77" s="271"/>
      <c r="K77" s="271"/>
      <c r="L77" s="271"/>
    </row>
    <row r="78" spans="1:12">
      <c r="A78" s="271"/>
      <c r="B78" s="272"/>
      <c r="C78" s="271"/>
      <c r="D78" s="271"/>
      <c r="E78" s="271"/>
      <c r="F78" s="273"/>
      <c r="G78" s="271"/>
      <c r="H78" s="271"/>
      <c r="I78" s="271"/>
      <c r="J78" s="271"/>
      <c r="K78" s="271"/>
      <c r="L78" s="271"/>
    </row>
    <row r="79" spans="1:12">
      <c r="A79" s="271" t="s">
        <v>219</v>
      </c>
      <c r="B79" s="272">
        <v>33300000</v>
      </c>
      <c r="C79" s="271">
        <v>542</v>
      </c>
      <c r="D79" s="273">
        <v>45523</v>
      </c>
      <c r="E79" s="271">
        <v>30</v>
      </c>
      <c r="F79" s="273">
        <f t="shared" si="1"/>
        <v>45553</v>
      </c>
      <c r="G79" s="271">
        <f t="shared" si="2"/>
        <v>12</v>
      </c>
      <c r="H79" s="271"/>
      <c r="I79" s="277">
        <f>B79</f>
        <v>33300000</v>
      </c>
      <c r="J79" s="271"/>
      <c r="K79" s="271"/>
      <c r="L79" s="271"/>
    </row>
    <row r="80" spans="1:12">
      <c r="A80" s="271"/>
      <c r="B80" s="272"/>
      <c r="C80" s="271"/>
      <c r="D80" s="271"/>
      <c r="E80" s="271"/>
      <c r="F80" s="273"/>
      <c r="G80" s="271"/>
      <c r="H80" s="271"/>
      <c r="I80" s="271"/>
      <c r="J80" s="271"/>
      <c r="K80" s="271"/>
      <c r="L80" s="271"/>
    </row>
    <row r="81" spans="1:12">
      <c r="A81" s="271" t="s">
        <v>35</v>
      </c>
      <c r="B81" s="272">
        <f>44100+1200</f>
        <v>45300</v>
      </c>
      <c r="C81" s="271">
        <v>589</v>
      </c>
      <c r="D81" s="273">
        <v>45536</v>
      </c>
      <c r="E81" s="271">
        <v>30</v>
      </c>
      <c r="F81" s="273">
        <f t="shared" ref="F81:F82" si="17">D81+E81</f>
        <v>45566</v>
      </c>
      <c r="G81" s="271">
        <f t="shared" si="2"/>
        <v>-1</v>
      </c>
      <c r="H81" s="277">
        <f t="shared" ref="H81:H82" si="18">B81</f>
        <v>45300</v>
      </c>
      <c r="I81" s="271"/>
      <c r="J81" s="271"/>
      <c r="K81" s="271"/>
      <c r="L81" s="271"/>
    </row>
    <row r="82" spans="1:12">
      <c r="A82" s="271" t="s">
        <v>35</v>
      </c>
      <c r="B82" s="272">
        <v>199800</v>
      </c>
      <c r="C82" s="271">
        <v>630</v>
      </c>
      <c r="D82" s="273">
        <v>45547</v>
      </c>
      <c r="E82" s="271">
        <v>30</v>
      </c>
      <c r="F82" s="273">
        <f t="shared" si="17"/>
        <v>45577</v>
      </c>
      <c r="G82" s="271">
        <f t="shared" si="2"/>
        <v>-12</v>
      </c>
      <c r="H82" s="277">
        <f t="shared" si="18"/>
        <v>199800</v>
      </c>
      <c r="I82" s="271"/>
      <c r="J82" s="271"/>
      <c r="K82" s="271"/>
      <c r="L82" s="271"/>
    </row>
    <row r="83" spans="1:12">
      <c r="A83" s="271"/>
      <c r="B83" s="272"/>
      <c r="C83" s="271"/>
      <c r="D83" s="271"/>
      <c r="E83" s="271"/>
      <c r="F83" s="273"/>
      <c r="G83" s="271"/>
      <c r="H83" s="271"/>
      <c r="I83" s="271"/>
      <c r="J83" s="271"/>
      <c r="K83" s="271"/>
      <c r="L83" s="271"/>
    </row>
    <row r="84" spans="1:12">
      <c r="A84" s="271" t="s">
        <v>483</v>
      </c>
      <c r="B84" s="272">
        <v>9090900</v>
      </c>
      <c r="C84" s="271">
        <v>521</v>
      </c>
      <c r="D84" s="273">
        <v>45512</v>
      </c>
      <c r="E84" s="271">
        <v>30</v>
      </c>
      <c r="F84" s="273">
        <f t="shared" si="1"/>
        <v>45542</v>
      </c>
      <c r="G84" s="271">
        <f t="shared" si="2"/>
        <v>23</v>
      </c>
      <c r="H84" s="271"/>
      <c r="I84" s="277">
        <f>B84</f>
        <v>9090900</v>
      </c>
      <c r="J84" s="271"/>
      <c r="K84" s="271"/>
      <c r="L84" s="271"/>
    </row>
    <row r="85" spans="1:12">
      <c r="A85" s="271"/>
      <c r="B85" s="272"/>
      <c r="C85" s="271"/>
      <c r="D85" s="271"/>
      <c r="E85" s="271"/>
      <c r="F85" s="273"/>
      <c r="G85" s="271"/>
      <c r="H85" s="271"/>
      <c r="I85" s="271"/>
      <c r="J85" s="271"/>
      <c r="K85" s="271"/>
      <c r="L85" s="271"/>
    </row>
    <row r="86" spans="1:12">
      <c r="A86" s="271" t="s">
        <v>282</v>
      </c>
      <c r="B86" s="272">
        <v>11094840</v>
      </c>
      <c r="C86" s="271"/>
      <c r="D86" s="273">
        <v>45292</v>
      </c>
      <c r="E86" s="271">
        <v>30</v>
      </c>
      <c r="F86" s="273">
        <f t="shared" ref="F86:F89" si="19">D86+E86</f>
        <v>45322</v>
      </c>
      <c r="G86" s="271">
        <f t="shared" si="2"/>
        <v>243</v>
      </c>
      <c r="H86" s="271"/>
      <c r="I86" s="271"/>
      <c r="J86" s="271"/>
      <c r="K86" s="271"/>
      <c r="L86" s="277">
        <f>B86</f>
        <v>11094840</v>
      </c>
    </row>
    <row r="87" spans="1:12">
      <c r="A87" s="271" t="s">
        <v>282</v>
      </c>
      <c r="B87" s="272">
        <v>11094849</v>
      </c>
      <c r="C87" s="271">
        <v>506</v>
      </c>
      <c r="D87" s="273">
        <v>45504</v>
      </c>
      <c r="E87" s="271">
        <v>30</v>
      </c>
      <c r="F87" s="273">
        <f t="shared" si="19"/>
        <v>45534</v>
      </c>
      <c r="G87" s="271">
        <f t="shared" si="2"/>
        <v>31</v>
      </c>
      <c r="H87" s="271"/>
      <c r="I87" s="271"/>
      <c r="J87" s="277">
        <f>B87</f>
        <v>11094849</v>
      </c>
      <c r="K87" s="271"/>
      <c r="L87" s="271"/>
    </row>
    <row r="88" spans="1:12">
      <c r="A88" s="271" t="s">
        <v>282</v>
      </c>
      <c r="B88" s="272">
        <v>11094849</v>
      </c>
      <c r="C88" s="271">
        <v>678</v>
      </c>
      <c r="D88" s="273">
        <v>45560</v>
      </c>
      <c r="E88" s="271">
        <v>30</v>
      </c>
      <c r="F88" s="273">
        <f t="shared" si="19"/>
        <v>45590</v>
      </c>
      <c r="G88" s="271">
        <f t="shared" si="2"/>
        <v>-25</v>
      </c>
      <c r="H88" s="277">
        <f t="shared" ref="H88:H89" si="20">B88</f>
        <v>11094849</v>
      </c>
      <c r="I88" s="271"/>
      <c r="J88" s="271"/>
      <c r="K88" s="271"/>
      <c r="L88" s="271"/>
    </row>
    <row r="89" spans="1:12">
      <c r="A89" s="271" t="s">
        <v>282</v>
      </c>
      <c r="B89" s="272">
        <v>11094849</v>
      </c>
      <c r="C89" s="271">
        <v>681</v>
      </c>
      <c r="D89" s="273">
        <v>45560</v>
      </c>
      <c r="E89" s="271">
        <v>30</v>
      </c>
      <c r="F89" s="273">
        <f t="shared" si="19"/>
        <v>45590</v>
      </c>
      <c r="G89" s="271">
        <f t="shared" si="2"/>
        <v>-25</v>
      </c>
      <c r="H89" s="277">
        <f t="shared" si="20"/>
        <v>11094849</v>
      </c>
      <c r="I89" s="271"/>
      <c r="J89" s="271"/>
      <c r="K89" s="271"/>
      <c r="L89" s="271"/>
    </row>
    <row r="90" spans="1:12">
      <c r="A90" s="271"/>
      <c r="B90" s="272"/>
      <c r="C90" s="271"/>
      <c r="D90" s="271"/>
      <c r="E90" s="271"/>
      <c r="F90" s="273"/>
      <c r="G90" s="271"/>
      <c r="H90" s="271"/>
      <c r="I90" s="271"/>
      <c r="J90" s="271"/>
      <c r="K90" s="271"/>
      <c r="L90" s="271"/>
    </row>
    <row r="91" spans="1:12">
      <c r="A91" s="271" t="s">
        <v>250</v>
      </c>
      <c r="B91" s="272">
        <f>471004404.7</f>
        <v>471004404.69999999</v>
      </c>
      <c r="C91" s="271">
        <v>633</v>
      </c>
      <c r="D91" s="273">
        <v>45560</v>
      </c>
      <c r="E91" s="271">
        <v>30</v>
      </c>
      <c r="F91" s="273">
        <f t="shared" si="1"/>
        <v>45590</v>
      </c>
      <c r="G91" s="271">
        <f t="shared" si="2"/>
        <v>-25</v>
      </c>
      <c r="H91" s="277">
        <f>B91</f>
        <v>471004404.69999999</v>
      </c>
      <c r="I91" s="271"/>
      <c r="J91" s="271"/>
      <c r="K91" s="271"/>
      <c r="L91" s="271"/>
    </row>
    <row r="92" spans="1:12">
      <c r="A92" s="271"/>
      <c r="B92" s="272"/>
      <c r="C92" s="271"/>
      <c r="D92" s="271"/>
      <c r="E92" s="271"/>
      <c r="F92" s="273"/>
      <c r="G92" s="271"/>
      <c r="H92" s="271"/>
      <c r="I92" s="271"/>
      <c r="J92" s="271"/>
      <c r="K92" s="271"/>
      <c r="L92" s="271"/>
    </row>
    <row r="93" spans="1:12">
      <c r="A93" s="271" t="s">
        <v>837</v>
      </c>
      <c r="B93" s="272">
        <f>390700399.72*0</f>
        <v>0</v>
      </c>
      <c r="C93" s="271">
        <v>674</v>
      </c>
      <c r="D93" s="273">
        <v>45565</v>
      </c>
      <c r="E93" s="271">
        <v>30</v>
      </c>
      <c r="F93" s="273">
        <f t="shared" si="1"/>
        <v>45595</v>
      </c>
      <c r="G93" s="271">
        <f t="shared" si="2"/>
        <v>-30</v>
      </c>
      <c r="H93" s="277">
        <f>B93</f>
        <v>0</v>
      </c>
      <c r="I93" s="271"/>
      <c r="J93" s="271"/>
      <c r="K93" s="271"/>
      <c r="L93" s="271"/>
    </row>
    <row r="94" spans="1:12">
      <c r="A94" s="271"/>
      <c r="B94" s="272"/>
      <c r="C94" s="271"/>
      <c r="D94" s="271"/>
      <c r="E94" s="271"/>
      <c r="F94" s="273"/>
      <c r="G94" s="271"/>
      <c r="H94" s="271"/>
      <c r="I94" s="271"/>
      <c r="J94" s="271"/>
      <c r="K94" s="271"/>
      <c r="L94" s="271"/>
    </row>
    <row r="95" spans="1:12">
      <c r="A95" s="271" t="s">
        <v>779</v>
      </c>
      <c r="B95" s="272">
        <v>97875016.960000038</v>
      </c>
      <c r="C95" s="271">
        <v>599</v>
      </c>
      <c r="D95" s="273">
        <v>45555</v>
      </c>
      <c r="E95" s="271">
        <v>30</v>
      </c>
      <c r="F95" s="273">
        <f t="shared" si="1"/>
        <v>45585</v>
      </c>
      <c r="G95" s="271">
        <f t="shared" si="2"/>
        <v>-20</v>
      </c>
      <c r="H95" s="277">
        <f>B95</f>
        <v>97875016.960000038</v>
      </c>
      <c r="I95" s="271"/>
      <c r="J95" s="271"/>
      <c r="K95" s="271"/>
      <c r="L95" s="271"/>
    </row>
    <row r="96" spans="1:12">
      <c r="A96" s="271"/>
      <c r="B96" s="272"/>
      <c r="C96" s="271"/>
      <c r="D96" s="271"/>
      <c r="E96" s="271"/>
      <c r="F96" s="273"/>
      <c r="G96" s="271"/>
      <c r="H96" s="271"/>
      <c r="I96" s="271"/>
      <c r="J96" s="271"/>
      <c r="K96" s="271"/>
      <c r="L96" s="271"/>
    </row>
    <row r="97" spans="1:12">
      <c r="A97" s="271" t="s">
        <v>838</v>
      </c>
      <c r="B97" s="272">
        <v>285297166.96000004</v>
      </c>
      <c r="C97" s="271">
        <v>677</v>
      </c>
      <c r="D97" s="273">
        <v>45565</v>
      </c>
      <c r="E97" s="271">
        <v>30</v>
      </c>
      <c r="F97" s="273">
        <f t="shared" si="1"/>
        <v>45595</v>
      </c>
      <c r="G97" s="271">
        <f t="shared" si="2"/>
        <v>-30</v>
      </c>
      <c r="H97" s="277">
        <f>B97</f>
        <v>285297166.96000004</v>
      </c>
      <c r="I97" s="271"/>
      <c r="J97" s="271"/>
      <c r="K97" s="271"/>
      <c r="L97" s="271"/>
    </row>
    <row r="98" spans="1:12">
      <c r="A98" s="271"/>
      <c r="B98" s="272"/>
      <c r="C98" s="271"/>
      <c r="D98" s="271"/>
      <c r="E98" s="271"/>
      <c r="F98" s="273"/>
      <c r="G98" s="271"/>
      <c r="H98" s="271"/>
      <c r="I98" s="271"/>
      <c r="J98" s="271"/>
      <c r="K98" s="271"/>
      <c r="L98" s="271"/>
    </row>
    <row r="99" spans="1:12">
      <c r="A99" s="271" t="s">
        <v>780</v>
      </c>
      <c r="B99" s="272">
        <v>10509480</v>
      </c>
      <c r="C99" s="271">
        <v>603</v>
      </c>
      <c r="D99" s="273">
        <v>45541</v>
      </c>
      <c r="E99" s="271">
        <v>30</v>
      </c>
      <c r="F99" s="273">
        <f t="shared" ref="F99:F105" si="21">D99+E99</f>
        <v>45571</v>
      </c>
      <c r="G99" s="271">
        <f t="shared" si="2"/>
        <v>-6</v>
      </c>
      <c r="H99" s="277">
        <f t="shared" ref="H99:H105" si="22">B99</f>
        <v>10509480</v>
      </c>
      <c r="I99" s="271"/>
      <c r="J99" s="271"/>
      <c r="K99" s="271"/>
      <c r="L99" s="271"/>
    </row>
    <row r="100" spans="1:12">
      <c r="A100" s="271" t="s">
        <v>780</v>
      </c>
      <c r="B100" s="272">
        <v>15180360</v>
      </c>
      <c r="C100" s="271">
        <v>621</v>
      </c>
      <c r="D100" s="273">
        <v>45546</v>
      </c>
      <c r="E100" s="271">
        <v>30</v>
      </c>
      <c r="F100" s="273">
        <f t="shared" si="21"/>
        <v>45576</v>
      </c>
      <c r="G100" s="271">
        <f t="shared" si="2"/>
        <v>-11</v>
      </c>
      <c r="H100" s="277">
        <f t="shared" si="22"/>
        <v>15180360</v>
      </c>
      <c r="I100" s="271"/>
      <c r="J100" s="271"/>
      <c r="K100" s="271"/>
      <c r="L100" s="271"/>
    </row>
    <row r="101" spans="1:12">
      <c r="A101" s="271" t="s">
        <v>780</v>
      </c>
      <c r="B101" s="272">
        <v>13977608</v>
      </c>
      <c r="C101" s="271">
        <v>623</v>
      </c>
      <c r="D101" s="273">
        <v>45547</v>
      </c>
      <c r="E101" s="271">
        <v>30</v>
      </c>
      <c r="F101" s="273">
        <f t="shared" si="21"/>
        <v>45577</v>
      </c>
      <c r="G101" s="271">
        <f t="shared" si="2"/>
        <v>-12</v>
      </c>
      <c r="H101" s="277">
        <f t="shared" si="22"/>
        <v>13977608</v>
      </c>
      <c r="I101" s="271"/>
      <c r="J101" s="271"/>
      <c r="K101" s="271"/>
      <c r="L101" s="271"/>
    </row>
    <row r="102" spans="1:12">
      <c r="A102" s="271" t="s">
        <v>780</v>
      </c>
      <c r="B102" s="272">
        <v>4203792</v>
      </c>
      <c r="C102" s="271">
        <v>624</v>
      </c>
      <c r="D102" s="273">
        <v>45547</v>
      </c>
      <c r="E102" s="271">
        <v>30</v>
      </c>
      <c r="F102" s="273">
        <f t="shared" si="21"/>
        <v>45577</v>
      </c>
      <c r="G102" s="271">
        <f t="shared" si="2"/>
        <v>-12</v>
      </c>
      <c r="H102" s="277">
        <f t="shared" si="22"/>
        <v>4203792</v>
      </c>
      <c r="I102" s="271"/>
      <c r="J102" s="271"/>
      <c r="K102" s="271"/>
      <c r="L102" s="271"/>
    </row>
    <row r="103" spans="1:12">
      <c r="A103" s="271" t="s">
        <v>780</v>
      </c>
      <c r="B103" s="272">
        <v>1786612</v>
      </c>
      <c r="C103" s="271">
        <v>625</v>
      </c>
      <c r="D103" s="273">
        <v>45547</v>
      </c>
      <c r="E103" s="271">
        <v>30</v>
      </c>
      <c r="F103" s="273">
        <f t="shared" si="21"/>
        <v>45577</v>
      </c>
      <c r="G103" s="271">
        <f t="shared" si="2"/>
        <v>-12</v>
      </c>
      <c r="H103" s="277">
        <f t="shared" si="22"/>
        <v>1786612</v>
      </c>
      <c r="I103" s="271"/>
      <c r="J103" s="271"/>
      <c r="K103" s="271"/>
      <c r="L103" s="271"/>
    </row>
    <row r="104" spans="1:12">
      <c r="A104" s="271" t="s">
        <v>780</v>
      </c>
      <c r="B104" s="272">
        <v>5126291</v>
      </c>
      <c r="C104" s="271">
        <v>668</v>
      </c>
      <c r="D104" s="273">
        <v>45554</v>
      </c>
      <c r="E104" s="271">
        <v>30</v>
      </c>
      <c r="F104" s="273">
        <f t="shared" si="21"/>
        <v>45584</v>
      </c>
      <c r="G104" s="271">
        <f t="shared" si="2"/>
        <v>-19</v>
      </c>
      <c r="H104" s="277">
        <f t="shared" si="22"/>
        <v>5126291</v>
      </c>
      <c r="I104" s="271"/>
      <c r="J104" s="271"/>
      <c r="K104" s="271"/>
      <c r="L104" s="271"/>
    </row>
    <row r="105" spans="1:12">
      <c r="A105" s="271" t="s">
        <v>780</v>
      </c>
      <c r="B105" s="272">
        <v>10217550</v>
      </c>
      <c r="C105" s="271">
        <v>675</v>
      </c>
      <c r="D105" s="273">
        <v>45556</v>
      </c>
      <c r="E105" s="271">
        <v>30</v>
      </c>
      <c r="F105" s="273">
        <f t="shared" si="21"/>
        <v>45586</v>
      </c>
      <c r="G105" s="271">
        <f t="shared" si="2"/>
        <v>-21</v>
      </c>
      <c r="H105" s="277">
        <f t="shared" si="22"/>
        <v>10217550</v>
      </c>
      <c r="I105" s="271"/>
      <c r="J105" s="271"/>
      <c r="K105" s="271"/>
      <c r="L105" s="271"/>
    </row>
    <row r="106" spans="1:12">
      <c r="A106" s="271"/>
      <c r="B106" s="272"/>
      <c r="C106" s="271"/>
      <c r="D106" s="271"/>
      <c r="E106" s="271"/>
      <c r="F106" s="273"/>
      <c r="G106" s="271"/>
      <c r="H106" s="271"/>
      <c r="I106" s="271"/>
      <c r="J106" s="271"/>
      <c r="K106" s="271"/>
      <c r="L106" s="271"/>
    </row>
    <row r="107" spans="1:12">
      <c r="A107" s="271" t="s">
        <v>627</v>
      </c>
      <c r="B107" s="272">
        <v>108570905</v>
      </c>
      <c r="C107" s="271"/>
      <c r="D107" s="271"/>
      <c r="E107" s="271"/>
      <c r="F107" s="273"/>
      <c r="G107" s="271"/>
      <c r="H107" s="271"/>
      <c r="I107" s="277">
        <f>B107</f>
        <v>108570905</v>
      </c>
      <c r="J107" s="271"/>
      <c r="K107" s="271"/>
      <c r="L107" s="271"/>
    </row>
    <row r="108" spans="1:12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</row>
    <row r="109" spans="1:12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</row>
  </sheetData>
  <autoFilter ref="A5:L107" xr:uid="{1A7ACF2F-5104-4335-A4E4-1B3A6FCF1028}"/>
  <pageMargins left="0.7" right="0.7" top="0.75" bottom="0.75" header="0.3" footer="0.3"/>
  <ignoredErrors>
    <ignoredError sqref="C9:C3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2A1B-5F1D-4E3A-8395-25F784D6ACF4}">
  <sheetPr>
    <tabColor rgb="FFD7A6F0"/>
  </sheetPr>
  <dimension ref="A1:M220"/>
  <sheetViews>
    <sheetView showGridLines="0" workbookViewId="0">
      <pane xSplit="2" ySplit="5" topLeftCell="C200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1.5"/>
  <cols>
    <col min="1" max="1" width="28.1796875" style="303" bestFit="1" customWidth="1"/>
    <col min="2" max="2" width="14.7265625" style="313" bestFit="1" customWidth="1"/>
    <col min="3" max="3" width="11.1796875" style="303" bestFit="1" customWidth="1"/>
    <col min="4" max="4" width="11" style="303" bestFit="1" customWidth="1"/>
    <col min="5" max="7" width="12" style="303" customWidth="1"/>
    <col min="8" max="8" width="12.36328125" style="303" bestFit="1" customWidth="1"/>
    <col min="9" max="9" width="13.36328125" style="303" bestFit="1" customWidth="1"/>
    <col min="10" max="12" width="12" style="303" customWidth="1"/>
    <col min="13" max="16384" width="8.7265625" style="303"/>
  </cols>
  <sheetData>
    <row r="1" spans="1:13">
      <c r="A1" s="315" t="s">
        <v>185</v>
      </c>
      <c r="C1" s="316"/>
    </row>
    <row r="2" spans="1:13">
      <c r="A2" s="315" t="s">
        <v>172</v>
      </c>
      <c r="C2" s="316"/>
      <c r="E2" s="317"/>
    </row>
    <row r="3" spans="1:13">
      <c r="A3" s="318">
        <v>45565</v>
      </c>
      <c r="C3" s="316"/>
      <c r="E3" s="313"/>
      <c r="F3" s="319"/>
    </row>
    <row r="4" spans="1:13">
      <c r="B4" s="313">
        <f>SUM(B6:B216)</f>
        <v>7387170282.4900007</v>
      </c>
      <c r="C4" s="316"/>
      <c r="D4" s="313"/>
      <c r="E4" s="319"/>
      <c r="H4" s="313">
        <f t="shared" ref="H4:L4" si="0">SUM(H6:H216)</f>
        <v>4983466391.4900007</v>
      </c>
      <c r="I4" s="313">
        <f t="shared" si="0"/>
        <v>1982303832</v>
      </c>
      <c r="J4" s="313">
        <f t="shared" si="0"/>
        <v>184180750</v>
      </c>
      <c r="K4" s="313">
        <f t="shared" si="0"/>
        <v>82354849</v>
      </c>
      <c r="L4" s="313">
        <f t="shared" si="0"/>
        <v>154864460</v>
      </c>
      <c r="M4" s="319">
        <f>SUM(H4:L4)-B4</f>
        <v>0</v>
      </c>
    </row>
    <row r="5" spans="1:13">
      <c r="A5" s="304" t="s">
        <v>2</v>
      </c>
      <c r="B5" s="304" t="s">
        <v>3</v>
      </c>
      <c r="C5" s="304" t="s">
        <v>784</v>
      </c>
      <c r="D5" s="304" t="s">
        <v>785</v>
      </c>
      <c r="E5" s="304" t="s">
        <v>209</v>
      </c>
      <c r="F5" s="304" t="s">
        <v>210</v>
      </c>
      <c r="G5" s="304" t="s">
        <v>211</v>
      </c>
      <c r="H5" s="304" t="s">
        <v>174</v>
      </c>
      <c r="I5" s="304" t="s">
        <v>212</v>
      </c>
      <c r="J5" s="304" t="s">
        <v>213</v>
      </c>
      <c r="K5" s="304" t="s">
        <v>214</v>
      </c>
      <c r="L5" s="304" t="s">
        <v>215</v>
      </c>
    </row>
    <row r="6" spans="1:13">
      <c r="A6" s="305" t="s">
        <v>8</v>
      </c>
      <c r="B6" s="342">
        <v>27237008</v>
      </c>
      <c r="C6" s="305"/>
      <c r="D6" s="306"/>
      <c r="E6" s="305">
        <v>30</v>
      </c>
      <c r="F6" s="306"/>
      <c r="G6" s="305"/>
      <c r="H6" s="305"/>
      <c r="I6" s="321">
        <f>B6</f>
        <v>27237008</v>
      </c>
      <c r="J6" s="305"/>
      <c r="K6" s="305"/>
      <c r="L6" s="305"/>
    </row>
    <row r="7" spans="1:13">
      <c r="A7" s="305"/>
      <c r="B7" s="342"/>
      <c r="C7" s="305"/>
      <c r="D7" s="306"/>
      <c r="E7" s="305"/>
      <c r="F7" s="306"/>
      <c r="G7" s="305"/>
      <c r="H7" s="305"/>
      <c r="I7" s="321"/>
      <c r="J7" s="305"/>
      <c r="K7" s="305"/>
      <c r="L7" s="305"/>
    </row>
    <row r="8" spans="1:13">
      <c r="A8" s="305" t="s">
        <v>83</v>
      </c>
      <c r="B8" s="342">
        <v>13506480</v>
      </c>
      <c r="C8" s="305">
        <v>36</v>
      </c>
      <c r="D8" s="306">
        <v>45553</v>
      </c>
      <c r="E8" s="305">
        <v>30</v>
      </c>
      <c r="F8" s="306">
        <f t="shared" ref="F8:F214" si="1">D8+E8</f>
        <v>45583</v>
      </c>
      <c r="G8" s="305">
        <f t="shared" ref="G8:G214" si="2">$A$3-F8</f>
        <v>-18</v>
      </c>
      <c r="H8" s="321">
        <f>B8</f>
        <v>13506480</v>
      </c>
      <c r="I8" s="305"/>
      <c r="J8" s="305"/>
      <c r="K8" s="305"/>
      <c r="L8" s="305"/>
    </row>
    <row r="9" spans="1:13">
      <c r="A9" s="305"/>
      <c r="B9" s="342"/>
      <c r="C9" s="305"/>
      <c r="D9" s="305"/>
      <c r="E9" s="305"/>
      <c r="F9" s="306"/>
      <c r="G9" s="305"/>
      <c r="H9" s="305"/>
      <c r="I9" s="305"/>
      <c r="J9" s="305"/>
      <c r="K9" s="305"/>
      <c r="L9" s="305"/>
    </row>
    <row r="10" spans="1:13">
      <c r="A10" s="305" t="s">
        <v>11</v>
      </c>
      <c r="B10" s="342">
        <v>24975000</v>
      </c>
      <c r="C10" s="305">
        <v>397</v>
      </c>
      <c r="D10" s="306">
        <v>45546</v>
      </c>
      <c r="E10" s="305">
        <v>30</v>
      </c>
      <c r="F10" s="306">
        <f t="shared" si="1"/>
        <v>45576</v>
      </c>
      <c r="G10" s="305">
        <f t="shared" si="2"/>
        <v>-11</v>
      </c>
      <c r="H10" s="321">
        <f>B10</f>
        <v>24975000</v>
      </c>
      <c r="I10" s="305"/>
      <c r="J10" s="305"/>
      <c r="K10" s="305"/>
      <c r="L10" s="305"/>
    </row>
    <row r="11" spans="1:13">
      <c r="A11" s="305"/>
      <c r="B11" s="320"/>
      <c r="C11" s="305"/>
      <c r="D11" s="305"/>
      <c r="E11" s="305"/>
      <c r="F11" s="306"/>
      <c r="G11" s="305"/>
      <c r="H11" s="305"/>
      <c r="I11" s="305"/>
      <c r="J11" s="305"/>
      <c r="K11" s="305"/>
      <c r="L11" s="305"/>
    </row>
    <row r="12" spans="1:13">
      <c r="A12" s="305" t="s">
        <v>17</v>
      </c>
      <c r="B12" s="320">
        <v>69903226</v>
      </c>
      <c r="C12" s="305">
        <v>311</v>
      </c>
      <c r="D12" s="306">
        <v>45514</v>
      </c>
      <c r="E12" s="305">
        <v>30</v>
      </c>
      <c r="F12" s="306">
        <f t="shared" si="1"/>
        <v>45544</v>
      </c>
      <c r="G12" s="305">
        <f t="shared" si="2"/>
        <v>21</v>
      </c>
      <c r="H12" s="305"/>
      <c r="I12" s="321">
        <f>B12</f>
        <v>69903226</v>
      </c>
      <c r="J12" s="305"/>
      <c r="K12" s="305"/>
      <c r="L12" s="305"/>
    </row>
    <row r="13" spans="1:13">
      <c r="A13" s="305"/>
      <c r="B13" s="320">
        <v>32190000</v>
      </c>
      <c r="C13" s="305">
        <v>438</v>
      </c>
      <c r="D13" s="306">
        <v>45560</v>
      </c>
      <c r="E13" s="305">
        <v>30</v>
      </c>
      <c r="F13" s="306">
        <f t="shared" ref="F13:F14" si="3">D13+E13</f>
        <v>45590</v>
      </c>
      <c r="G13" s="305">
        <f t="shared" si="2"/>
        <v>-25</v>
      </c>
      <c r="H13" s="321">
        <f t="shared" ref="H13:H14" si="4">B13</f>
        <v>32190000</v>
      </c>
      <c r="I13" s="305"/>
      <c r="J13" s="305"/>
      <c r="K13" s="305"/>
      <c r="L13" s="305"/>
    </row>
    <row r="14" spans="1:13">
      <c r="A14" s="305"/>
      <c r="B14" s="320">
        <v>48037780</v>
      </c>
      <c r="C14" s="305">
        <v>439</v>
      </c>
      <c r="D14" s="306">
        <v>45560</v>
      </c>
      <c r="E14" s="305">
        <v>30</v>
      </c>
      <c r="F14" s="306">
        <f t="shared" si="3"/>
        <v>45590</v>
      </c>
      <c r="G14" s="305">
        <f t="shared" si="2"/>
        <v>-25</v>
      </c>
      <c r="H14" s="321">
        <f t="shared" si="4"/>
        <v>48037780</v>
      </c>
      <c r="I14" s="305"/>
      <c r="J14" s="305"/>
      <c r="K14" s="305"/>
      <c r="L14" s="305"/>
    </row>
    <row r="15" spans="1:13">
      <c r="A15" s="305"/>
      <c r="B15" s="320"/>
      <c r="C15" s="305"/>
      <c r="D15" s="305"/>
      <c r="E15" s="305"/>
      <c r="F15" s="306"/>
      <c r="G15" s="305"/>
      <c r="H15" s="305"/>
      <c r="I15" s="305"/>
      <c r="J15" s="305"/>
      <c r="K15" s="305"/>
      <c r="L15" s="305"/>
    </row>
    <row r="16" spans="1:13">
      <c r="A16" s="305" t="s">
        <v>66</v>
      </c>
      <c r="B16" s="320">
        <v>29859000</v>
      </c>
      <c r="C16" s="305">
        <v>314</v>
      </c>
      <c r="D16" s="306">
        <v>45516</v>
      </c>
      <c r="E16" s="305">
        <v>30</v>
      </c>
      <c r="F16" s="306">
        <f t="shared" si="1"/>
        <v>45546</v>
      </c>
      <c r="G16" s="305">
        <f t="shared" si="2"/>
        <v>19</v>
      </c>
      <c r="H16" s="305"/>
      <c r="I16" s="321">
        <f>B16</f>
        <v>29859000</v>
      </c>
      <c r="J16" s="305"/>
      <c r="K16" s="305"/>
      <c r="L16" s="305"/>
    </row>
    <row r="17" spans="1:13">
      <c r="A17" s="305"/>
      <c r="B17" s="320"/>
      <c r="C17" s="305"/>
      <c r="D17" s="305"/>
      <c r="E17" s="305"/>
      <c r="F17" s="306"/>
      <c r="G17" s="305"/>
      <c r="H17" s="305"/>
      <c r="I17" s="305"/>
      <c r="J17" s="305"/>
      <c r="K17" s="305"/>
      <c r="L17" s="305"/>
    </row>
    <row r="18" spans="1:13">
      <c r="A18" s="305" t="s">
        <v>18</v>
      </c>
      <c r="B18" s="320">
        <v>48888562</v>
      </c>
      <c r="C18" s="305">
        <v>405</v>
      </c>
      <c r="D18" s="306">
        <v>45548</v>
      </c>
      <c r="E18" s="305">
        <v>30</v>
      </c>
      <c r="F18" s="306">
        <f t="shared" si="1"/>
        <v>45578</v>
      </c>
      <c r="G18" s="305">
        <f t="shared" si="2"/>
        <v>-13</v>
      </c>
      <c r="H18" s="321">
        <f t="shared" ref="H18:H20" si="5">B18</f>
        <v>48888562</v>
      </c>
      <c r="I18" s="305"/>
      <c r="J18" s="305"/>
      <c r="K18" s="305"/>
      <c r="L18" s="305"/>
    </row>
    <row r="19" spans="1:13">
      <c r="A19" s="305"/>
      <c r="B19" s="320">
        <v>41990190</v>
      </c>
      <c r="C19" s="305">
        <v>442</v>
      </c>
      <c r="D19" s="306">
        <v>45561</v>
      </c>
      <c r="E19" s="305">
        <v>30</v>
      </c>
      <c r="F19" s="306">
        <f t="shared" ref="F19:F20" si="6">D19+E19</f>
        <v>45591</v>
      </c>
      <c r="G19" s="305">
        <f t="shared" si="2"/>
        <v>-26</v>
      </c>
      <c r="H19" s="321">
        <f t="shared" si="5"/>
        <v>41990190</v>
      </c>
      <c r="I19" s="305"/>
      <c r="J19" s="305"/>
      <c r="K19" s="305"/>
      <c r="L19" s="305"/>
    </row>
    <row r="20" spans="1:13">
      <c r="A20" s="305"/>
      <c r="B20" s="320">
        <v>42525657</v>
      </c>
      <c r="C20" s="305">
        <v>447</v>
      </c>
      <c r="D20" s="306">
        <v>45563</v>
      </c>
      <c r="E20" s="305">
        <v>30</v>
      </c>
      <c r="F20" s="306">
        <f t="shared" si="6"/>
        <v>45593</v>
      </c>
      <c r="G20" s="305">
        <f t="shared" si="2"/>
        <v>-28</v>
      </c>
      <c r="H20" s="321">
        <f t="shared" si="5"/>
        <v>42525657</v>
      </c>
      <c r="I20" s="305"/>
      <c r="J20" s="305"/>
      <c r="K20" s="305"/>
      <c r="L20" s="305"/>
    </row>
    <row r="21" spans="1:13">
      <c r="A21" s="305"/>
      <c r="B21" s="320"/>
      <c r="C21" s="305"/>
      <c r="D21" s="305"/>
      <c r="E21" s="305"/>
      <c r="F21" s="306"/>
      <c r="G21" s="305"/>
      <c r="H21" s="305"/>
      <c r="I21" s="305"/>
      <c r="J21" s="305"/>
      <c r="K21" s="305"/>
      <c r="L21" s="305"/>
    </row>
    <row r="22" spans="1:13">
      <c r="A22" s="305" t="s">
        <v>19</v>
      </c>
      <c r="B22" s="320">
        <v>40800003</v>
      </c>
      <c r="C22" s="305">
        <v>35</v>
      </c>
      <c r="D22" s="306">
        <v>45546</v>
      </c>
      <c r="E22" s="305">
        <v>30</v>
      </c>
      <c r="F22" s="306">
        <f t="shared" si="1"/>
        <v>45576</v>
      </c>
      <c r="G22" s="305">
        <f t="shared" si="2"/>
        <v>-11</v>
      </c>
      <c r="H22" s="321">
        <f>B22</f>
        <v>40800003</v>
      </c>
      <c r="I22" s="305"/>
      <c r="J22" s="305"/>
      <c r="K22" s="305"/>
      <c r="L22" s="305"/>
    </row>
    <row r="23" spans="1:13">
      <c r="A23" s="305"/>
      <c r="B23" s="320"/>
      <c r="C23" s="305"/>
      <c r="D23" s="305"/>
      <c r="E23" s="305"/>
      <c r="F23" s="306"/>
      <c r="G23" s="305"/>
      <c r="H23" s="305"/>
      <c r="I23" s="305"/>
      <c r="J23" s="305"/>
      <c r="K23" s="305"/>
      <c r="L23" s="305"/>
    </row>
    <row r="24" spans="1:13">
      <c r="A24" s="305" t="s">
        <v>32</v>
      </c>
      <c r="B24" s="320">
        <v>5025000</v>
      </c>
      <c r="C24" s="305"/>
      <c r="D24" s="306">
        <v>45292</v>
      </c>
      <c r="E24" s="305">
        <v>30</v>
      </c>
      <c r="F24" s="306">
        <f t="shared" si="1"/>
        <v>45322</v>
      </c>
      <c r="G24" s="305">
        <f t="shared" si="2"/>
        <v>243</v>
      </c>
      <c r="H24" s="305"/>
      <c r="I24" s="305"/>
      <c r="J24" s="305"/>
      <c r="K24" s="305"/>
      <c r="L24" s="321">
        <f>B24</f>
        <v>5025000</v>
      </c>
      <c r="M24" s="303" t="s">
        <v>788</v>
      </c>
    </row>
    <row r="25" spans="1:13">
      <c r="A25" s="305"/>
      <c r="B25" s="320"/>
      <c r="C25" s="305"/>
      <c r="D25" s="305"/>
      <c r="E25" s="305"/>
      <c r="F25" s="306"/>
      <c r="G25" s="305"/>
      <c r="H25" s="305"/>
      <c r="I25" s="305"/>
      <c r="J25" s="305"/>
      <c r="K25" s="305"/>
      <c r="L25" s="305"/>
    </row>
    <row r="26" spans="1:13">
      <c r="A26" s="305" t="s">
        <v>34</v>
      </c>
      <c r="B26" s="320">
        <v>70999869</v>
      </c>
      <c r="C26" s="305">
        <v>411</v>
      </c>
      <c r="D26" s="306">
        <v>45549</v>
      </c>
      <c r="E26" s="305">
        <v>30</v>
      </c>
      <c r="F26" s="306">
        <f t="shared" si="1"/>
        <v>45579</v>
      </c>
      <c r="G26" s="305">
        <f t="shared" si="2"/>
        <v>-14</v>
      </c>
      <c r="H26" s="321">
        <f>B26</f>
        <v>70999869</v>
      </c>
      <c r="I26" s="305"/>
      <c r="J26" s="305"/>
      <c r="K26" s="305"/>
      <c r="L26" s="305"/>
    </row>
    <row r="27" spans="1:13">
      <c r="A27" s="305"/>
      <c r="B27" s="320"/>
      <c r="C27" s="305"/>
      <c r="D27" s="306"/>
      <c r="E27" s="305"/>
      <c r="F27" s="306"/>
      <c r="G27" s="305"/>
      <c r="H27" s="305"/>
      <c r="I27" s="305"/>
      <c r="J27" s="305"/>
      <c r="K27" s="305"/>
      <c r="L27" s="305"/>
    </row>
    <row r="28" spans="1:13">
      <c r="A28" s="305" t="s">
        <v>35</v>
      </c>
      <c r="B28" s="320">
        <v>8646900</v>
      </c>
      <c r="C28" s="305">
        <v>231</v>
      </c>
      <c r="D28" s="306">
        <v>45477</v>
      </c>
      <c r="E28" s="305">
        <v>30</v>
      </c>
      <c r="F28" s="306">
        <f t="shared" si="1"/>
        <v>45507</v>
      </c>
      <c r="G28" s="305">
        <f t="shared" si="2"/>
        <v>58</v>
      </c>
      <c r="H28" s="305"/>
      <c r="I28" s="305"/>
      <c r="J28" s="321">
        <f>B28</f>
        <v>8646900</v>
      </c>
      <c r="K28" s="305"/>
      <c r="L28" s="305"/>
    </row>
    <row r="29" spans="1:13">
      <c r="A29" s="323"/>
      <c r="B29" s="320">
        <v>301032</v>
      </c>
      <c r="C29" s="305">
        <v>232</v>
      </c>
      <c r="D29" s="306">
        <v>45477</v>
      </c>
      <c r="E29" s="305">
        <v>30</v>
      </c>
      <c r="F29" s="306">
        <f t="shared" ref="F29:F43" si="7">D29+E29</f>
        <v>45507</v>
      </c>
      <c r="G29" s="305">
        <f t="shared" si="2"/>
        <v>58</v>
      </c>
      <c r="H29" s="305"/>
      <c r="I29" s="305"/>
      <c r="J29" s="321">
        <f t="shared" ref="J29:J31" si="8">B29</f>
        <v>301032</v>
      </c>
      <c r="K29" s="305"/>
      <c r="L29" s="305"/>
    </row>
    <row r="30" spans="1:13">
      <c r="A30" s="321"/>
      <c r="B30" s="320">
        <v>357420</v>
      </c>
      <c r="C30" s="305">
        <v>233</v>
      </c>
      <c r="D30" s="306">
        <v>45477</v>
      </c>
      <c r="E30" s="305">
        <v>30</v>
      </c>
      <c r="F30" s="306">
        <f t="shared" si="7"/>
        <v>45507</v>
      </c>
      <c r="G30" s="305">
        <f t="shared" si="2"/>
        <v>58</v>
      </c>
      <c r="H30" s="305"/>
      <c r="I30" s="305"/>
      <c r="J30" s="321">
        <f t="shared" si="8"/>
        <v>357420</v>
      </c>
      <c r="K30" s="305"/>
      <c r="L30" s="305"/>
    </row>
    <row r="31" spans="1:13">
      <c r="A31" s="305"/>
      <c r="B31" s="320">
        <v>619380</v>
      </c>
      <c r="C31" s="305">
        <v>14</v>
      </c>
      <c r="D31" s="306">
        <v>45477</v>
      </c>
      <c r="E31" s="305">
        <v>30</v>
      </c>
      <c r="F31" s="306">
        <f t="shared" si="7"/>
        <v>45507</v>
      </c>
      <c r="G31" s="305">
        <f t="shared" si="2"/>
        <v>58</v>
      </c>
      <c r="H31" s="305"/>
      <c r="I31" s="305"/>
      <c r="J31" s="321">
        <f t="shared" si="8"/>
        <v>619380</v>
      </c>
      <c r="K31" s="305"/>
      <c r="L31" s="305"/>
    </row>
    <row r="32" spans="1:13">
      <c r="A32" s="305"/>
      <c r="B32" s="320">
        <v>2426460</v>
      </c>
      <c r="C32" s="305">
        <v>327</v>
      </c>
      <c r="D32" s="306">
        <v>45505</v>
      </c>
      <c r="E32" s="305">
        <v>30</v>
      </c>
      <c r="F32" s="306">
        <f t="shared" si="7"/>
        <v>45535</v>
      </c>
      <c r="G32" s="305">
        <f t="shared" si="2"/>
        <v>30</v>
      </c>
      <c r="H32" s="305"/>
      <c r="I32" s="321">
        <f t="shared" ref="I32:I38" si="9">B32</f>
        <v>2426460</v>
      </c>
      <c r="J32" s="305"/>
      <c r="K32" s="305"/>
      <c r="L32" s="305"/>
    </row>
    <row r="33" spans="1:12">
      <c r="A33" s="305"/>
      <c r="B33" s="320">
        <v>7856025</v>
      </c>
      <c r="C33" s="305">
        <v>328</v>
      </c>
      <c r="D33" s="306">
        <v>45505</v>
      </c>
      <c r="E33" s="305">
        <v>30</v>
      </c>
      <c r="F33" s="306">
        <f t="shared" si="7"/>
        <v>45535</v>
      </c>
      <c r="G33" s="305">
        <f t="shared" si="2"/>
        <v>30</v>
      </c>
      <c r="H33" s="305"/>
      <c r="I33" s="321">
        <f t="shared" si="9"/>
        <v>7856025</v>
      </c>
      <c r="J33" s="305"/>
      <c r="K33" s="305"/>
      <c r="L33" s="305"/>
    </row>
    <row r="34" spans="1:12">
      <c r="A34" s="305"/>
      <c r="B34" s="320">
        <f>457875-17988</f>
        <v>439887</v>
      </c>
      <c r="C34" s="305">
        <v>331</v>
      </c>
      <c r="D34" s="306">
        <v>45505</v>
      </c>
      <c r="E34" s="305">
        <v>30</v>
      </c>
      <c r="F34" s="306">
        <f t="shared" si="7"/>
        <v>45535</v>
      </c>
      <c r="G34" s="305">
        <f t="shared" si="2"/>
        <v>30</v>
      </c>
      <c r="H34" s="305"/>
      <c r="I34" s="321">
        <f t="shared" si="9"/>
        <v>439887</v>
      </c>
      <c r="J34" s="305"/>
      <c r="K34" s="305"/>
      <c r="L34" s="305"/>
    </row>
    <row r="35" spans="1:12">
      <c r="A35" s="305"/>
      <c r="B35" s="320">
        <v>567432</v>
      </c>
      <c r="C35" s="322" t="s">
        <v>786</v>
      </c>
      <c r="D35" s="306">
        <v>45514</v>
      </c>
      <c r="E35" s="305">
        <v>30</v>
      </c>
      <c r="F35" s="306">
        <f t="shared" si="7"/>
        <v>45544</v>
      </c>
      <c r="G35" s="305">
        <f t="shared" si="2"/>
        <v>21</v>
      </c>
      <c r="H35" s="305"/>
      <c r="I35" s="321">
        <f t="shared" si="9"/>
        <v>567432</v>
      </c>
      <c r="J35" s="305"/>
      <c r="K35" s="305"/>
      <c r="L35" s="305"/>
    </row>
    <row r="36" spans="1:12">
      <c r="A36" s="305"/>
      <c r="B36" s="320">
        <v>2411475</v>
      </c>
      <c r="C36" s="322" t="s">
        <v>608</v>
      </c>
      <c r="D36" s="306">
        <v>45514</v>
      </c>
      <c r="E36" s="305">
        <v>30</v>
      </c>
      <c r="F36" s="306">
        <f t="shared" si="7"/>
        <v>45544</v>
      </c>
      <c r="G36" s="305">
        <f t="shared" si="2"/>
        <v>21</v>
      </c>
      <c r="H36" s="305"/>
      <c r="I36" s="321">
        <f t="shared" si="9"/>
        <v>2411475</v>
      </c>
      <c r="J36" s="305"/>
      <c r="K36" s="305"/>
      <c r="L36" s="305"/>
    </row>
    <row r="37" spans="1:12">
      <c r="A37" s="305"/>
      <c r="B37" s="320">
        <v>510600</v>
      </c>
      <c r="C37" s="322" t="s">
        <v>787</v>
      </c>
      <c r="D37" s="306">
        <v>45514</v>
      </c>
      <c r="E37" s="305">
        <v>30</v>
      </c>
      <c r="F37" s="306">
        <f t="shared" si="7"/>
        <v>45544</v>
      </c>
      <c r="G37" s="305">
        <f t="shared" si="2"/>
        <v>21</v>
      </c>
      <c r="H37" s="305"/>
      <c r="I37" s="321">
        <f t="shared" si="9"/>
        <v>510600</v>
      </c>
      <c r="J37" s="305"/>
      <c r="K37" s="305"/>
      <c r="L37" s="305"/>
    </row>
    <row r="38" spans="1:12">
      <c r="A38" s="305"/>
      <c r="B38" s="320">
        <v>222000</v>
      </c>
      <c r="C38" s="322">
        <v>32</v>
      </c>
      <c r="D38" s="306">
        <v>45533</v>
      </c>
      <c r="E38" s="305">
        <v>30</v>
      </c>
      <c r="F38" s="306">
        <f t="shared" si="7"/>
        <v>45563</v>
      </c>
      <c r="G38" s="305">
        <f t="shared" si="2"/>
        <v>2</v>
      </c>
      <c r="H38" s="305"/>
      <c r="I38" s="321">
        <f t="shared" si="9"/>
        <v>222000</v>
      </c>
      <c r="J38" s="305"/>
      <c r="K38" s="305"/>
      <c r="L38" s="305"/>
    </row>
    <row r="39" spans="1:12">
      <c r="A39" s="305"/>
      <c r="B39" s="320">
        <v>366300</v>
      </c>
      <c r="C39" s="322" t="s">
        <v>614</v>
      </c>
      <c r="D39" s="306">
        <v>45537</v>
      </c>
      <c r="E39" s="305">
        <v>30</v>
      </c>
      <c r="F39" s="306">
        <f t="shared" si="7"/>
        <v>45567</v>
      </c>
      <c r="G39" s="305">
        <f t="shared" si="2"/>
        <v>-2</v>
      </c>
      <c r="H39" s="321">
        <f t="shared" ref="H39:H43" si="10">B39</f>
        <v>366300</v>
      </c>
      <c r="I39" s="305"/>
      <c r="J39" s="305"/>
      <c r="K39" s="305"/>
      <c r="L39" s="305"/>
    </row>
    <row r="40" spans="1:12">
      <c r="A40" s="305"/>
      <c r="B40" s="320">
        <v>3046950</v>
      </c>
      <c r="C40" s="322" t="s">
        <v>658</v>
      </c>
      <c r="D40" s="306">
        <v>45537</v>
      </c>
      <c r="E40" s="305">
        <v>30</v>
      </c>
      <c r="F40" s="306">
        <f t="shared" si="7"/>
        <v>45567</v>
      </c>
      <c r="G40" s="305">
        <f t="shared" si="2"/>
        <v>-2</v>
      </c>
      <c r="H40" s="321">
        <f t="shared" si="10"/>
        <v>3046950</v>
      </c>
      <c r="I40" s="305"/>
      <c r="J40" s="305"/>
      <c r="K40" s="305"/>
      <c r="L40" s="305"/>
    </row>
    <row r="41" spans="1:12">
      <c r="A41" s="305"/>
      <c r="B41" s="320">
        <v>1198800</v>
      </c>
      <c r="C41" s="305">
        <v>34</v>
      </c>
      <c r="D41" s="306">
        <v>45537</v>
      </c>
      <c r="E41" s="305">
        <v>30</v>
      </c>
      <c r="F41" s="306">
        <f t="shared" si="7"/>
        <v>45567</v>
      </c>
      <c r="G41" s="305">
        <f t="shared" si="2"/>
        <v>-2</v>
      </c>
      <c r="H41" s="321">
        <f t="shared" si="10"/>
        <v>1198800</v>
      </c>
      <c r="I41" s="305"/>
      <c r="J41" s="305"/>
      <c r="K41" s="305"/>
      <c r="L41" s="305"/>
    </row>
    <row r="42" spans="1:12">
      <c r="A42" s="305"/>
      <c r="B42" s="320">
        <v>2424240</v>
      </c>
      <c r="C42" s="305">
        <v>390</v>
      </c>
      <c r="D42" s="306">
        <v>45536</v>
      </c>
      <c r="E42" s="305">
        <v>30</v>
      </c>
      <c r="F42" s="306">
        <f t="shared" si="7"/>
        <v>45566</v>
      </c>
      <c r="G42" s="305">
        <f t="shared" si="2"/>
        <v>-1</v>
      </c>
      <c r="H42" s="321">
        <f t="shared" si="10"/>
        <v>2424240</v>
      </c>
      <c r="I42" s="305"/>
      <c r="J42" s="305"/>
      <c r="K42" s="305"/>
      <c r="L42" s="305"/>
    </row>
    <row r="43" spans="1:12">
      <c r="A43" s="305"/>
      <c r="B43" s="320">
        <v>3762900</v>
      </c>
      <c r="C43" s="305">
        <v>391</v>
      </c>
      <c r="D43" s="306">
        <v>45536</v>
      </c>
      <c r="E43" s="305">
        <v>30</v>
      </c>
      <c r="F43" s="306">
        <f t="shared" si="7"/>
        <v>45566</v>
      </c>
      <c r="G43" s="305">
        <f t="shared" si="2"/>
        <v>-1</v>
      </c>
      <c r="H43" s="321">
        <f t="shared" si="10"/>
        <v>3762900</v>
      </c>
      <c r="I43" s="305"/>
      <c r="J43" s="305"/>
      <c r="K43" s="305"/>
      <c r="L43" s="305"/>
    </row>
    <row r="44" spans="1:12">
      <c r="A44" s="305"/>
      <c r="B44" s="320"/>
      <c r="C44" s="305"/>
      <c r="D44" s="306"/>
      <c r="E44" s="305"/>
      <c r="F44" s="306"/>
      <c r="G44" s="305"/>
      <c r="H44" s="305"/>
      <c r="I44" s="305"/>
      <c r="J44" s="305"/>
      <c r="K44" s="305"/>
      <c r="L44" s="305"/>
    </row>
    <row r="45" spans="1:12">
      <c r="A45" s="305" t="s">
        <v>90</v>
      </c>
      <c r="B45" s="320">
        <v>38500000</v>
      </c>
      <c r="C45" s="305">
        <v>271</v>
      </c>
      <c r="D45" s="306">
        <v>45475</v>
      </c>
      <c r="E45" s="305">
        <v>30</v>
      </c>
      <c r="F45" s="306">
        <f t="shared" si="1"/>
        <v>45505</v>
      </c>
      <c r="G45" s="305">
        <f t="shared" si="2"/>
        <v>60</v>
      </c>
      <c r="H45" s="305"/>
      <c r="I45" s="305"/>
      <c r="J45" s="321">
        <f t="shared" ref="J45:J46" si="11">B45</f>
        <v>38500000</v>
      </c>
      <c r="K45" s="305"/>
      <c r="L45" s="305"/>
    </row>
    <row r="46" spans="1:12">
      <c r="A46" s="305"/>
      <c r="B46" s="320">
        <v>38500000</v>
      </c>
      <c r="C46" s="305">
        <v>311</v>
      </c>
      <c r="D46" s="306">
        <v>45500</v>
      </c>
      <c r="E46" s="305">
        <v>30</v>
      </c>
      <c r="F46" s="306">
        <f t="shared" ref="F46:F48" si="12">D46+E46</f>
        <v>45530</v>
      </c>
      <c r="G46" s="305">
        <f t="shared" si="2"/>
        <v>35</v>
      </c>
      <c r="H46" s="305"/>
      <c r="I46" s="305"/>
      <c r="J46" s="321">
        <f t="shared" si="11"/>
        <v>38500000</v>
      </c>
      <c r="K46" s="305"/>
      <c r="L46" s="305"/>
    </row>
    <row r="47" spans="1:12">
      <c r="A47" s="305"/>
      <c r="B47" s="320">
        <v>26500000</v>
      </c>
      <c r="C47" s="305">
        <v>365</v>
      </c>
      <c r="D47" s="306">
        <v>45523</v>
      </c>
      <c r="E47" s="305">
        <v>30</v>
      </c>
      <c r="F47" s="306">
        <f t="shared" si="12"/>
        <v>45553</v>
      </c>
      <c r="G47" s="305">
        <f t="shared" si="2"/>
        <v>12</v>
      </c>
      <c r="H47" s="305"/>
      <c r="I47" s="321">
        <f t="shared" ref="I47:I48" si="13">B47</f>
        <v>26500000</v>
      </c>
      <c r="J47" s="305"/>
      <c r="K47" s="305"/>
      <c r="L47" s="305"/>
    </row>
    <row r="48" spans="1:12">
      <c r="A48" s="305"/>
      <c r="B48" s="320">
        <v>2537500</v>
      </c>
      <c r="C48" s="305">
        <v>366</v>
      </c>
      <c r="D48" s="306">
        <v>45523</v>
      </c>
      <c r="E48" s="305">
        <v>30</v>
      </c>
      <c r="F48" s="306">
        <f t="shared" si="12"/>
        <v>45553</v>
      </c>
      <c r="G48" s="305">
        <f t="shared" si="2"/>
        <v>12</v>
      </c>
      <c r="H48" s="305"/>
      <c r="I48" s="321">
        <f t="shared" si="13"/>
        <v>2537500</v>
      </c>
      <c r="J48" s="305"/>
      <c r="K48" s="305"/>
      <c r="L48" s="305"/>
    </row>
    <row r="49" spans="1:13">
      <c r="A49" s="305"/>
      <c r="B49" s="320"/>
      <c r="C49" s="305"/>
      <c r="D49" s="305"/>
      <c r="E49" s="305"/>
      <c r="F49" s="306"/>
      <c r="G49" s="305"/>
      <c r="H49" s="305"/>
      <c r="I49" s="305"/>
      <c r="J49" s="305"/>
      <c r="K49" s="305"/>
      <c r="L49" s="305"/>
    </row>
    <row r="50" spans="1:13">
      <c r="A50" s="305" t="s">
        <v>235</v>
      </c>
      <c r="B50" s="320">
        <v>58185000</v>
      </c>
      <c r="C50" s="305">
        <v>416</v>
      </c>
      <c r="D50" s="306">
        <v>45548</v>
      </c>
      <c r="E50" s="305">
        <v>30</v>
      </c>
      <c r="F50" s="306">
        <f t="shared" si="1"/>
        <v>45578</v>
      </c>
      <c r="G50" s="305">
        <f t="shared" si="2"/>
        <v>-13</v>
      </c>
      <c r="H50" s="321">
        <f t="shared" ref="H50:H52" si="14">B50</f>
        <v>58185000</v>
      </c>
      <c r="I50" s="305"/>
      <c r="J50" s="305"/>
      <c r="K50" s="305"/>
      <c r="L50" s="305"/>
    </row>
    <row r="51" spans="1:13">
      <c r="A51" s="305"/>
      <c r="B51" s="320">
        <v>27153000</v>
      </c>
      <c r="C51" s="305">
        <v>417</v>
      </c>
      <c r="D51" s="306">
        <v>45548</v>
      </c>
      <c r="E51" s="305">
        <v>30</v>
      </c>
      <c r="F51" s="306">
        <f t="shared" ref="F51:F52" si="15">D51+E51</f>
        <v>45578</v>
      </c>
      <c r="G51" s="305">
        <f t="shared" si="2"/>
        <v>-13</v>
      </c>
      <c r="H51" s="321">
        <f t="shared" si="14"/>
        <v>27153000</v>
      </c>
      <c r="I51" s="305"/>
      <c r="J51" s="305"/>
      <c r="K51" s="305"/>
      <c r="L51" s="305"/>
    </row>
    <row r="52" spans="1:13">
      <c r="A52" s="305"/>
      <c r="B52" s="320">
        <f>9050000-5</f>
        <v>9049995</v>
      </c>
      <c r="C52" s="305">
        <v>418</v>
      </c>
      <c r="D52" s="306">
        <v>45548</v>
      </c>
      <c r="E52" s="305">
        <v>30</v>
      </c>
      <c r="F52" s="306">
        <f t="shared" si="15"/>
        <v>45578</v>
      </c>
      <c r="G52" s="305">
        <f t="shared" si="2"/>
        <v>-13</v>
      </c>
      <c r="H52" s="321">
        <f t="shared" si="14"/>
        <v>9049995</v>
      </c>
      <c r="I52" s="305"/>
      <c r="J52" s="305"/>
      <c r="K52" s="305"/>
      <c r="L52" s="305"/>
    </row>
    <row r="53" spans="1:13">
      <c r="A53" s="305"/>
      <c r="B53" s="320"/>
      <c r="C53" s="305"/>
      <c r="D53" s="305"/>
      <c r="E53" s="305"/>
      <c r="F53" s="306"/>
      <c r="G53" s="305"/>
      <c r="H53" s="305"/>
      <c r="I53" s="305"/>
      <c r="J53" s="305"/>
      <c r="K53" s="305"/>
      <c r="L53" s="305"/>
    </row>
    <row r="54" spans="1:13">
      <c r="A54" s="305" t="s">
        <v>250</v>
      </c>
      <c r="B54" s="320">
        <v>463814236</v>
      </c>
      <c r="C54" s="305">
        <v>404</v>
      </c>
      <c r="D54" s="306">
        <v>45556</v>
      </c>
      <c r="E54" s="305">
        <v>30</v>
      </c>
      <c r="F54" s="306">
        <f t="shared" si="1"/>
        <v>45586</v>
      </c>
      <c r="G54" s="305">
        <f t="shared" si="2"/>
        <v>-21</v>
      </c>
      <c r="H54" s="321">
        <f t="shared" ref="H54:H55" si="16">B54</f>
        <v>463814236</v>
      </c>
      <c r="I54" s="305"/>
      <c r="J54" s="305"/>
      <c r="K54" s="305"/>
      <c r="L54" s="305"/>
    </row>
    <row r="55" spans="1:13">
      <c r="A55" s="305"/>
      <c r="B55" s="320">
        <v>179764092</v>
      </c>
      <c r="C55" s="305">
        <v>410</v>
      </c>
      <c r="D55" s="306">
        <v>45559</v>
      </c>
      <c r="E55" s="305">
        <v>30</v>
      </c>
      <c r="F55" s="306">
        <f t="shared" ref="F55" si="17">D55+E55</f>
        <v>45589</v>
      </c>
      <c r="G55" s="305">
        <f t="shared" si="2"/>
        <v>-24</v>
      </c>
      <c r="H55" s="321">
        <f t="shared" si="16"/>
        <v>179764092</v>
      </c>
      <c r="I55" s="305"/>
      <c r="J55" s="305"/>
      <c r="K55" s="305"/>
      <c r="L55" s="305"/>
    </row>
    <row r="56" spans="1:13">
      <c r="A56" s="305"/>
      <c r="B56" s="320"/>
      <c r="C56" s="305"/>
      <c r="D56" s="305"/>
      <c r="E56" s="305"/>
      <c r="F56" s="306"/>
      <c r="G56" s="305"/>
      <c r="H56" s="305"/>
      <c r="I56" s="305"/>
      <c r="J56" s="305"/>
      <c r="K56" s="305"/>
      <c r="L56" s="305"/>
    </row>
    <row r="57" spans="1:13">
      <c r="A57" s="305" t="s">
        <v>240</v>
      </c>
      <c r="B57" s="320">
        <v>19068210</v>
      </c>
      <c r="C57" s="305"/>
      <c r="D57" s="306">
        <v>45292</v>
      </c>
      <c r="E57" s="305">
        <v>30</v>
      </c>
      <c r="F57" s="306">
        <f t="shared" si="1"/>
        <v>45322</v>
      </c>
      <c r="G57" s="305">
        <f t="shared" si="2"/>
        <v>243</v>
      </c>
      <c r="H57" s="305"/>
      <c r="I57" s="305"/>
      <c r="J57" s="305"/>
      <c r="K57" s="305"/>
      <c r="L57" s="321">
        <f>B57</f>
        <v>19068210</v>
      </c>
      <c r="M57" s="303" t="s">
        <v>788</v>
      </c>
    </row>
    <row r="58" spans="1:13">
      <c r="A58" s="305"/>
      <c r="B58" s="320"/>
      <c r="C58" s="305"/>
      <c r="D58" s="305"/>
      <c r="E58" s="305"/>
      <c r="F58" s="306"/>
      <c r="G58" s="305"/>
      <c r="H58" s="305"/>
      <c r="I58" s="305"/>
      <c r="J58" s="305"/>
      <c r="K58" s="305"/>
      <c r="L58" s="305"/>
    </row>
    <row r="59" spans="1:13">
      <c r="A59" s="305" t="s">
        <v>774</v>
      </c>
      <c r="B59" s="320">
        <f>267923543*0</f>
        <v>0</v>
      </c>
      <c r="C59" s="305">
        <v>405</v>
      </c>
      <c r="D59" s="306">
        <v>45558</v>
      </c>
      <c r="E59" s="305">
        <v>30</v>
      </c>
      <c r="F59" s="306">
        <f t="shared" si="1"/>
        <v>45588</v>
      </c>
      <c r="G59" s="305">
        <f t="shared" si="2"/>
        <v>-23</v>
      </c>
      <c r="H59" s="321">
        <f>B59</f>
        <v>0</v>
      </c>
      <c r="I59" s="305"/>
      <c r="J59" s="305"/>
      <c r="K59" s="305"/>
      <c r="L59" s="305"/>
    </row>
    <row r="60" spans="1:13">
      <c r="A60" s="305"/>
      <c r="B60" s="320"/>
      <c r="C60" s="305"/>
      <c r="D60" s="305"/>
      <c r="E60" s="305"/>
      <c r="F60" s="306"/>
      <c r="G60" s="305"/>
      <c r="H60" s="305"/>
      <c r="I60" s="305"/>
      <c r="J60" s="305"/>
      <c r="K60" s="305"/>
      <c r="L60" s="305"/>
    </row>
    <row r="61" spans="1:13">
      <c r="A61" s="305" t="s">
        <v>775</v>
      </c>
      <c r="B61" s="320">
        <v>39720732</v>
      </c>
      <c r="C61" s="305">
        <v>388</v>
      </c>
      <c r="D61" s="306">
        <v>45549</v>
      </c>
      <c r="E61" s="305">
        <v>30</v>
      </c>
      <c r="F61" s="306">
        <f t="shared" si="1"/>
        <v>45579</v>
      </c>
      <c r="G61" s="305">
        <f t="shared" si="2"/>
        <v>-14</v>
      </c>
      <c r="H61" s="321">
        <f>B61</f>
        <v>39720732</v>
      </c>
      <c r="I61" s="305"/>
      <c r="J61" s="305"/>
      <c r="K61" s="305"/>
      <c r="L61" s="305"/>
    </row>
    <row r="62" spans="1:13">
      <c r="A62" s="305"/>
      <c r="B62" s="320"/>
      <c r="C62" s="305"/>
      <c r="D62" s="305"/>
      <c r="E62" s="305"/>
      <c r="F62" s="306"/>
      <c r="G62" s="305"/>
      <c r="H62" s="305"/>
      <c r="I62" s="305"/>
      <c r="J62" s="305"/>
      <c r="K62" s="305"/>
      <c r="L62" s="305"/>
    </row>
    <row r="63" spans="1:13">
      <c r="A63" s="305" t="s">
        <v>367</v>
      </c>
      <c r="B63" s="320">
        <v>971250</v>
      </c>
      <c r="C63" s="305"/>
      <c r="D63" s="306">
        <v>45292</v>
      </c>
      <c r="E63" s="305">
        <v>30</v>
      </c>
      <c r="F63" s="306">
        <f t="shared" si="1"/>
        <v>45322</v>
      </c>
      <c r="G63" s="305">
        <f t="shared" si="2"/>
        <v>243</v>
      </c>
      <c r="H63" s="305"/>
      <c r="I63" s="305"/>
      <c r="J63" s="305"/>
      <c r="K63" s="305"/>
      <c r="L63" s="321">
        <f>B63</f>
        <v>971250</v>
      </c>
      <c r="M63" s="303" t="s">
        <v>788</v>
      </c>
    </row>
    <row r="64" spans="1:13">
      <c r="A64" s="305"/>
      <c r="B64" s="320"/>
      <c r="C64" s="305"/>
      <c r="D64" s="306"/>
      <c r="E64" s="305"/>
      <c r="F64" s="306"/>
      <c r="G64" s="305"/>
      <c r="H64" s="305"/>
      <c r="I64" s="305"/>
      <c r="J64" s="305"/>
      <c r="K64" s="305"/>
      <c r="L64" s="305"/>
    </row>
    <row r="65" spans="1:12">
      <c r="A65" s="305" t="s">
        <v>368</v>
      </c>
      <c r="B65" s="342">
        <v>966753</v>
      </c>
      <c r="C65" s="305"/>
      <c r="D65" s="306">
        <v>45523</v>
      </c>
      <c r="E65" s="305">
        <v>30</v>
      </c>
      <c r="F65" s="306">
        <f t="shared" ref="F65:F86" si="18">D65+E65</f>
        <v>45553</v>
      </c>
      <c r="G65" s="305">
        <f t="shared" si="2"/>
        <v>12</v>
      </c>
      <c r="H65" s="305"/>
      <c r="I65" s="321">
        <f t="shared" ref="I65:I68" si="19">B65</f>
        <v>966753</v>
      </c>
      <c r="J65" s="305"/>
      <c r="K65" s="305"/>
      <c r="L65" s="305"/>
    </row>
    <row r="66" spans="1:12">
      <c r="A66" s="305" t="s">
        <v>368</v>
      </c>
      <c r="B66" s="342">
        <v>23742900</v>
      </c>
      <c r="C66" s="322" t="s">
        <v>802</v>
      </c>
      <c r="D66" s="306">
        <v>45523</v>
      </c>
      <c r="E66" s="305">
        <v>30</v>
      </c>
      <c r="F66" s="306">
        <f t="shared" si="18"/>
        <v>45553</v>
      </c>
      <c r="G66" s="305">
        <f t="shared" si="2"/>
        <v>12</v>
      </c>
      <c r="H66" s="305"/>
      <c r="I66" s="321">
        <f t="shared" si="19"/>
        <v>23742900</v>
      </c>
      <c r="J66" s="305"/>
      <c r="K66" s="305"/>
      <c r="L66" s="305"/>
    </row>
    <row r="67" spans="1:12">
      <c r="A67" s="305" t="s">
        <v>368</v>
      </c>
      <c r="B67" s="342">
        <v>11680141</v>
      </c>
      <c r="C67" s="322" t="s">
        <v>611</v>
      </c>
      <c r="D67" s="306">
        <v>45529</v>
      </c>
      <c r="E67" s="305">
        <v>30</v>
      </c>
      <c r="F67" s="306">
        <f t="shared" si="18"/>
        <v>45559</v>
      </c>
      <c r="G67" s="305">
        <f t="shared" si="2"/>
        <v>6</v>
      </c>
      <c r="H67" s="305"/>
      <c r="I67" s="321">
        <f t="shared" si="19"/>
        <v>11680141</v>
      </c>
      <c r="J67" s="305"/>
      <c r="K67" s="305"/>
      <c r="L67" s="305"/>
    </row>
    <row r="68" spans="1:12">
      <c r="A68" s="305" t="s">
        <v>368</v>
      </c>
      <c r="B68" s="342">
        <v>13805625</v>
      </c>
      <c r="C68" s="322" t="s">
        <v>803</v>
      </c>
      <c r="D68" s="306">
        <v>45534</v>
      </c>
      <c r="E68" s="305">
        <v>30</v>
      </c>
      <c r="F68" s="306">
        <f t="shared" si="18"/>
        <v>45564</v>
      </c>
      <c r="G68" s="305">
        <f t="shared" si="2"/>
        <v>1</v>
      </c>
      <c r="H68" s="305"/>
      <c r="I68" s="321">
        <f t="shared" si="19"/>
        <v>13805625</v>
      </c>
      <c r="J68" s="305"/>
      <c r="K68" s="305"/>
      <c r="L68" s="305"/>
    </row>
    <row r="69" spans="1:12">
      <c r="A69" s="305" t="s">
        <v>368</v>
      </c>
      <c r="B69" s="342">
        <v>12337650</v>
      </c>
      <c r="C69" s="322" t="s">
        <v>804</v>
      </c>
      <c r="D69" s="306">
        <v>45535</v>
      </c>
      <c r="E69" s="305">
        <v>30</v>
      </c>
      <c r="F69" s="306">
        <f t="shared" si="18"/>
        <v>45565</v>
      </c>
      <c r="G69" s="305">
        <f t="shared" si="2"/>
        <v>0</v>
      </c>
      <c r="H69" s="321">
        <f t="shared" ref="H69:H86" si="20">B69</f>
        <v>12337650</v>
      </c>
      <c r="I69" s="305"/>
      <c r="J69" s="305"/>
      <c r="K69" s="305"/>
      <c r="L69" s="305"/>
    </row>
    <row r="70" spans="1:12">
      <c r="A70" s="305" t="s">
        <v>368</v>
      </c>
      <c r="B70" s="342">
        <v>16516800</v>
      </c>
      <c r="C70" s="322" t="s">
        <v>789</v>
      </c>
      <c r="D70" s="306">
        <v>45540</v>
      </c>
      <c r="E70" s="305">
        <v>30</v>
      </c>
      <c r="F70" s="306">
        <f t="shared" si="18"/>
        <v>45570</v>
      </c>
      <c r="G70" s="305">
        <f t="shared" si="2"/>
        <v>-5</v>
      </c>
      <c r="H70" s="321">
        <f t="shared" si="20"/>
        <v>16516800</v>
      </c>
      <c r="I70" s="305"/>
      <c r="J70" s="305"/>
      <c r="K70" s="305"/>
      <c r="L70" s="305"/>
    </row>
    <row r="71" spans="1:12">
      <c r="A71" s="305" t="s">
        <v>368</v>
      </c>
      <c r="B71" s="342">
        <v>46109400</v>
      </c>
      <c r="C71" s="322" t="s">
        <v>790</v>
      </c>
      <c r="D71" s="306">
        <v>45542</v>
      </c>
      <c r="E71" s="305">
        <v>30</v>
      </c>
      <c r="F71" s="306">
        <f t="shared" si="18"/>
        <v>45572</v>
      </c>
      <c r="G71" s="305">
        <f t="shared" si="2"/>
        <v>-7</v>
      </c>
      <c r="H71" s="321">
        <f t="shared" si="20"/>
        <v>46109400</v>
      </c>
      <c r="I71" s="305"/>
      <c r="J71" s="305"/>
      <c r="K71" s="305"/>
      <c r="L71" s="305"/>
    </row>
    <row r="72" spans="1:12">
      <c r="A72" s="305" t="s">
        <v>368</v>
      </c>
      <c r="B72" s="342">
        <v>19297350</v>
      </c>
      <c r="C72" s="322" t="s">
        <v>616</v>
      </c>
      <c r="D72" s="306">
        <v>45542</v>
      </c>
      <c r="E72" s="305">
        <v>30</v>
      </c>
      <c r="F72" s="306">
        <f t="shared" si="18"/>
        <v>45572</v>
      </c>
      <c r="G72" s="305">
        <f t="shared" si="2"/>
        <v>-7</v>
      </c>
      <c r="H72" s="321">
        <f t="shared" si="20"/>
        <v>19297350</v>
      </c>
      <c r="I72" s="305"/>
      <c r="J72" s="305"/>
      <c r="K72" s="305"/>
      <c r="L72" s="305"/>
    </row>
    <row r="73" spans="1:12">
      <c r="A73" s="305" t="s">
        <v>368</v>
      </c>
      <c r="B73" s="342">
        <v>5536224</v>
      </c>
      <c r="C73" s="322" t="s">
        <v>617</v>
      </c>
      <c r="D73" s="306">
        <v>45543</v>
      </c>
      <c r="E73" s="305">
        <v>30</v>
      </c>
      <c r="F73" s="306">
        <f t="shared" si="18"/>
        <v>45573</v>
      </c>
      <c r="G73" s="305">
        <f t="shared" si="2"/>
        <v>-8</v>
      </c>
      <c r="H73" s="321">
        <f t="shared" si="20"/>
        <v>5536224</v>
      </c>
      <c r="I73" s="305"/>
      <c r="J73" s="305"/>
      <c r="K73" s="305"/>
      <c r="L73" s="305"/>
    </row>
    <row r="74" spans="1:12">
      <c r="A74" s="305" t="s">
        <v>368</v>
      </c>
      <c r="B74" s="342">
        <v>1858140</v>
      </c>
      <c r="C74" s="322" t="s">
        <v>791</v>
      </c>
      <c r="D74" s="306">
        <v>45544</v>
      </c>
      <c r="E74" s="305">
        <v>30</v>
      </c>
      <c r="F74" s="306">
        <f t="shared" si="18"/>
        <v>45574</v>
      </c>
      <c r="G74" s="305">
        <f t="shared" si="2"/>
        <v>-9</v>
      </c>
      <c r="H74" s="321">
        <f t="shared" si="20"/>
        <v>1858140</v>
      </c>
      <c r="I74" s="305"/>
      <c r="J74" s="305"/>
      <c r="K74" s="305"/>
      <c r="L74" s="305"/>
    </row>
    <row r="75" spans="1:12">
      <c r="A75" s="305" t="s">
        <v>368</v>
      </c>
      <c r="B75" s="342">
        <v>6667281</v>
      </c>
      <c r="C75" s="322" t="s">
        <v>792</v>
      </c>
      <c r="D75" s="306">
        <v>45544</v>
      </c>
      <c r="E75" s="305">
        <v>30</v>
      </c>
      <c r="F75" s="306">
        <f t="shared" si="18"/>
        <v>45574</v>
      </c>
      <c r="G75" s="305">
        <f t="shared" si="2"/>
        <v>-9</v>
      </c>
      <c r="H75" s="321">
        <f t="shared" si="20"/>
        <v>6667281</v>
      </c>
      <c r="I75" s="305"/>
      <c r="J75" s="305"/>
      <c r="K75" s="305"/>
      <c r="L75" s="305"/>
    </row>
    <row r="76" spans="1:12">
      <c r="A76" s="305" t="s">
        <v>368</v>
      </c>
      <c r="B76" s="342">
        <v>18237300</v>
      </c>
      <c r="C76" s="322" t="s">
        <v>793</v>
      </c>
      <c r="D76" s="306">
        <v>45548</v>
      </c>
      <c r="E76" s="305">
        <v>30</v>
      </c>
      <c r="F76" s="306">
        <f t="shared" si="18"/>
        <v>45578</v>
      </c>
      <c r="G76" s="305">
        <f t="shared" si="2"/>
        <v>-13</v>
      </c>
      <c r="H76" s="321">
        <f t="shared" si="20"/>
        <v>18237300</v>
      </c>
      <c r="I76" s="305"/>
      <c r="J76" s="305"/>
      <c r="K76" s="305"/>
      <c r="L76" s="305"/>
    </row>
    <row r="77" spans="1:12">
      <c r="A77" s="305" t="s">
        <v>368</v>
      </c>
      <c r="B77" s="342">
        <v>2724783</v>
      </c>
      <c r="C77" s="322" t="s">
        <v>794</v>
      </c>
      <c r="D77" s="306">
        <v>45548</v>
      </c>
      <c r="E77" s="305">
        <v>30</v>
      </c>
      <c r="F77" s="306">
        <f t="shared" si="18"/>
        <v>45578</v>
      </c>
      <c r="G77" s="305">
        <f t="shared" si="2"/>
        <v>-13</v>
      </c>
      <c r="H77" s="321">
        <f t="shared" si="20"/>
        <v>2724783</v>
      </c>
      <c r="I77" s="305"/>
      <c r="J77" s="305"/>
      <c r="K77" s="305"/>
      <c r="L77" s="305"/>
    </row>
    <row r="78" spans="1:12">
      <c r="A78" s="305" t="s">
        <v>368</v>
      </c>
      <c r="B78" s="342">
        <v>13850025</v>
      </c>
      <c r="C78" s="322" t="s">
        <v>795</v>
      </c>
      <c r="D78" s="306">
        <v>45551</v>
      </c>
      <c r="E78" s="305">
        <v>30</v>
      </c>
      <c r="F78" s="306">
        <f t="shared" si="18"/>
        <v>45581</v>
      </c>
      <c r="G78" s="305">
        <f t="shared" si="2"/>
        <v>-16</v>
      </c>
      <c r="H78" s="321">
        <f t="shared" si="20"/>
        <v>13850025</v>
      </c>
      <c r="I78" s="305"/>
      <c r="J78" s="305"/>
      <c r="K78" s="305"/>
      <c r="L78" s="305"/>
    </row>
    <row r="79" spans="1:12">
      <c r="A79" s="305" t="s">
        <v>368</v>
      </c>
      <c r="B79" s="342">
        <v>5505600</v>
      </c>
      <c r="C79" s="322" t="s">
        <v>796</v>
      </c>
      <c r="D79" s="306">
        <v>45551</v>
      </c>
      <c r="E79" s="305">
        <v>30</v>
      </c>
      <c r="F79" s="306">
        <f t="shared" si="18"/>
        <v>45581</v>
      </c>
      <c r="G79" s="305">
        <f t="shared" si="2"/>
        <v>-16</v>
      </c>
      <c r="H79" s="321">
        <f t="shared" si="20"/>
        <v>5505600</v>
      </c>
      <c r="I79" s="305"/>
      <c r="J79" s="305"/>
      <c r="K79" s="305"/>
      <c r="L79" s="305"/>
    </row>
    <row r="80" spans="1:12">
      <c r="A80" s="305" t="s">
        <v>368</v>
      </c>
      <c r="B80" s="342">
        <v>6422704</v>
      </c>
      <c r="C80" s="322" t="s">
        <v>644</v>
      </c>
      <c r="D80" s="306">
        <v>45551</v>
      </c>
      <c r="E80" s="305">
        <v>30</v>
      </c>
      <c r="F80" s="306">
        <f t="shared" si="18"/>
        <v>45581</v>
      </c>
      <c r="G80" s="305">
        <f t="shared" si="2"/>
        <v>-16</v>
      </c>
      <c r="H80" s="321">
        <f t="shared" si="20"/>
        <v>6422704</v>
      </c>
      <c r="I80" s="305"/>
      <c r="J80" s="305"/>
      <c r="K80" s="305"/>
      <c r="L80" s="305"/>
    </row>
    <row r="81" spans="1:13">
      <c r="A81" s="305" t="s">
        <v>368</v>
      </c>
      <c r="B81" s="342">
        <v>23742900</v>
      </c>
      <c r="C81" s="322" t="s">
        <v>645</v>
      </c>
      <c r="D81" s="306">
        <v>45552</v>
      </c>
      <c r="E81" s="305">
        <v>30</v>
      </c>
      <c r="F81" s="306">
        <f t="shared" si="18"/>
        <v>45582</v>
      </c>
      <c r="G81" s="305">
        <f t="shared" si="2"/>
        <v>-17</v>
      </c>
      <c r="H81" s="321">
        <f t="shared" si="20"/>
        <v>23742900</v>
      </c>
      <c r="I81" s="305"/>
      <c r="J81" s="305"/>
      <c r="K81" s="305"/>
      <c r="L81" s="305"/>
    </row>
    <row r="82" spans="1:13">
      <c r="A82" s="305" t="s">
        <v>368</v>
      </c>
      <c r="B82" s="342">
        <v>1070450</v>
      </c>
      <c r="C82" s="322" t="s">
        <v>797</v>
      </c>
      <c r="D82" s="306">
        <v>45553</v>
      </c>
      <c r="E82" s="305">
        <v>30</v>
      </c>
      <c r="F82" s="306">
        <f t="shared" si="18"/>
        <v>45583</v>
      </c>
      <c r="G82" s="305">
        <f t="shared" si="2"/>
        <v>-18</v>
      </c>
      <c r="H82" s="321">
        <f t="shared" si="20"/>
        <v>1070450</v>
      </c>
      <c r="I82" s="305"/>
      <c r="J82" s="305"/>
      <c r="K82" s="305"/>
      <c r="L82" s="305"/>
    </row>
    <row r="83" spans="1:13">
      <c r="A83" s="305" t="s">
        <v>368</v>
      </c>
      <c r="B83" s="342">
        <v>16251387</v>
      </c>
      <c r="C83" s="322" t="s">
        <v>798</v>
      </c>
      <c r="D83" s="306">
        <v>45557</v>
      </c>
      <c r="E83" s="305">
        <v>30</v>
      </c>
      <c r="F83" s="306">
        <f t="shared" si="18"/>
        <v>45587</v>
      </c>
      <c r="G83" s="305">
        <f t="shared" si="2"/>
        <v>-22</v>
      </c>
      <c r="H83" s="321">
        <f t="shared" si="20"/>
        <v>16251387</v>
      </c>
      <c r="I83" s="305"/>
      <c r="J83" s="305"/>
      <c r="K83" s="305"/>
      <c r="L83" s="305"/>
    </row>
    <row r="84" spans="1:13">
      <c r="A84" s="305" t="s">
        <v>368</v>
      </c>
      <c r="B84" s="342">
        <v>18553872</v>
      </c>
      <c r="C84" s="322" t="s">
        <v>799</v>
      </c>
      <c r="D84" s="306">
        <v>45557</v>
      </c>
      <c r="E84" s="305">
        <v>30</v>
      </c>
      <c r="F84" s="306">
        <f t="shared" si="18"/>
        <v>45587</v>
      </c>
      <c r="G84" s="305">
        <f t="shared" si="2"/>
        <v>-22</v>
      </c>
      <c r="H84" s="321">
        <f t="shared" si="20"/>
        <v>18553872</v>
      </c>
      <c r="I84" s="305"/>
      <c r="J84" s="305"/>
      <c r="K84" s="305"/>
      <c r="L84" s="305"/>
    </row>
    <row r="85" spans="1:13">
      <c r="A85" s="305" t="s">
        <v>368</v>
      </c>
      <c r="B85" s="342">
        <v>11072250</v>
      </c>
      <c r="C85" s="322" t="s">
        <v>800</v>
      </c>
      <c r="D85" s="306">
        <v>45564</v>
      </c>
      <c r="E85" s="305">
        <v>30</v>
      </c>
      <c r="F85" s="306">
        <f t="shared" si="18"/>
        <v>45594</v>
      </c>
      <c r="G85" s="305">
        <f t="shared" si="2"/>
        <v>-29</v>
      </c>
      <c r="H85" s="321">
        <f t="shared" si="20"/>
        <v>11072250</v>
      </c>
      <c r="I85" s="305"/>
      <c r="J85" s="305"/>
      <c r="K85" s="305"/>
      <c r="L85" s="305"/>
    </row>
    <row r="86" spans="1:13">
      <c r="A86" s="305" t="s">
        <v>368</v>
      </c>
      <c r="B86" s="342">
        <v>2693304</v>
      </c>
      <c r="C86" s="322" t="s">
        <v>801</v>
      </c>
      <c r="D86" s="306">
        <v>45565</v>
      </c>
      <c r="E86" s="305">
        <v>30</v>
      </c>
      <c r="F86" s="306">
        <f t="shared" si="18"/>
        <v>45595</v>
      </c>
      <c r="G86" s="305">
        <f t="shared" si="2"/>
        <v>-30</v>
      </c>
      <c r="H86" s="321">
        <f t="shared" si="20"/>
        <v>2693304</v>
      </c>
      <c r="I86" s="305"/>
      <c r="J86" s="305"/>
      <c r="K86" s="305"/>
      <c r="L86" s="305"/>
    </row>
    <row r="87" spans="1:13">
      <c r="A87" s="305"/>
      <c r="B87" s="320"/>
      <c r="C87" s="305"/>
      <c r="D87" s="305"/>
      <c r="E87" s="305"/>
      <c r="F87" s="306"/>
      <c r="G87" s="305"/>
      <c r="H87" s="305"/>
      <c r="I87" s="305"/>
      <c r="J87" s="305"/>
      <c r="K87" s="305"/>
      <c r="L87" s="305"/>
    </row>
    <row r="88" spans="1:13" ht="14.5">
      <c r="A88" s="305" t="s">
        <v>298</v>
      </c>
      <c r="B88" s="320">
        <f>310906705*0</f>
        <v>0</v>
      </c>
      <c r="C88" s="271">
        <v>76</v>
      </c>
      <c r="D88" s="76">
        <v>44956</v>
      </c>
      <c r="E88" s="305">
        <v>30</v>
      </c>
      <c r="F88" s="306">
        <f t="shared" si="1"/>
        <v>44986</v>
      </c>
      <c r="G88" s="305">
        <f t="shared" si="2"/>
        <v>579</v>
      </c>
      <c r="H88" s="305"/>
      <c r="I88" s="305"/>
      <c r="J88" s="305"/>
      <c r="K88" s="305"/>
      <c r="L88" s="321">
        <f>B88</f>
        <v>0</v>
      </c>
      <c r="M88" s="303" t="s">
        <v>805</v>
      </c>
    </row>
    <row r="89" spans="1:13">
      <c r="A89" s="305"/>
      <c r="B89" s="320"/>
      <c r="C89" s="305"/>
      <c r="D89" s="305"/>
      <c r="E89" s="305"/>
      <c r="F89" s="306"/>
      <c r="G89" s="305"/>
      <c r="H89" s="305"/>
      <c r="I89" s="305"/>
      <c r="J89" s="305"/>
      <c r="K89" s="305"/>
      <c r="L89" s="305"/>
    </row>
    <row r="90" spans="1:13">
      <c r="A90" s="305" t="s">
        <v>30</v>
      </c>
      <c r="B90" s="320">
        <v>67680000</v>
      </c>
      <c r="C90" s="305">
        <v>433</v>
      </c>
      <c r="D90" s="306">
        <v>45549</v>
      </c>
      <c r="E90" s="305">
        <v>30</v>
      </c>
      <c r="F90" s="306">
        <f t="shared" ref="F90" si="21">D90+E90</f>
        <v>45579</v>
      </c>
      <c r="G90" s="305">
        <f t="shared" si="2"/>
        <v>-14</v>
      </c>
      <c r="H90" s="321">
        <f t="shared" ref="H90:H92" si="22">B90</f>
        <v>67680000</v>
      </c>
      <c r="I90" s="305"/>
      <c r="J90" s="305"/>
      <c r="K90" s="305"/>
      <c r="L90" s="305"/>
    </row>
    <row r="91" spans="1:13">
      <c r="A91" s="305" t="s">
        <v>30</v>
      </c>
      <c r="B91" s="320">
        <v>4445196</v>
      </c>
      <c r="C91" s="305">
        <v>385</v>
      </c>
      <c r="D91" s="306">
        <v>45548</v>
      </c>
      <c r="E91" s="305">
        <v>30</v>
      </c>
      <c r="F91" s="306">
        <f t="shared" ref="F91:F92" si="23">D91+E91</f>
        <v>45578</v>
      </c>
      <c r="G91" s="305">
        <f t="shared" si="2"/>
        <v>-13</v>
      </c>
      <c r="H91" s="321">
        <f t="shared" si="22"/>
        <v>4445196</v>
      </c>
      <c r="I91" s="305"/>
      <c r="J91" s="305"/>
      <c r="K91" s="305"/>
      <c r="L91" s="305"/>
    </row>
    <row r="92" spans="1:13">
      <c r="A92" s="305" t="s">
        <v>30</v>
      </c>
      <c r="B92" s="320">
        <v>25783692</v>
      </c>
      <c r="C92" s="305">
        <v>422</v>
      </c>
      <c r="D92" s="306">
        <v>45563</v>
      </c>
      <c r="E92" s="305">
        <v>30</v>
      </c>
      <c r="F92" s="306">
        <f t="shared" si="23"/>
        <v>45593</v>
      </c>
      <c r="G92" s="305">
        <f t="shared" si="2"/>
        <v>-28</v>
      </c>
      <c r="H92" s="321">
        <f t="shared" si="22"/>
        <v>25783692</v>
      </c>
      <c r="I92" s="305"/>
      <c r="J92" s="305"/>
      <c r="K92" s="305"/>
      <c r="L92" s="305"/>
    </row>
    <row r="93" spans="1:13">
      <c r="A93" s="305"/>
      <c r="B93" s="320"/>
      <c r="C93" s="305"/>
      <c r="D93" s="305"/>
      <c r="E93" s="305"/>
      <c r="F93" s="306"/>
      <c r="G93" s="305"/>
      <c r="H93" s="305"/>
      <c r="I93" s="305"/>
      <c r="J93" s="305"/>
      <c r="K93" s="305"/>
      <c r="L93" s="305"/>
    </row>
    <row r="94" spans="1:13">
      <c r="A94" s="305" t="s">
        <v>622</v>
      </c>
      <c r="B94" s="320">
        <v>177600000</v>
      </c>
      <c r="C94" s="305">
        <v>392</v>
      </c>
      <c r="D94" s="306">
        <v>45546</v>
      </c>
      <c r="E94" s="305">
        <v>30</v>
      </c>
      <c r="F94" s="306">
        <f t="shared" si="1"/>
        <v>45576</v>
      </c>
      <c r="G94" s="305">
        <f t="shared" si="2"/>
        <v>-11</v>
      </c>
      <c r="H94" s="321">
        <f t="shared" ref="H94:H95" si="24">B94</f>
        <v>177600000</v>
      </c>
      <c r="I94" s="305"/>
      <c r="J94" s="305"/>
      <c r="K94" s="305"/>
      <c r="L94" s="305"/>
    </row>
    <row r="95" spans="1:13">
      <c r="A95" s="305" t="s">
        <v>622</v>
      </c>
      <c r="B95" s="320">
        <v>88800000</v>
      </c>
      <c r="C95" s="305">
        <v>422</v>
      </c>
      <c r="D95" s="306">
        <v>45553</v>
      </c>
      <c r="E95" s="305">
        <v>30</v>
      </c>
      <c r="F95" s="306">
        <f t="shared" ref="F95" si="25">D95+E95</f>
        <v>45583</v>
      </c>
      <c r="G95" s="305">
        <f t="shared" si="2"/>
        <v>-18</v>
      </c>
      <c r="H95" s="321">
        <f t="shared" si="24"/>
        <v>88800000</v>
      </c>
      <c r="I95" s="305"/>
      <c r="J95" s="305"/>
      <c r="K95" s="305"/>
      <c r="L95" s="305"/>
    </row>
    <row r="96" spans="1:13">
      <c r="A96" s="305"/>
      <c r="B96" s="320"/>
      <c r="C96" s="305"/>
      <c r="D96" s="305"/>
      <c r="E96" s="305"/>
      <c r="F96" s="306"/>
      <c r="G96" s="305"/>
      <c r="H96" s="305"/>
      <c r="I96" s="305"/>
      <c r="J96" s="305"/>
      <c r="K96" s="305"/>
      <c r="L96" s="305"/>
    </row>
    <row r="97" spans="1:12">
      <c r="A97" s="305" t="s">
        <v>776</v>
      </c>
      <c r="B97" s="320">
        <v>79500000</v>
      </c>
      <c r="C97" s="305">
        <v>2424</v>
      </c>
      <c r="D97" s="306">
        <v>45552</v>
      </c>
      <c r="E97" s="305">
        <v>30</v>
      </c>
      <c r="F97" s="306">
        <f t="shared" ref="F97:F107" si="26">D97+E97</f>
        <v>45582</v>
      </c>
      <c r="G97" s="305">
        <f t="shared" si="2"/>
        <v>-17</v>
      </c>
      <c r="H97" s="321">
        <f t="shared" ref="H97:H107" si="27">B97</f>
        <v>79500000</v>
      </c>
      <c r="I97" s="305"/>
      <c r="J97" s="305"/>
      <c r="K97" s="305"/>
      <c r="L97" s="305"/>
    </row>
    <row r="98" spans="1:12">
      <c r="A98" s="305" t="s">
        <v>776</v>
      </c>
      <c r="B98" s="320">
        <v>79500000</v>
      </c>
      <c r="C98" s="305">
        <v>2425</v>
      </c>
      <c r="D98" s="306">
        <v>45552</v>
      </c>
      <c r="E98" s="305">
        <v>30</v>
      </c>
      <c r="F98" s="306">
        <f t="shared" si="26"/>
        <v>45582</v>
      </c>
      <c r="G98" s="305">
        <f t="shared" si="2"/>
        <v>-17</v>
      </c>
      <c r="H98" s="321">
        <f t="shared" si="27"/>
        <v>79500000</v>
      </c>
      <c r="I98" s="305"/>
      <c r="J98" s="305"/>
      <c r="K98" s="305"/>
      <c r="L98" s="305"/>
    </row>
    <row r="99" spans="1:12">
      <c r="A99" s="305" t="s">
        <v>776</v>
      </c>
      <c r="B99" s="320">
        <v>47700000</v>
      </c>
      <c r="C99" s="305">
        <v>2426</v>
      </c>
      <c r="D99" s="306">
        <v>45552</v>
      </c>
      <c r="E99" s="305">
        <v>30</v>
      </c>
      <c r="F99" s="306">
        <f t="shared" si="26"/>
        <v>45582</v>
      </c>
      <c r="G99" s="305">
        <f t="shared" si="2"/>
        <v>-17</v>
      </c>
      <c r="H99" s="321">
        <f t="shared" si="27"/>
        <v>47700000</v>
      </c>
      <c r="I99" s="305"/>
      <c r="J99" s="305"/>
      <c r="K99" s="305"/>
      <c r="L99" s="305"/>
    </row>
    <row r="100" spans="1:12">
      <c r="A100" s="305" t="s">
        <v>776</v>
      </c>
      <c r="B100" s="320">
        <v>57050000</v>
      </c>
      <c r="C100" s="305">
        <v>2427</v>
      </c>
      <c r="D100" s="306">
        <v>45552</v>
      </c>
      <c r="E100" s="305">
        <v>30</v>
      </c>
      <c r="F100" s="306">
        <f t="shared" si="26"/>
        <v>45582</v>
      </c>
      <c r="G100" s="305">
        <f t="shared" si="2"/>
        <v>-17</v>
      </c>
      <c r="H100" s="321">
        <f t="shared" si="27"/>
        <v>57050000</v>
      </c>
      <c r="I100" s="305"/>
      <c r="J100" s="305"/>
      <c r="K100" s="305"/>
      <c r="L100" s="305"/>
    </row>
    <row r="101" spans="1:12">
      <c r="A101" s="305" t="s">
        <v>776</v>
      </c>
      <c r="B101" s="320">
        <v>3270000</v>
      </c>
      <c r="C101" s="305">
        <v>2428</v>
      </c>
      <c r="D101" s="306">
        <v>45552</v>
      </c>
      <c r="E101" s="305">
        <v>30</v>
      </c>
      <c r="F101" s="306">
        <f t="shared" si="26"/>
        <v>45582</v>
      </c>
      <c r="G101" s="305">
        <f t="shared" si="2"/>
        <v>-17</v>
      </c>
      <c r="H101" s="321">
        <f t="shared" si="27"/>
        <v>3270000</v>
      </c>
      <c r="I101" s="305"/>
      <c r="J101" s="305"/>
      <c r="K101" s="305"/>
      <c r="L101" s="305"/>
    </row>
    <row r="102" spans="1:12">
      <c r="A102" s="305" t="s">
        <v>776</v>
      </c>
      <c r="B102" s="320">
        <v>24525000</v>
      </c>
      <c r="C102" s="305">
        <v>2435</v>
      </c>
      <c r="D102" s="306">
        <v>45553</v>
      </c>
      <c r="E102" s="305">
        <v>30</v>
      </c>
      <c r="F102" s="306">
        <f t="shared" si="26"/>
        <v>45583</v>
      </c>
      <c r="G102" s="305">
        <f t="shared" si="2"/>
        <v>-18</v>
      </c>
      <c r="H102" s="321">
        <f t="shared" si="27"/>
        <v>24525000</v>
      </c>
      <c r="I102" s="305"/>
      <c r="J102" s="305"/>
      <c r="K102" s="305"/>
      <c r="L102" s="305"/>
    </row>
    <row r="103" spans="1:12">
      <c r="A103" s="305" t="s">
        <v>776</v>
      </c>
      <c r="B103" s="320">
        <v>65400000</v>
      </c>
      <c r="C103" s="305">
        <v>2436</v>
      </c>
      <c r="D103" s="306">
        <v>45553</v>
      </c>
      <c r="E103" s="305">
        <v>30</v>
      </c>
      <c r="F103" s="306">
        <f t="shared" si="26"/>
        <v>45583</v>
      </c>
      <c r="G103" s="305">
        <f t="shared" si="2"/>
        <v>-18</v>
      </c>
      <c r="H103" s="321">
        <f t="shared" si="27"/>
        <v>65400000</v>
      </c>
      <c r="I103" s="305"/>
      <c r="J103" s="305"/>
      <c r="K103" s="305"/>
      <c r="L103" s="305"/>
    </row>
    <row r="104" spans="1:12">
      <c r="A104" s="305" t="s">
        <v>776</v>
      </c>
      <c r="B104" s="320">
        <v>65200000</v>
      </c>
      <c r="C104" s="305">
        <v>2476</v>
      </c>
      <c r="D104" s="306">
        <v>45559</v>
      </c>
      <c r="E104" s="305">
        <v>30</v>
      </c>
      <c r="F104" s="306">
        <f t="shared" si="26"/>
        <v>45589</v>
      </c>
      <c r="G104" s="305">
        <f t="shared" si="2"/>
        <v>-24</v>
      </c>
      <c r="H104" s="321">
        <f t="shared" si="27"/>
        <v>65200000</v>
      </c>
      <c r="I104" s="305"/>
      <c r="J104" s="305"/>
      <c r="K104" s="305"/>
      <c r="L104" s="305"/>
    </row>
    <row r="105" spans="1:12">
      <c r="A105" s="305" t="s">
        <v>776</v>
      </c>
      <c r="B105" s="320">
        <v>48900000</v>
      </c>
      <c r="C105" s="305">
        <v>2477</v>
      </c>
      <c r="D105" s="306">
        <v>45559</v>
      </c>
      <c r="E105" s="305">
        <v>30</v>
      </c>
      <c r="F105" s="306">
        <f t="shared" si="26"/>
        <v>45589</v>
      </c>
      <c r="G105" s="305">
        <f t="shared" si="2"/>
        <v>-24</v>
      </c>
      <c r="H105" s="321">
        <f t="shared" si="27"/>
        <v>48900000</v>
      </c>
      <c r="I105" s="305"/>
      <c r="J105" s="305"/>
      <c r="K105" s="305"/>
      <c r="L105" s="305"/>
    </row>
    <row r="106" spans="1:12">
      <c r="A106" s="305" t="s">
        <v>776</v>
      </c>
      <c r="B106" s="320">
        <v>48900000</v>
      </c>
      <c r="C106" s="305">
        <v>2478</v>
      </c>
      <c r="D106" s="306">
        <v>45559</v>
      </c>
      <c r="E106" s="305">
        <v>30</v>
      </c>
      <c r="F106" s="306">
        <f t="shared" si="26"/>
        <v>45589</v>
      </c>
      <c r="G106" s="305">
        <f t="shared" si="2"/>
        <v>-24</v>
      </c>
      <c r="H106" s="321">
        <f t="shared" si="27"/>
        <v>48900000</v>
      </c>
      <c r="I106" s="305"/>
      <c r="J106" s="305"/>
      <c r="K106" s="305"/>
      <c r="L106" s="305"/>
    </row>
    <row r="107" spans="1:12">
      <c r="A107" s="305" t="s">
        <v>776</v>
      </c>
      <c r="B107" s="320">
        <v>55650000</v>
      </c>
      <c r="C107" s="305">
        <v>2562</v>
      </c>
      <c r="D107" s="306">
        <v>45565</v>
      </c>
      <c r="E107" s="305">
        <v>30</v>
      </c>
      <c r="F107" s="306">
        <f t="shared" si="26"/>
        <v>45595</v>
      </c>
      <c r="G107" s="305">
        <f t="shared" si="2"/>
        <v>-30</v>
      </c>
      <c r="H107" s="321">
        <f t="shared" si="27"/>
        <v>55650000</v>
      </c>
      <c r="I107" s="305"/>
      <c r="J107" s="305"/>
      <c r="K107" s="305"/>
      <c r="L107" s="305"/>
    </row>
    <row r="108" spans="1:12">
      <c r="A108" s="305"/>
      <c r="B108" s="320"/>
      <c r="C108" s="305"/>
      <c r="D108" s="305"/>
      <c r="E108" s="305"/>
      <c r="F108" s="306"/>
      <c r="G108" s="305"/>
      <c r="H108" s="305"/>
      <c r="I108" s="305"/>
      <c r="J108" s="305"/>
      <c r="K108" s="305"/>
      <c r="L108" s="305"/>
    </row>
    <row r="109" spans="1:12">
      <c r="A109" s="305" t="s">
        <v>777</v>
      </c>
      <c r="B109" s="320">
        <v>269617307</v>
      </c>
      <c r="C109" s="305">
        <v>414</v>
      </c>
      <c r="D109" s="306">
        <v>45560</v>
      </c>
      <c r="E109" s="305">
        <v>30</v>
      </c>
      <c r="F109" s="306">
        <f t="shared" si="1"/>
        <v>45590</v>
      </c>
      <c r="G109" s="305">
        <f t="shared" si="2"/>
        <v>-25</v>
      </c>
      <c r="H109" s="321">
        <f>B109</f>
        <v>269617307</v>
      </c>
      <c r="I109" s="305"/>
      <c r="J109" s="305"/>
      <c r="K109" s="305"/>
      <c r="L109" s="305"/>
    </row>
    <row r="110" spans="1:12">
      <c r="A110" s="305"/>
      <c r="B110" s="320"/>
      <c r="C110" s="305"/>
      <c r="D110" s="305"/>
      <c r="E110" s="305"/>
      <c r="F110" s="306"/>
      <c r="G110" s="305"/>
      <c r="H110" s="305"/>
      <c r="I110" s="305"/>
      <c r="J110" s="305"/>
      <c r="K110" s="305"/>
      <c r="L110" s="305"/>
    </row>
    <row r="111" spans="1:12">
      <c r="A111" s="305" t="s">
        <v>778</v>
      </c>
      <c r="B111" s="320">
        <v>31635000</v>
      </c>
      <c r="C111" s="305">
        <v>413</v>
      </c>
      <c r="D111" s="306">
        <v>45549</v>
      </c>
      <c r="E111" s="305">
        <v>30</v>
      </c>
      <c r="F111" s="306">
        <f t="shared" si="1"/>
        <v>45579</v>
      </c>
      <c r="G111" s="305">
        <f t="shared" si="2"/>
        <v>-14</v>
      </c>
      <c r="H111" s="321">
        <f>B111</f>
        <v>31635000</v>
      </c>
      <c r="I111" s="305"/>
      <c r="J111" s="305"/>
      <c r="K111" s="305"/>
      <c r="L111" s="305"/>
    </row>
    <row r="112" spans="1:12">
      <c r="A112" s="305"/>
      <c r="B112" s="320"/>
      <c r="C112" s="305"/>
      <c r="D112" s="306"/>
      <c r="E112" s="305"/>
      <c r="F112" s="306"/>
      <c r="G112" s="305"/>
      <c r="H112" s="305"/>
      <c r="I112" s="305"/>
      <c r="J112" s="305"/>
      <c r="K112" s="305"/>
      <c r="L112" s="305"/>
    </row>
    <row r="113" spans="1:12">
      <c r="A113" s="305" t="s">
        <v>624</v>
      </c>
      <c r="B113" s="342">
        <v>44259518</v>
      </c>
      <c r="C113" s="305">
        <v>294</v>
      </c>
      <c r="D113" s="306">
        <v>45504</v>
      </c>
      <c r="E113" s="305">
        <v>30</v>
      </c>
      <c r="F113" s="306">
        <f t="shared" si="1"/>
        <v>45534</v>
      </c>
      <c r="G113" s="305">
        <f t="shared" si="2"/>
        <v>31</v>
      </c>
      <c r="H113" s="305"/>
      <c r="I113" s="305"/>
      <c r="J113" s="321">
        <f>B113</f>
        <v>44259518</v>
      </c>
      <c r="K113" s="305"/>
      <c r="L113" s="305"/>
    </row>
    <row r="114" spans="1:12">
      <c r="A114" s="305"/>
      <c r="B114" s="342">
        <v>23558462</v>
      </c>
      <c r="C114" s="305">
        <v>393</v>
      </c>
      <c r="D114" s="306">
        <v>45546</v>
      </c>
      <c r="E114" s="305">
        <v>30</v>
      </c>
      <c r="F114" s="306">
        <f t="shared" ref="F114" si="28">D114+E114</f>
        <v>45576</v>
      </c>
      <c r="G114" s="305">
        <f t="shared" si="2"/>
        <v>-11</v>
      </c>
      <c r="H114" s="321">
        <f>B114</f>
        <v>23558462</v>
      </c>
      <c r="I114" s="305"/>
      <c r="J114" s="305"/>
      <c r="K114" s="305"/>
      <c r="L114" s="305"/>
    </row>
    <row r="115" spans="1:12">
      <c r="A115" s="305"/>
      <c r="B115" s="320"/>
      <c r="C115" s="305"/>
      <c r="D115" s="305"/>
      <c r="E115" s="305"/>
      <c r="F115" s="306"/>
      <c r="G115" s="305"/>
      <c r="H115" s="305"/>
      <c r="I115" s="305"/>
      <c r="J115" s="305"/>
      <c r="K115" s="305"/>
      <c r="L115" s="305"/>
    </row>
    <row r="116" spans="1:12">
      <c r="A116" s="305" t="s">
        <v>405</v>
      </c>
      <c r="B116" s="323">
        <f>66746778-22995056</f>
        <v>43751722</v>
      </c>
      <c r="C116" s="323"/>
      <c r="D116" s="306">
        <v>45526</v>
      </c>
      <c r="E116" s="305">
        <v>30</v>
      </c>
      <c r="F116" s="306">
        <f t="shared" ref="F116:F127" si="29">D116+E116</f>
        <v>45556</v>
      </c>
      <c r="G116" s="305">
        <f t="shared" si="2"/>
        <v>9</v>
      </c>
      <c r="H116" s="305"/>
      <c r="I116" s="321">
        <f t="shared" ref="I116:I121" si="30">B116</f>
        <v>43751722</v>
      </c>
      <c r="J116" s="305"/>
      <c r="K116" s="305"/>
      <c r="L116" s="305"/>
    </row>
    <row r="117" spans="1:12">
      <c r="A117" s="305" t="s">
        <v>405</v>
      </c>
      <c r="B117" s="323">
        <v>82810229</v>
      </c>
      <c r="C117" s="323">
        <v>342</v>
      </c>
      <c r="D117" s="306">
        <v>45532</v>
      </c>
      <c r="E117" s="305">
        <v>30</v>
      </c>
      <c r="F117" s="306">
        <f t="shared" si="29"/>
        <v>45562</v>
      </c>
      <c r="G117" s="305">
        <f t="shared" si="2"/>
        <v>3</v>
      </c>
      <c r="H117" s="305"/>
      <c r="I117" s="321">
        <f t="shared" si="30"/>
        <v>82810229</v>
      </c>
      <c r="J117" s="305"/>
      <c r="K117" s="305"/>
      <c r="L117" s="305"/>
    </row>
    <row r="118" spans="1:12">
      <c r="A118" s="305" t="s">
        <v>405</v>
      </c>
      <c r="B118" s="323">
        <v>260250221</v>
      </c>
      <c r="C118" s="323">
        <v>343</v>
      </c>
      <c r="D118" s="306">
        <v>45532</v>
      </c>
      <c r="E118" s="305">
        <v>30</v>
      </c>
      <c r="F118" s="306">
        <f t="shared" si="29"/>
        <v>45562</v>
      </c>
      <c r="G118" s="305">
        <f t="shared" si="2"/>
        <v>3</v>
      </c>
      <c r="H118" s="305"/>
      <c r="I118" s="321">
        <f t="shared" si="30"/>
        <v>260250221</v>
      </c>
      <c r="J118" s="305"/>
      <c r="K118" s="305"/>
      <c r="L118" s="305"/>
    </row>
    <row r="119" spans="1:12">
      <c r="A119" s="305" t="s">
        <v>405</v>
      </c>
      <c r="B119" s="323">
        <v>260393273</v>
      </c>
      <c r="C119" s="323">
        <v>352</v>
      </c>
      <c r="D119" s="306">
        <v>45534</v>
      </c>
      <c r="E119" s="305">
        <v>30</v>
      </c>
      <c r="F119" s="306">
        <f t="shared" si="29"/>
        <v>45564</v>
      </c>
      <c r="G119" s="305">
        <f t="shared" si="2"/>
        <v>1</v>
      </c>
      <c r="H119" s="305"/>
      <c r="I119" s="321">
        <f t="shared" si="30"/>
        <v>260393273</v>
      </c>
      <c r="J119" s="305"/>
      <c r="K119" s="305"/>
      <c r="L119" s="305"/>
    </row>
    <row r="120" spans="1:12">
      <c r="A120" s="305" t="s">
        <v>405</v>
      </c>
      <c r="B120" s="323">
        <v>284268646</v>
      </c>
      <c r="C120" s="323">
        <v>353</v>
      </c>
      <c r="D120" s="306">
        <v>45534</v>
      </c>
      <c r="E120" s="305">
        <v>30</v>
      </c>
      <c r="F120" s="306">
        <f t="shared" si="29"/>
        <v>45564</v>
      </c>
      <c r="G120" s="305">
        <f t="shared" si="2"/>
        <v>1</v>
      </c>
      <c r="H120" s="305"/>
      <c r="I120" s="321">
        <f t="shared" si="30"/>
        <v>284268646</v>
      </c>
      <c r="J120" s="305"/>
      <c r="K120" s="305"/>
      <c r="L120" s="305"/>
    </row>
    <row r="121" spans="1:12">
      <c r="A121" s="305" t="s">
        <v>405</v>
      </c>
      <c r="B121" s="323">
        <v>79473976</v>
      </c>
      <c r="C121" s="323">
        <v>354</v>
      </c>
      <c r="D121" s="306">
        <v>45534</v>
      </c>
      <c r="E121" s="305">
        <v>30</v>
      </c>
      <c r="F121" s="306">
        <f t="shared" si="29"/>
        <v>45564</v>
      </c>
      <c r="G121" s="305">
        <f t="shared" si="2"/>
        <v>1</v>
      </c>
      <c r="H121" s="305"/>
      <c r="I121" s="321">
        <f t="shared" si="30"/>
        <v>79473976</v>
      </c>
      <c r="J121" s="305"/>
      <c r="K121" s="305"/>
      <c r="L121" s="305"/>
    </row>
    <row r="122" spans="1:12">
      <c r="A122" s="305" t="s">
        <v>405</v>
      </c>
      <c r="B122" s="323">
        <v>236570150</v>
      </c>
      <c r="C122" s="323">
        <v>358</v>
      </c>
      <c r="D122" s="306">
        <v>45537</v>
      </c>
      <c r="E122" s="305">
        <v>30</v>
      </c>
      <c r="F122" s="306">
        <f t="shared" si="29"/>
        <v>45567</v>
      </c>
      <c r="G122" s="305">
        <f t="shared" si="2"/>
        <v>-2</v>
      </c>
      <c r="H122" s="321">
        <f t="shared" ref="H122:H127" si="31">B122</f>
        <v>236570150</v>
      </c>
      <c r="I122" s="305"/>
      <c r="J122" s="305"/>
      <c r="K122" s="305"/>
      <c r="L122" s="305"/>
    </row>
    <row r="123" spans="1:12">
      <c r="A123" s="305" t="s">
        <v>405</v>
      </c>
      <c r="B123" s="323">
        <v>31230552</v>
      </c>
      <c r="C123" s="305">
        <v>364</v>
      </c>
      <c r="D123" s="306">
        <v>45540</v>
      </c>
      <c r="E123" s="305">
        <v>30</v>
      </c>
      <c r="F123" s="306">
        <f t="shared" si="29"/>
        <v>45570</v>
      </c>
      <c r="G123" s="305">
        <f t="shared" si="2"/>
        <v>-5</v>
      </c>
      <c r="H123" s="321">
        <f t="shared" si="31"/>
        <v>31230552</v>
      </c>
      <c r="I123" s="305"/>
      <c r="J123" s="305"/>
      <c r="K123" s="305"/>
      <c r="L123" s="305"/>
    </row>
    <row r="124" spans="1:12">
      <c r="A124" s="305" t="s">
        <v>405</v>
      </c>
      <c r="B124" s="323">
        <v>233049683</v>
      </c>
      <c r="C124" s="305">
        <v>377</v>
      </c>
      <c r="D124" s="306">
        <v>45546</v>
      </c>
      <c r="E124" s="305">
        <v>30</v>
      </c>
      <c r="F124" s="306">
        <f t="shared" si="29"/>
        <v>45576</v>
      </c>
      <c r="G124" s="305">
        <f t="shared" si="2"/>
        <v>-11</v>
      </c>
      <c r="H124" s="321">
        <f t="shared" si="31"/>
        <v>233049683</v>
      </c>
      <c r="I124" s="305"/>
      <c r="J124" s="305"/>
      <c r="K124" s="305"/>
      <c r="L124" s="305"/>
    </row>
    <row r="125" spans="1:12">
      <c r="A125" s="305" t="s">
        <v>405</v>
      </c>
      <c r="B125" s="323">
        <v>136671015</v>
      </c>
      <c r="C125" s="305">
        <v>387</v>
      </c>
      <c r="D125" s="306">
        <v>45548</v>
      </c>
      <c r="E125" s="305">
        <v>30</v>
      </c>
      <c r="F125" s="306">
        <f t="shared" si="29"/>
        <v>45578</v>
      </c>
      <c r="G125" s="305">
        <f t="shared" si="2"/>
        <v>-13</v>
      </c>
      <c r="H125" s="321">
        <f t="shared" si="31"/>
        <v>136671015</v>
      </c>
      <c r="I125" s="305"/>
      <c r="J125" s="305"/>
      <c r="K125" s="305"/>
      <c r="L125" s="305"/>
    </row>
    <row r="126" spans="1:12">
      <c r="A126" s="305" t="s">
        <v>405</v>
      </c>
      <c r="B126" s="323">
        <v>234463203</v>
      </c>
      <c r="C126" s="323">
        <v>389</v>
      </c>
      <c r="D126" s="306">
        <v>45549</v>
      </c>
      <c r="E126" s="305">
        <v>30</v>
      </c>
      <c r="F126" s="306">
        <f t="shared" si="29"/>
        <v>45579</v>
      </c>
      <c r="G126" s="305">
        <f t="shared" si="2"/>
        <v>-14</v>
      </c>
      <c r="H126" s="321">
        <f t="shared" si="31"/>
        <v>234463203</v>
      </c>
      <c r="I126" s="305"/>
      <c r="J126" s="305"/>
      <c r="K126" s="305"/>
      <c r="L126" s="305"/>
    </row>
    <row r="127" spans="1:12">
      <c r="A127" s="305" t="s">
        <v>405</v>
      </c>
      <c r="B127" s="323">
        <v>224854354</v>
      </c>
      <c r="C127" s="323">
        <v>390</v>
      </c>
      <c r="D127" s="306">
        <v>45549</v>
      </c>
      <c r="E127" s="305">
        <v>30</v>
      </c>
      <c r="F127" s="306">
        <f t="shared" si="29"/>
        <v>45579</v>
      </c>
      <c r="G127" s="305">
        <f t="shared" si="2"/>
        <v>-14</v>
      </c>
      <c r="H127" s="321">
        <f t="shared" si="31"/>
        <v>224854354</v>
      </c>
      <c r="I127" s="305"/>
      <c r="J127" s="305"/>
      <c r="K127" s="305"/>
      <c r="L127" s="305"/>
    </row>
    <row r="128" spans="1:12">
      <c r="A128" s="305"/>
      <c r="B128" s="320"/>
      <c r="C128" s="323"/>
      <c r="D128" s="305"/>
      <c r="E128" s="305"/>
      <c r="F128" s="306"/>
      <c r="G128" s="305"/>
      <c r="H128" s="305"/>
      <c r="I128" s="305"/>
      <c r="J128" s="305"/>
      <c r="K128" s="305"/>
      <c r="L128" s="305"/>
    </row>
    <row r="129" spans="1:12">
      <c r="A129" s="305" t="s">
        <v>440</v>
      </c>
      <c r="B129" s="320">
        <v>24775200</v>
      </c>
      <c r="C129" s="323">
        <v>349</v>
      </c>
      <c r="D129" s="306">
        <v>45533</v>
      </c>
      <c r="E129" s="305">
        <v>30</v>
      </c>
      <c r="F129" s="306">
        <f t="shared" ref="F129:F136" si="32">D129+E129</f>
        <v>45563</v>
      </c>
      <c r="G129" s="305">
        <f t="shared" si="2"/>
        <v>2</v>
      </c>
      <c r="H129" s="305"/>
      <c r="I129" s="321">
        <f>B129</f>
        <v>24775200</v>
      </c>
      <c r="J129" s="305"/>
      <c r="K129" s="305"/>
      <c r="L129" s="305"/>
    </row>
    <row r="130" spans="1:12">
      <c r="A130" s="305" t="s">
        <v>440</v>
      </c>
      <c r="B130" s="320">
        <v>24499920</v>
      </c>
      <c r="C130" s="324" t="s">
        <v>806</v>
      </c>
      <c r="D130" s="306">
        <v>45542</v>
      </c>
      <c r="E130" s="305">
        <v>30</v>
      </c>
      <c r="F130" s="306">
        <f t="shared" si="32"/>
        <v>45572</v>
      </c>
      <c r="G130" s="305">
        <f t="shared" si="2"/>
        <v>-7</v>
      </c>
      <c r="H130" s="321">
        <f t="shared" ref="H130:H136" si="33">B130</f>
        <v>24499920</v>
      </c>
      <c r="I130" s="305"/>
      <c r="J130" s="305"/>
      <c r="K130" s="305"/>
      <c r="L130" s="305"/>
    </row>
    <row r="131" spans="1:12">
      <c r="A131" s="305" t="s">
        <v>440</v>
      </c>
      <c r="B131" s="320">
        <v>24465510</v>
      </c>
      <c r="C131" s="324" t="s">
        <v>615</v>
      </c>
      <c r="D131" s="306">
        <v>45542</v>
      </c>
      <c r="E131" s="305">
        <v>30</v>
      </c>
      <c r="F131" s="306">
        <f t="shared" si="32"/>
        <v>45572</v>
      </c>
      <c r="G131" s="305">
        <f t="shared" si="2"/>
        <v>-7</v>
      </c>
      <c r="H131" s="321">
        <f t="shared" si="33"/>
        <v>24465510</v>
      </c>
      <c r="I131" s="305"/>
      <c r="J131" s="305"/>
      <c r="K131" s="305"/>
      <c r="L131" s="305"/>
    </row>
    <row r="132" spans="1:12">
      <c r="A132" s="305" t="s">
        <v>440</v>
      </c>
      <c r="B132" s="320">
        <v>24499920</v>
      </c>
      <c r="C132" s="324" t="s">
        <v>294</v>
      </c>
      <c r="D132" s="306">
        <v>45542</v>
      </c>
      <c r="E132" s="305">
        <v>30</v>
      </c>
      <c r="F132" s="306">
        <f t="shared" si="32"/>
        <v>45572</v>
      </c>
      <c r="G132" s="305">
        <f t="shared" si="2"/>
        <v>-7</v>
      </c>
      <c r="H132" s="321">
        <f t="shared" si="33"/>
        <v>24499920</v>
      </c>
      <c r="I132" s="305"/>
      <c r="J132" s="305"/>
      <c r="K132" s="305"/>
      <c r="L132" s="305"/>
    </row>
    <row r="133" spans="1:12">
      <c r="A133" s="305" t="s">
        <v>440</v>
      </c>
      <c r="B133" s="320">
        <v>688200</v>
      </c>
      <c r="C133" s="324" t="s">
        <v>807</v>
      </c>
      <c r="D133" s="306">
        <v>45554</v>
      </c>
      <c r="E133" s="305">
        <v>30</v>
      </c>
      <c r="F133" s="306">
        <f t="shared" si="32"/>
        <v>45584</v>
      </c>
      <c r="G133" s="305">
        <f t="shared" si="2"/>
        <v>-19</v>
      </c>
      <c r="H133" s="321">
        <f t="shared" si="33"/>
        <v>688200</v>
      </c>
      <c r="I133" s="305"/>
      <c r="J133" s="305"/>
      <c r="K133" s="305"/>
      <c r="L133" s="305"/>
    </row>
    <row r="134" spans="1:12">
      <c r="A134" s="305" t="s">
        <v>440</v>
      </c>
      <c r="B134" s="320">
        <v>688200</v>
      </c>
      <c r="C134" s="324" t="s">
        <v>653</v>
      </c>
      <c r="D134" s="306">
        <v>45554</v>
      </c>
      <c r="E134" s="305">
        <v>30</v>
      </c>
      <c r="F134" s="306">
        <f t="shared" si="32"/>
        <v>45584</v>
      </c>
      <c r="G134" s="305">
        <f t="shared" si="2"/>
        <v>-19</v>
      </c>
      <c r="H134" s="321">
        <f t="shared" si="33"/>
        <v>688200</v>
      </c>
      <c r="I134" s="305"/>
      <c r="J134" s="305"/>
      <c r="K134" s="305"/>
      <c r="L134" s="305"/>
    </row>
    <row r="135" spans="1:12">
      <c r="A135" s="305" t="s">
        <v>440</v>
      </c>
      <c r="B135" s="320">
        <v>1120389</v>
      </c>
      <c r="C135" s="324" t="s">
        <v>808</v>
      </c>
      <c r="D135" s="306">
        <v>45554</v>
      </c>
      <c r="E135" s="305">
        <v>30</v>
      </c>
      <c r="F135" s="306">
        <f t="shared" si="32"/>
        <v>45584</v>
      </c>
      <c r="G135" s="305">
        <f t="shared" si="2"/>
        <v>-19</v>
      </c>
      <c r="H135" s="321">
        <f t="shared" si="33"/>
        <v>1120389</v>
      </c>
      <c r="I135" s="305"/>
      <c r="J135" s="305"/>
      <c r="K135" s="305"/>
      <c r="L135" s="305"/>
    </row>
    <row r="136" spans="1:12">
      <c r="A136" s="305" t="s">
        <v>440</v>
      </c>
      <c r="B136" s="320">
        <v>52275672</v>
      </c>
      <c r="C136" s="324" t="s">
        <v>809</v>
      </c>
      <c r="D136" s="306">
        <v>45554</v>
      </c>
      <c r="E136" s="305">
        <v>30</v>
      </c>
      <c r="F136" s="306">
        <f t="shared" si="32"/>
        <v>45584</v>
      </c>
      <c r="G136" s="305">
        <f t="shared" si="2"/>
        <v>-19</v>
      </c>
      <c r="H136" s="321">
        <f t="shared" si="33"/>
        <v>52275672</v>
      </c>
      <c r="I136" s="305"/>
      <c r="J136" s="305"/>
      <c r="K136" s="305"/>
      <c r="L136" s="305"/>
    </row>
    <row r="137" spans="1:12">
      <c r="A137" s="305"/>
      <c r="B137" s="320"/>
      <c r="C137" s="323"/>
      <c r="D137" s="305"/>
      <c r="E137" s="305"/>
      <c r="F137" s="306"/>
      <c r="G137" s="305"/>
      <c r="H137" s="305"/>
      <c r="I137" s="305"/>
      <c r="J137" s="305"/>
      <c r="K137" s="305"/>
      <c r="L137" s="305"/>
    </row>
    <row r="138" spans="1:12">
      <c r="A138" s="305" t="s">
        <v>219</v>
      </c>
      <c r="B138" s="320">
        <v>22200000</v>
      </c>
      <c r="C138" s="323">
        <v>239</v>
      </c>
      <c r="D138" s="306">
        <v>45481</v>
      </c>
      <c r="E138" s="305">
        <v>30</v>
      </c>
      <c r="F138" s="306">
        <f t="shared" si="1"/>
        <v>45511</v>
      </c>
      <c r="G138" s="305">
        <f t="shared" si="2"/>
        <v>54</v>
      </c>
      <c r="H138" s="305"/>
      <c r="I138" s="305"/>
      <c r="J138" s="321">
        <f>B138</f>
        <v>22200000</v>
      </c>
      <c r="K138" s="305"/>
      <c r="L138" s="305"/>
    </row>
    <row r="139" spans="1:12">
      <c r="A139" s="305"/>
      <c r="B139" s="320"/>
      <c r="C139" s="323"/>
      <c r="D139" s="305"/>
      <c r="E139" s="305"/>
      <c r="F139" s="306"/>
      <c r="G139" s="305"/>
      <c r="H139" s="305"/>
      <c r="I139" s="305"/>
      <c r="J139" s="305"/>
      <c r="K139" s="305"/>
      <c r="L139" s="305"/>
    </row>
    <row r="140" spans="1:12">
      <c r="A140" s="305" t="s">
        <v>50</v>
      </c>
      <c r="B140" s="320">
        <v>790000</v>
      </c>
      <c r="C140" s="305">
        <v>289</v>
      </c>
      <c r="D140" s="306">
        <v>45485</v>
      </c>
      <c r="E140" s="305">
        <v>30</v>
      </c>
      <c r="F140" s="306">
        <f t="shared" ref="F140:F162" si="34">D140+E140</f>
        <v>45515</v>
      </c>
      <c r="G140" s="305">
        <f t="shared" si="2"/>
        <v>50</v>
      </c>
      <c r="H140" s="305"/>
      <c r="I140" s="305"/>
      <c r="J140" s="321">
        <f t="shared" ref="J140:J142" si="35">B140</f>
        <v>790000</v>
      </c>
      <c r="K140" s="305"/>
      <c r="L140" s="305"/>
    </row>
    <row r="141" spans="1:12">
      <c r="A141" s="305" t="s">
        <v>50</v>
      </c>
      <c r="B141" s="320">
        <v>4800000</v>
      </c>
      <c r="C141" s="305">
        <v>293</v>
      </c>
      <c r="D141" s="306">
        <v>45489</v>
      </c>
      <c r="E141" s="305">
        <v>30</v>
      </c>
      <c r="F141" s="306">
        <f t="shared" si="34"/>
        <v>45519</v>
      </c>
      <c r="G141" s="305">
        <f t="shared" si="2"/>
        <v>46</v>
      </c>
      <c r="H141" s="305"/>
      <c r="I141" s="305"/>
      <c r="J141" s="321">
        <f t="shared" si="35"/>
        <v>4800000</v>
      </c>
      <c r="K141" s="305"/>
      <c r="L141" s="305"/>
    </row>
    <row r="142" spans="1:12">
      <c r="A142" s="305" t="s">
        <v>50</v>
      </c>
      <c r="B142" s="320">
        <v>140000</v>
      </c>
      <c r="C142" s="305">
        <v>322</v>
      </c>
      <c r="D142" s="306">
        <v>45504</v>
      </c>
      <c r="E142" s="305">
        <v>30</v>
      </c>
      <c r="F142" s="306">
        <f t="shared" si="34"/>
        <v>45534</v>
      </c>
      <c r="G142" s="305">
        <f t="shared" si="2"/>
        <v>31</v>
      </c>
      <c r="H142" s="305"/>
      <c r="I142" s="305"/>
      <c r="J142" s="321">
        <f t="shared" si="35"/>
        <v>140000</v>
      </c>
      <c r="K142" s="305"/>
      <c r="L142" s="305"/>
    </row>
    <row r="143" spans="1:12">
      <c r="A143" s="305" t="s">
        <v>50</v>
      </c>
      <c r="B143" s="320">
        <v>350000</v>
      </c>
      <c r="C143" s="322">
        <v>326</v>
      </c>
      <c r="D143" s="306">
        <v>45505</v>
      </c>
      <c r="E143" s="305">
        <v>30</v>
      </c>
      <c r="F143" s="306">
        <f t="shared" si="34"/>
        <v>45535</v>
      </c>
      <c r="G143" s="305">
        <f t="shared" si="2"/>
        <v>30</v>
      </c>
      <c r="H143" s="305"/>
      <c r="I143" s="321">
        <f t="shared" ref="I143:I146" si="36">B143</f>
        <v>350000</v>
      </c>
      <c r="J143" s="305"/>
      <c r="K143" s="305"/>
      <c r="L143" s="305"/>
    </row>
    <row r="144" spans="1:12">
      <c r="A144" s="305" t="s">
        <v>50</v>
      </c>
      <c r="B144" s="320">
        <v>470000</v>
      </c>
      <c r="C144" s="322">
        <v>332</v>
      </c>
      <c r="D144" s="306">
        <v>45506</v>
      </c>
      <c r="E144" s="305">
        <v>30</v>
      </c>
      <c r="F144" s="306">
        <f t="shared" si="34"/>
        <v>45536</v>
      </c>
      <c r="G144" s="305">
        <f t="shared" si="2"/>
        <v>29</v>
      </c>
      <c r="H144" s="305"/>
      <c r="I144" s="321">
        <f t="shared" si="36"/>
        <v>470000</v>
      </c>
      <c r="J144" s="305"/>
      <c r="K144" s="305"/>
      <c r="L144" s="305"/>
    </row>
    <row r="145" spans="1:12">
      <c r="A145" s="305" t="s">
        <v>50</v>
      </c>
      <c r="B145" s="320">
        <v>1447500</v>
      </c>
      <c r="C145" s="322">
        <v>350</v>
      </c>
      <c r="D145" s="306">
        <v>45517</v>
      </c>
      <c r="E145" s="305">
        <v>30</v>
      </c>
      <c r="F145" s="306">
        <f t="shared" si="34"/>
        <v>45547</v>
      </c>
      <c r="G145" s="305">
        <f t="shared" si="2"/>
        <v>18</v>
      </c>
      <c r="H145" s="305"/>
      <c r="I145" s="321">
        <f t="shared" si="36"/>
        <v>1447500</v>
      </c>
      <c r="J145" s="305"/>
      <c r="K145" s="305"/>
      <c r="L145" s="305"/>
    </row>
    <row r="146" spans="1:12">
      <c r="A146" s="305" t="s">
        <v>50</v>
      </c>
      <c r="B146" s="320">
        <v>430000</v>
      </c>
      <c r="C146" s="322">
        <v>355</v>
      </c>
      <c r="D146" s="306">
        <v>45518</v>
      </c>
      <c r="E146" s="305">
        <v>30</v>
      </c>
      <c r="F146" s="306">
        <f t="shared" si="34"/>
        <v>45548</v>
      </c>
      <c r="G146" s="305">
        <f t="shared" si="2"/>
        <v>17</v>
      </c>
      <c r="H146" s="305"/>
      <c r="I146" s="321">
        <f t="shared" si="36"/>
        <v>430000</v>
      </c>
      <c r="J146" s="305"/>
      <c r="K146" s="305"/>
      <c r="L146" s="305"/>
    </row>
    <row r="147" spans="1:12">
      <c r="A147" s="305" t="s">
        <v>50</v>
      </c>
      <c r="B147" s="320">
        <v>328000</v>
      </c>
      <c r="C147" s="322">
        <v>434</v>
      </c>
      <c r="D147" s="306">
        <v>45559</v>
      </c>
      <c r="E147" s="305">
        <v>30</v>
      </c>
      <c r="F147" s="306">
        <f t="shared" si="34"/>
        <v>45589</v>
      </c>
      <c r="G147" s="305">
        <f t="shared" si="2"/>
        <v>-24</v>
      </c>
      <c r="H147" s="321">
        <f t="shared" ref="H147:H148" si="37">B147</f>
        <v>328000</v>
      </c>
      <c r="I147" s="305"/>
      <c r="J147" s="305"/>
      <c r="K147" s="305"/>
      <c r="L147" s="305"/>
    </row>
    <row r="148" spans="1:12">
      <c r="A148" s="305" t="s">
        <v>50</v>
      </c>
      <c r="B148" s="320">
        <v>330000</v>
      </c>
      <c r="C148" s="322">
        <v>437</v>
      </c>
      <c r="D148" s="306">
        <v>45560</v>
      </c>
      <c r="E148" s="305">
        <v>30</v>
      </c>
      <c r="F148" s="306">
        <f t="shared" si="34"/>
        <v>45590</v>
      </c>
      <c r="G148" s="305">
        <f t="shared" si="2"/>
        <v>-25</v>
      </c>
      <c r="H148" s="321">
        <f t="shared" si="37"/>
        <v>330000</v>
      </c>
      <c r="I148" s="305"/>
      <c r="J148" s="305"/>
      <c r="K148" s="305"/>
      <c r="L148" s="305"/>
    </row>
    <row r="149" spans="1:12">
      <c r="A149" s="305" t="s">
        <v>50</v>
      </c>
      <c r="B149" s="320">
        <v>160000</v>
      </c>
      <c r="C149" s="322" t="s">
        <v>810</v>
      </c>
      <c r="D149" s="306">
        <v>45482</v>
      </c>
      <c r="E149" s="305">
        <v>30</v>
      </c>
      <c r="F149" s="306">
        <f t="shared" si="34"/>
        <v>45512</v>
      </c>
      <c r="G149" s="305">
        <f t="shared" si="2"/>
        <v>53</v>
      </c>
      <c r="H149" s="305"/>
      <c r="I149" s="305"/>
      <c r="J149" s="321">
        <f t="shared" ref="J149:J154" si="38">B149</f>
        <v>160000</v>
      </c>
      <c r="K149" s="305"/>
      <c r="L149" s="305"/>
    </row>
    <row r="150" spans="1:12">
      <c r="A150" s="305" t="s">
        <v>50</v>
      </c>
      <c r="B150" s="320">
        <v>20000</v>
      </c>
      <c r="C150" s="322" t="s">
        <v>758</v>
      </c>
      <c r="D150" s="306">
        <v>45485</v>
      </c>
      <c r="E150" s="305">
        <v>30</v>
      </c>
      <c r="F150" s="306">
        <f t="shared" si="34"/>
        <v>45515</v>
      </c>
      <c r="G150" s="305">
        <f t="shared" si="2"/>
        <v>50</v>
      </c>
      <c r="H150" s="305"/>
      <c r="I150" s="305"/>
      <c r="J150" s="321">
        <f t="shared" si="38"/>
        <v>20000</v>
      </c>
      <c r="K150" s="305"/>
      <c r="L150" s="305"/>
    </row>
    <row r="151" spans="1:12">
      <c r="A151" s="305" t="s">
        <v>50</v>
      </c>
      <c r="B151" s="320">
        <v>67500</v>
      </c>
      <c r="C151" s="322" t="s">
        <v>811</v>
      </c>
      <c r="D151" s="306">
        <v>45490</v>
      </c>
      <c r="E151" s="305">
        <v>30</v>
      </c>
      <c r="F151" s="306">
        <f t="shared" si="34"/>
        <v>45520</v>
      </c>
      <c r="G151" s="305">
        <f t="shared" si="2"/>
        <v>45</v>
      </c>
      <c r="H151" s="305"/>
      <c r="I151" s="305"/>
      <c r="J151" s="321">
        <f t="shared" si="38"/>
        <v>67500</v>
      </c>
      <c r="K151" s="305"/>
      <c r="L151" s="305"/>
    </row>
    <row r="152" spans="1:12">
      <c r="A152" s="305" t="s">
        <v>50</v>
      </c>
      <c r="B152" s="320">
        <v>1783000</v>
      </c>
      <c r="C152" s="322" t="s">
        <v>759</v>
      </c>
      <c r="D152" s="306">
        <v>45490</v>
      </c>
      <c r="E152" s="305">
        <v>30</v>
      </c>
      <c r="F152" s="306">
        <f t="shared" si="34"/>
        <v>45520</v>
      </c>
      <c r="G152" s="305">
        <f t="shared" si="2"/>
        <v>45</v>
      </c>
      <c r="H152" s="305"/>
      <c r="I152" s="305"/>
      <c r="J152" s="321">
        <f t="shared" si="38"/>
        <v>1783000</v>
      </c>
      <c r="K152" s="305"/>
      <c r="L152" s="305"/>
    </row>
    <row r="153" spans="1:12">
      <c r="A153" s="305" t="s">
        <v>50</v>
      </c>
      <c r="B153" s="320">
        <v>463000</v>
      </c>
      <c r="C153" s="322" t="s">
        <v>812</v>
      </c>
      <c r="D153" s="306">
        <v>45491</v>
      </c>
      <c r="E153" s="305">
        <v>30</v>
      </c>
      <c r="F153" s="306">
        <f t="shared" si="34"/>
        <v>45521</v>
      </c>
      <c r="G153" s="305">
        <f t="shared" si="2"/>
        <v>44</v>
      </c>
      <c r="H153" s="305"/>
      <c r="I153" s="305"/>
      <c r="J153" s="321">
        <f t="shared" si="38"/>
        <v>463000</v>
      </c>
      <c r="K153" s="305"/>
      <c r="L153" s="305"/>
    </row>
    <row r="154" spans="1:12">
      <c r="A154" s="305" t="s">
        <v>50</v>
      </c>
      <c r="B154" s="320">
        <v>423000</v>
      </c>
      <c r="C154" s="322" t="s">
        <v>813</v>
      </c>
      <c r="D154" s="306">
        <v>45496</v>
      </c>
      <c r="E154" s="305">
        <v>30</v>
      </c>
      <c r="F154" s="306">
        <f t="shared" si="34"/>
        <v>45526</v>
      </c>
      <c r="G154" s="305">
        <f t="shared" si="2"/>
        <v>39</v>
      </c>
      <c r="H154" s="305"/>
      <c r="I154" s="305"/>
      <c r="J154" s="321">
        <f t="shared" si="38"/>
        <v>423000</v>
      </c>
      <c r="K154" s="305"/>
      <c r="L154" s="305"/>
    </row>
    <row r="155" spans="1:12">
      <c r="A155" s="305" t="s">
        <v>50</v>
      </c>
      <c r="B155" s="320">
        <v>195000</v>
      </c>
      <c r="C155" s="322" t="s">
        <v>606</v>
      </c>
      <c r="D155" s="306">
        <v>45505</v>
      </c>
      <c r="E155" s="305">
        <v>30</v>
      </c>
      <c r="F155" s="306">
        <f t="shared" si="34"/>
        <v>45535</v>
      </c>
      <c r="G155" s="305">
        <f t="shared" si="2"/>
        <v>30</v>
      </c>
      <c r="H155" s="305"/>
      <c r="I155" s="321">
        <f t="shared" ref="I155:I159" si="39">B155</f>
        <v>195000</v>
      </c>
      <c r="J155" s="305"/>
      <c r="K155" s="305"/>
      <c r="L155" s="305"/>
    </row>
    <row r="156" spans="1:12">
      <c r="A156" s="305" t="s">
        <v>50</v>
      </c>
      <c r="B156" s="320">
        <v>1250000</v>
      </c>
      <c r="C156" s="322" t="s">
        <v>814</v>
      </c>
      <c r="D156" s="306">
        <v>45506</v>
      </c>
      <c r="E156" s="305">
        <v>30</v>
      </c>
      <c r="F156" s="306">
        <f t="shared" si="34"/>
        <v>45536</v>
      </c>
      <c r="G156" s="305">
        <f t="shared" si="2"/>
        <v>29</v>
      </c>
      <c r="H156" s="305"/>
      <c r="I156" s="321">
        <f t="shared" si="39"/>
        <v>1250000</v>
      </c>
      <c r="J156" s="305"/>
      <c r="K156" s="305"/>
      <c r="L156" s="305"/>
    </row>
    <row r="157" spans="1:12">
      <c r="A157" s="305" t="s">
        <v>50</v>
      </c>
      <c r="B157" s="320">
        <v>1228000</v>
      </c>
      <c r="C157" s="322" t="s">
        <v>815</v>
      </c>
      <c r="D157" s="306">
        <v>45524</v>
      </c>
      <c r="E157" s="305">
        <v>30</v>
      </c>
      <c r="F157" s="306">
        <f t="shared" si="34"/>
        <v>45554</v>
      </c>
      <c r="G157" s="305">
        <f t="shared" si="2"/>
        <v>11</v>
      </c>
      <c r="H157" s="305"/>
      <c r="I157" s="321">
        <f t="shared" si="39"/>
        <v>1228000</v>
      </c>
      <c r="J157" s="305"/>
      <c r="K157" s="305"/>
      <c r="L157" s="305"/>
    </row>
    <row r="158" spans="1:12">
      <c r="A158" s="305" t="s">
        <v>50</v>
      </c>
      <c r="B158" s="320">
        <v>210000</v>
      </c>
      <c r="C158" s="322" t="s">
        <v>816</v>
      </c>
      <c r="D158" s="306">
        <v>45530</v>
      </c>
      <c r="E158" s="305">
        <v>30</v>
      </c>
      <c r="F158" s="306">
        <f t="shared" si="34"/>
        <v>45560</v>
      </c>
      <c r="G158" s="305">
        <f t="shared" si="2"/>
        <v>5</v>
      </c>
      <c r="H158" s="305"/>
      <c r="I158" s="321">
        <f t="shared" si="39"/>
        <v>210000</v>
      </c>
      <c r="J158" s="305"/>
      <c r="K158" s="305"/>
      <c r="L158" s="305"/>
    </row>
    <row r="159" spans="1:12">
      <c r="A159" s="305" t="s">
        <v>50</v>
      </c>
      <c r="B159" s="320">
        <v>200000</v>
      </c>
      <c r="C159" s="322" t="s">
        <v>635</v>
      </c>
      <c r="D159" s="306">
        <v>45534</v>
      </c>
      <c r="E159" s="305">
        <v>30</v>
      </c>
      <c r="F159" s="306">
        <f t="shared" si="34"/>
        <v>45564</v>
      </c>
      <c r="G159" s="305">
        <f t="shared" si="2"/>
        <v>1</v>
      </c>
      <c r="H159" s="305"/>
      <c r="I159" s="321">
        <f t="shared" si="39"/>
        <v>200000</v>
      </c>
      <c r="J159" s="305"/>
      <c r="K159" s="305"/>
      <c r="L159" s="305"/>
    </row>
    <row r="160" spans="1:12">
      <c r="A160" s="305" t="s">
        <v>50</v>
      </c>
      <c r="B160" s="320">
        <v>3500000</v>
      </c>
      <c r="C160" s="322" t="s">
        <v>817</v>
      </c>
      <c r="D160" s="306">
        <v>45535</v>
      </c>
      <c r="E160" s="305">
        <v>30</v>
      </c>
      <c r="F160" s="306">
        <f t="shared" si="34"/>
        <v>45565</v>
      </c>
      <c r="G160" s="305">
        <f t="shared" si="2"/>
        <v>0</v>
      </c>
      <c r="H160" s="321">
        <f t="shared" ref="H160:H162" si="40">B160</f>
        <v>3500000</v>
      </c>
      <c r="I160" s="305"/>
      <c r="J160" s="305"/>
      <c r="K160" s="305"/>
      <c r="L160" s="305"/>
    </row>
    <row r="161" spans="1:12">
      <c r="A161" s="305" t="s">
        <v>50</v>
      </c>
      <c r="B161" s="320">
        <v>2650500</v>
      </c>
      <c r="C161" s="322" t="s">
        <v>818</v>
      </c>
      <c r="D161" s="306">
        <v>45540</v>
      </c>
      <c r="E161" s="305">
        <v>30</v>
      </c>
      <c r="F161" s="306">
        <f t="shared" si="34"/>
        <v>45570</v>
      </c>
      <c r="G161" s="305">
        <f t="shared" si="2"/>
        <v>-5</v>
      </c>
      <c r="H161" s="321">
        <f t="shared" si="40"/>
        <v>2650500</v>
      </c>
      <c r="I161" s="305"/>
      <c r="J161" s="305"/>
      <c r="K161" s="305"/>
      <c r="L161" s="305"/>
    </row>
    <row r="162" spans="1:12">
      <c r="A162" s="305" t="s">
        <v>50</v>
      </c>
      <c r="B162" s="320">
        <v>780000</v>
      </c>
      <c r="C162" s="322" t="s">
        <v>308</v>
      </c>
      <c r="D162" s="306">
        <v>45548</v>
      </c>
      <c r="E162" s="305">
        <v>30</v>
      </c>
      <c r="F162" s="306">
        <f t="shared" si="34"/>
        <v>45578</v>
      </c>
      <c r="G162" s="305">
        <f t="shared" si="2"/>
        <v>-13</v>
      </c>
      <c r="H162" s="321">
        <f t="shared" si="40"/>
        <v>780000</v>
      </c>
      <c r="I162" s="305"/>
      <c r="J162" s="305"/>
      <c r="K162" s="305"/>
      <c r="L162" s="305"/>
    </row>
    <row r="163" spans="1:12">
      <c r="A163" s="305"/>
      <c r="B163" s="320"/>
      <c r="C163" s="305"/>
      <c r="D163" s="305"/>
      <c r="E163" s="305"/>
      <c r="F163" s="306"/>
      <c r="G163" s="305"/>
      <c r="H163" s="305"/>
      <c r="I163" s="305"/>
      <c r="J163" s="305"/>
      <c r="K163" s="305"/>
      <c r="L163" s="305"/>
    </row>
    <row r="164" spans="1:12">
      <c r="A164" s="305" t="s">
        <v>710</v>
      </c>
      <c r="B164" s="320">
        <v>1125000</v>
      </c>
      <c r="C164" s="305"/>
      <c r="D164" s="306">
        <v>45519</v>
      </c>
      <c r="E164" s="305">
        <v>30</v>
      </c>
      <c r="F164" s="306">
        <f t="shared" ref="F164:F166" si="41">D164+E164</f>
        <v>45549</v>
      </c>
      <c r="G164" s="305">
        <f t="shared" si="2"/>
        <v>16</v>
      </c>
      <c r="H164" s="305"/>
      <c r="I164" s="321">
        <f t="shared" ref="I164:I165" si="42">B164</f>
        <v>1125000</v>
      </c>
      <c r="J164" s="305"/>
      <c r="K164" s="305"/>
      <c r="L164" s="305"/>
    </row>
    <row r="165" spans="1:12">
      <c r="A165" s="305" t="s">
        <v>710</v>
      </c>
      <c r="B165" s="320">
        <v>9100000</v>
      </c>
      <c r="C165" s="305">
        <v>382</v>
      </c>
      <c r="D165" s="306">
        <v>45532</v>
      </c>
      <c r="E165" s="305">
        <v>30</v>
      </c>
      <c r="F165" s="306">
        <f t="shared" si="41"/>
        <v>45562</v>
      </c>
      <c r="G165" s="305">
        <f t="shared" si="2"/>
        <v>3</v>
      </c>
      <c r="H165" s="305"/>
      <c r="I165" s="321">
        <f t="shared" si="42"/>
        <v>9100000</v>
      </c>
      <c r="J165" s="305"/>
      <c r="K165" s="305"/>
      <c r="L165" s="305"/>
    </row>
    <row r="166" spans="1:12">
      <c r="A166" s="305" t="s">
        <v>710</v>
      </c>
      <c r="B166" s="320">
        <v>7700000</v>
      </c>
      <c r="C166" s="305">
        <v>420</v>
      </c>
      <c r="D166" s="306">
        <v>45549</v>
      </c>
      <c r="E166" s="305">
        <v>30</v>
      </c>
      <c r="F166" s="306">
        <f t="shared" si="41"/>
        <v>45579</v>
      </c>
      <c r="G166" s="305">
        <f t="shared" si="2"/>
        <v>-14</v>
      </c>
      <c r="H166" s="321">
        <f t="shared" ref="H166:H167" si="43">B166</f>
        <v>7700000</v>
      </c>
      <c r="I166" s="305"/>
      <c r="J166" s="305"/>
      <c r="K166" s="305"/>
      <c r="L166" s="305"/>
    </row>
    <row r="167" spans="1:12">
      <c r="A167" s="305" t="s">
        <v>710</v>
      </c>
      <c r="B167" s="320">
        <v>30920000</v>
      </c>
      <c r="C167" s="305">
        <v>424</v>
      </c>
      <c r="D167" s="306">
        <v>45549</v>
      </c>
      <c r="E167" s="305">
        <v>30</v>
      </c>
      <c r="F167" s="306">
        <f t="shared" ref="F167" si="44">D167+E167</f>
        <v>45579</v>
      </c>
      <c r="G167" s="305">
        <f t="shared" si="2"/>
        <v>-14</v>
      </c>
      <c r="H167" s="321">
        <f t="shared" si="43"/>
        <v>30920000</v>
      </c>
      <c r="I167" s="305"/>
      <c r="J167" s="305"/>
      <c r="K167" s="305"/>
      <c r="L167" s="305"/>
    </row>
    <row r="168" spans="1:12">
      <c r="A168" s="305"/>
      <c r="B168" s="320"/>
      <c r="C168" s="305"/>
      <c r="D168" s="305"/>
      <c r="E168" s="305"/>
      <c r="F168" s="306"/>
      <c r="G168" s="305"/>
      <c r="H168" s="305"/>
      <c r="I168" s="305"/>
      <c r="J168" s="305"/>
      <c r="K168" s="305"/>
      <c r="L168" s="305"/>
    </row>
    <row r="169" spans="1:12">
      <c r="A169" s="305" t="s">
        <v>780</v>
      </c>
      <c r="B169" s="320">
        <v>5254740</v>
      </c>
      <c r="C169" s="322" t="s">
        <v>409</v>
      </c>
      <c r="D169" s="306">
        <v>45537</v>
      </c>
      <c r="E169" s="305">
        <v>30</v>
      </c>
      <c r="F169" s="306">
        <f t="shared" ref="F169:F176" si="45">D169+E169</f>
        <v>45567</v>
      </c>
      <c r="G169" s="305">
        <f t="shared" si="2"/>
        <v>-2</v>
      </c>
      <c r="H169" s="321">
        <f t="shared" ref="H169:H176" si="46">B169</f>
        <v>5254740</v>
      </c>
      <c r="I169" s="305"/>
      <c r="J169" s="305"/>
      <c r="K169" s="305"/>
      <c r="L169" s="305"/>
    </row>
    <row r="170" spans="1:12">
      <c r="A170" s="305" t="s">
        <v>780</v>
      </c>
      <c r="B170" s="320">
        <v>5254740</v>
      </c>
      <c r="C170" s="322" t="s">
        <v>819</v>
      </c>
      <c r="D170" s="306">
        <v>45541</v>
      </c>
      <c r="E170" s="305">
        <v>30</v>
      </c>
      <c r="F170" s="306">
        <f t="shared" si="45"/>
        <v>45571</v>
      </c>
      <c r="G170" s="305">
        <f t="shared" si="2"/>
        <v>-6</v>
      </c>
      <c r="H170" s="321">
        <f t="shared" si="46"/>
        <v>5254740</v>
      </c>
      <c r="I170" s="305"/>
      <c r="J170" s="305"/>
      <c r="K170" s="305"/>
      <c r="L170" s="305"/>
    </row>
    <row r="171" spans="1:12">
      <c r="A171" s="305" t="s">
        <v>780</v>
      </c>
      <c r="B171" s="320">
        <v>10509480</v>
      </c>
      <c r="C171" s="322" t="s">
        <v>637</v>
      </c>
      <c r="D171" s="306">
        <v>45546</v>
      </c>
      <c r="E171" s="305">
        <v>30</v>
      </c>
      <c r="F171" s="306">
        <f t="shared" si="45"/>
        <v>45576</v>
      </c>
      <c r="G171" s="305">
        <f t="shared" si="2"/>
        <v>-11</v>
      </c>
      <c r="H171" s="321">
        <f t="shared" si="46"/>
        <v>10509480</v>
      </c>
      <c r="I171" s="305"/>
      <c r="J171" s="305"/>
      <c r="K171" s="305"/>
      <c r="L171" s="305"/>
    </row>
    <row r="172" spans="1:12">
      <c r="A172" s="305" t="s">
        <v>780</v>
      </c>
      <c r="B172" s="320">
        <v>4787652</v>
      </c>
      <c r="C172" s="322" t="s">
        <v>638</v>
      </c>
      <c r="D172" s="306">
        <v>45547</v>
      </c>
      <c r="E172" s="305">
        <v>30</v>
      </c>
      <c r="F172" s="306">
        <f t="shared" si="45"/>
        <v>45577</v>
      </c>
      <c r="G172" s="305">
        <f t="shared" si="2"/>
        <v>-12</v>
      </c>
      <c r="H172" s="321">
        <f t="shared" si="46"/>
        <v>4787652</v>
      </c>
      <c r="I172" s="305"/>
      <c r="J172" s="305"/>
      <c r="K172" s="305"/>
      <c r="L172" s="305"/>
    </row>
    <row r="173" spans="1:12">
      <c r="A173" s="305" t="s">
        <v>780</v>
      </c>
      <c r="B173" s="320">
        <v>5838600</v>
      </c>
      <c r="C173" s="322" t="s">
        <v>619</v>
      </c>
      <c r="D173" s="306">
        <v>45547</v>
      </c>
      <c r="E173" s="305">
        <v>30</v>
      </c>
      <c r="F173" s="306">
        <f t="shared" si="45"/>
        <v>45577</v>
      </c>
      <c r="G173" s="305">
        <f t="shared" si="2"/>
        <v>-12</v>
      </c>
      <c r="H173" s="321">
        <f t="shared" si="46"/>
        <v>5838600</v>
      </c>
      <c r="I173" s="305"/>
      <c r="J173" s="305"/>
      <c r="K173" s="305"/>
      <c r="L173" s="305"/>
    </row>
    <row r="174" spans="1:12">
      <c r="A174" s="305" t="s">
        <v>780</v>
      </c>
      <c r="B174" s="320">
        <v>10509480</v>
      </c>
      <c r="C174" s="322" t="s">
        <v>820</v>
      </c>
      <c r="D174" s="306">
        <v>45554</v>
      </c>
      <c r="E174" s="305">
        <v>30</v>
      </c>
      <c r="F174" s="306">
        <f t="shared" si="45"/>
        <v>45584</v>
      </c>
      <c r="G174" s="305">
        <f t="shared" si="2"/>
        <v>-19</v>
      </c>
      <c r="H174" s="321">
        <f t="shared" si="46"/>
        <v>10509480</v>
      </c>
      <c r="I174" s="305"/>
      <c r="J174" s="305"/>
      <c r="K174" s="305"/>
      <c r="L174" s="305"/>
    </row>
    <row r="175" spans="1:12">
      <c r="A175" s="305" t="s">
        <v>780</v>
      </c>
      <c r="B175" s="320">
        <v>5254740</v>
      </c>
      <c r="C175" s="322" t="s">
        <v>821</v>
      </c>
      <c r="D175" s="306">
        <v>45554</v>
      </c>
      <c r="E175" s="305">
        <v>30</v>
      </c>
      <c r="F175" s="306">
        <f t="shared" si="45"/>
        <v>45584</v>
      </c>
      <c r="G175" s="305">
        <f t="shared" si="2"/>
        <v>-19</v>
      </c>
      <c r="H175" s="321">
        <f t="shared" si="46"/>
        <v>5254740</v>
      </c>
      <c r="I175" s="305"/>
      <c r="J175" s="305"/>
      <c r="K175" s="305"/>
      <c r="L175" s="305"/>
    </row>
    <row r="176" spans="1:12">
      <c r="A176" s="305" t="s">
        <v>780</v>
      </c>
      <c r="B176" s="320">
        <v>5254740</v>
      </c>
      <c r="C176" s="322" t="s">
        <v>822</v>
      </c>
      <c r="D176" s="306">
        <v>45554</v>
      </c>
      <c r="E176" s="305">
        <v>30</v>
      </c>
      <c r="F176" s="306">
        <f t="shared" si="45"/>
        <v>45584</v>
      </c>
      <c r="G176" s="305">
        <f t="shared" si="2"/>
        <v>-19</v>
      </c>
      <c r="H176" s="321">
        <f t="shared" si="46"/>
        <v>5254740</v>
      </c>
      <c r="I176" s="305"/>
      <c r="J176" s="305"/>
      <c r="K176" s="305"/>
      <c r="L176" s="305"/>
    </row>
    <row r="177" spans="1:12">
      <c r="A177" s="305"/>
      <c r="B177" s="320"/>
      <c r="C177" s="305"/>
      <c r="D177" s="305"/>
      <c r="E177" s="305"/>
      <c r="F177" s="306"/>
      <c r="G177" s="305"/>
      <c r="H177" s="305"/>
      <c r="I177" s="305"/>
      <c r="J177" s="305"/>
      <c r="K177" s="305"/>
      <c r="L177" s="305"/>
    </row>
    <row r="178" spans="1:12">
      <c r="A178" s="305" t="s">
        <v>279</v>
      </c>
      <c r="B178" s="320">
        <v>22150000</v>
      </c>
      <c r="C178" s="305">
        <v>202</v>
      </c>
      <c r="D178" s="306">
        <v>45433</v>
      </c>
      <c r="E178" s="305">
        <v>30</v>
      </c>
      <c r="F178" s="306">
        <f t="shared" ref="F178:F188" si="47">D178+E178</f>
        <v>45463</v>
      </c>
      <c r="G178" s="305">
        <f t="shared" si="2"/>
        <v>102</v>
      </c>
      <c r="H178" s="305"/>
      <c r="I178" s="305"/>
      <c r="J178" s="305"/>
      <c r="K178" s="305"/>
      <c r="L178" s="321">
        <f t="shared" ref="L178:L179" si="48">B178</f>
        <v>22150000</v>
      </c>
    </row>
    <row r="179" spans="1:12">
      <c r="A179" s="305" t="s">
        <v>279</v>
      </c>
      <c r="B179" s="320">
        <v>22150000</v>
      </c>
      <c r="C179" s="305">
        <v>214</v>
      </c>
      <c r="D179" s="306">
        <v>45441</v>
      </c>
      <c r="E179" s="305">
        <v>30</v>
      </c>
      <c r="F179" s="306">
        <f t="shared" si="47"/>
        <v>45471</v>
      </c>
      <c r="G179" s="305">
        <f t="shared" si="2"/>
        <v>94</v>
      </c>
      <c r="H179" s="305"/>
      <c r="I179" s="305"/>
      <c r="J179" s="305"/>
      <c r="K179" s="305"/>
      <c r="L179" s="321">
        <f t="shared" si="48"/>
        <v>22150000</v>
      </c>
    </row>
    <row r="180" spans="1:12">
      <c r="A180" s="305" t="s">
        <v>279</v>
      </c>
      <c r="B180" s="320">
        <v>22150000</v>
      </c>
      <c r="C180" s="305">
        <v>250</v>
      </c>
      <c r="D180" s="306">
        <v>45463</v>
      </c>
      <c r="E180" s="305">
        <v>30</v>
      </c>
      <c r="F180" s="306">
        <f t="shared" si="47"/>
        <v>45493</v>
      </c>
      <c r="G180" s="305">
        <f t="shared" si="2"/>
        <v>72</v>
      </c>
      <c r="H180" s="305"/>
      <c r="I180" s="305"/>
      <c r="J180" s="305"/>
      <c r="K180" s="321">
        <f>B180</f>
        <v>22150000</v>
      </c>
      <c r="L180" s="305"/>
    </row>
    <row r="181" spans="1:12">
      <c r="A181" s="305" t="s">
        <v>279</v>
      </c>
      <c r="B181" s="320">
        <v>49110000</v>
      </c>
      <c r="C181" s="305">
        <v>262</v>
      </c>
      <c r="D181" s="306">
        <v>45471</v>
      </c>
      <c r="E181" s="305">
        <v>30</v>
      </c>
      <c r="F181" s="306">
        <f t="shared" si="47"/>
        <v>45501</v>
      </c>
      <c r="G181" s="305">
        <f t="shared" si="2"/>
        <v>64</v>
      </c>
      <c r="H181" s="305"/>
      <c r="I181" s="305"/>
      <c r="J181" s="305"/>
      <c r="K181" s="321">
        <f>B181</f>
        <v>49110000</v>
      </c>
      <c r="L181" s="305"/>
    </row>
    <row r="182" spans="1:12">
      <c r="A182" s="305" t="s">
        <v>279</v>
      </c>
      <c r="B182" s="320">
        <v>22150000</v>
      </c>
      <c r="C182" s="305">
        <v>284</v>
      </c>
      <c r="D182" s="306">
        <v>45483</v>
      </c>
      <c r="E182" s="305">
        <v>30</v>
      </c>
      <c r="F182" s="306">
        <f t="shared" si="47"/>
        <v>45513</v>
      </c>
      <c r="G182" s="305">
        <f t="shared" si="2"/>
        <v>52</v>
      </c>
      <c r="H182" s="305"/>
      <c r="I182" s="305"/>
      <c r="J182" s="321">
        <f>B182</f>
        <v>22150000</v>
      </c>
      <c r="K182" s="305"/>
      <c r="L182" s="305"/>
    </row>
    <row r="183" spans="1:12">
      <c r="A183" s="305" t="s">
        <v>279</v>
      </c>
      <c r="B183" s="320">
        <v>33230000</v>
      </c>
      <c r="C183" s="305">
        <v>312</v>
      </c>
      <c r="D183" s="306">
        <v>45592</v>
      </c>
      <c r="E183" s="305">
        <v>30</v>
      </c>
      <c r="F183" s="306">
        <f t="shared" si="47"/>
        <v>45622</v>
      </c>
      <c r="G183" s="305">
        <f t="shared" si="2"/>
        <v>-57</v>
      </c>
      <c r="H183" s="321">
        <f>B183</f>
        <v>33230000</v>
      </c>
      <c r="I183" s="305"/>
      <c r="J183" s="305"/>
      <c r="K183" s="305"/>
      <c r="L183" s="305"/>
    </row>
    <row r="184" spans="1:12">
      <c r="A184" s="305" t="s">
        <v>279</v>
      </c>
      <c r="B184" s="320">
        <v>33230000</v>
      </c>
      <c r="C184" s="305">
        <v>346</v>
      </c>
      <c r="D184" s="306">
        <v>45513</v>
      </c>
      <c r="E184" s="305">
        <v>30</v>
      </c>
      <c r="F184" s="306">
        <f t="shared" si="47"/>
        <v>45543</v>
      </c>
      <c r="G184" s="305">
        <f t="shared" si="2"/>
        <v>22</v>
      </c>
      <c r="H184" s="305"/>
      <c r="I184" s="321">
        <f t="shared" ref="I184:I185" si="49">B184</f>
        <v>33230000</v>
      </c>
      <c r="J184" s="305"/>
      <c r="K184" s="305"/>
      <c r="L184" s="305"/>
    </row>
    <row r="185" spans="1:12">
      <c r="A185" s="305" t="s">
        <v>279</v>
      </c>
      <c r="B185" s="320">
        <v>12270000</v>
      </c>
      <c r="C185" s="305">
        <v>367</v>
      </c>
      <c r="D185" s="306">
        <v>45523</v>
      </c>
      <c r="E185" s="305">
        <v>30</v>
      </c>
      <c r="F185" s="306">
        <f t="shared" si="47"/>
        <v>45553</v>
      </c>
      <c r="G185" s="305">
        <f t="shared" si="2"/>
        <v>12</v>
      </c>
      <c r="H185" s="305"/>
      <c r="I185" s="321">
        <f t="shared" si="49"/>
        <v>12270000</v>
      </c>
      <c r="J185" s="305"/>
      <c r="K185" s="305"/>
      <c r="L185" s="305"/>
    </row>
    <row r="186" spans="1:12">
      <c r="A186" s="305" t="s">
        <v>279</v>
      </c>
      <c r="B186" s="320">
        <v>33230000</v>
      </c>
      <c r="C186" s="305">
        <v>397</v>
      </c>
      <c r="D186" s="306">
        <v>45537</v>
      </c>
      <c r="E186" s="305">
        <v>30</v>
      </c>
      <c r="F186" s="306">
        <f t="shared" si="47"/>
        <v>45567</v>
      </c>
      <c r="G186" s="305">
        <f t="shared" si="2"/>
        <v>-2</v>
      </c>
      <c r="H186" s="321">
        <f t="shared" ref="H186:H188" si="50">B186</f>
        <v>33230000</v>
      </c>
      <c r="I186" s="305"/>
      <c r="J186" s="305"/>
      <c r="K186" s="305"/>
      <c r="L186" s="305"/>
    </row>
    <row r="187" spans="1:12">
      <c r="A187" s="305" t="s">
        <v>279</v>
      </c>
      <c r="B187" s="320">
        <v>26960000</v>
      </c>
      <c r="C187" s="305">
        <v>398</v>
      </c>
      <c r="D187" s="306">
        <v>45537</v>
      </c>
      <c r="E187" s="305">
        <v>30</v>
      </c>
      <c r="F187" s="306">
        <f t="shared" si="47"/>
        <v>45567</v>
      </c>
      <c r="G187" s="305">
        <f t="shared" si="2"/>
        <v>-2</v>
      </c>
      <c r="H187" s="321">
        <f t="shared" si="50"/>
        <v>26960000</v>
      </c>
      <c r="I187" s="305"/>
      <c r="J187" s="305"/>
      <c r="K187" s="305"/>
      <c r="L187" s="305"/>
    </row>
    <row r="188" spans="1:12">
      <c r="A188" s="305" t="s">
        <v>279</v>
      </c>
      <c r="B188" s="320">
        <v>33230000</v>
      </c>
      <c r="C188" s="305">
        <v>415</v>
      </c>
      <c r="D188" s="306">
        <v>45547</v>
      </c>
      <c r="E188" s="305">
        <v>30</v>
      </c>
      <c r="F188" s="306">
        <f t="shared" si="47"/>
        <v>45577</v>
      </c>
      <c r="G188" s="305">
        <f t="shared" si="2"/>
        <v>-12</v>
      </c>
      <c r="H188" s="321">
        <f t="shared" si="50"/>
        <v>33230000</v>
      </c>
      <c r="I188" s="305"/>
      <c r="J188" s="305"/>
      <c r="K188" s="305"/>
      <c r="L188" s="305"/>
    </row>
    <row r="189" spans="1:12">
      <c r="A189" s="305"/>
      <c r="B189" s="320"/>
      <c r="C189" s="305"/>
      <c r="D189" s="305"/>
      <c r="E189" s="305"/>
      <c r="F189" s="306"/>
      <c r="G189" s="305"/>
      <c r="H189" s="305"/>
      <c r="I189" s="305"/>
      <c r="J189" s="305"/>
      <c r="K189" s="305"/>
      <c r="L189" s="305"/>
    </row>
    <row r="190" spans="1:12">
      <c r="A190" s="305" t="s">
        <v>281</v>
      </c>
      <c r="B190" s="320">
        <v>23250000</v>
      </c>
      <c r="C190" s="324" t="s">
        <v>823</v>
      </c>
      <c r="D190" s="306">
        <v>45375</v>
      </c>
      <c r="E190" s="305">
        <v>30</v>
      </c>
      <c r="F190" s="306">
        <f t="shared" ref="F190:F197" si="51">D190+E190</f>
        <v>45405</v>
      </c>
      <c r="G190" s="305">
        <f t="shared" si="2"/>
        <v>160</v>
      </c>
      <c r="H190" s="305"/>
      <c r="I190" s="305"/>
      <c r="J190" s="305"/>
      <c r="K190" s="305"/>
      <c r="L190" s="321">
        <f>B190</f>
        <v>23250000</v>
      </c>
    </row>
    <row r="191" spans="1:12">
      <c r="A191" s="305" t="s">
        <v>281</v>
      </c>
      <c r="B191" s="320">
        <v>69000000</v>
      </c>
      <c r="C191" s="324" t="s">
        <v>824</v>
      </c>
      <c r="D191" s="306">
        <v>45505</v>
      </c>
      <c r="E191" s="305">
        <v>30</v>
      </c>
      <c r="F191" s="306">
        <f t="shared" si="51"/>
        <v>45535</v>
      </c>
      <c r="G191" s="305">
        <f t="shared" si="2"/>
        <v>30</v>
      </c>
      <c r="H191" s="305"/>
      <c r="I191" s="321">
        <f t="shared" ref="I191:I193" si="52">B191</f>
        <v>69000000</v>
      </c>
      <c r="J191" s="305"/>
      <c r="K191" s="305"/>
      <c r="L191" s="305"/>
    </row>
    <row r="192" spans="1:12">
      <c r="A192" s="305" t="s">
        <v>281</v>
      </c>
      <c r="B192" s="320">
        <v>52500000</v>
      </c>
      <c r="C192" s="324" t="s">
        <v>825</v>
      </c>
      <c r="D192" s="306">
        <v>45506</v>
      </c>
      <c r="E192" s="305">
        <v>30</v>
      </c>
      <c r="F192" s="306">
        <f t="shared" si="51"/>
        <v>45536</v>
      </c>
      <c r="G192" s="305">
        <f t="shared" si="2"/>
        <v>29</v>
      </c>
      <c r="H192" s="305"/>
      <c r="I192" s="321">
        <f t="shared" si="52"/>
        <v>52500000</v>
      </c>
      <c r="J192" s="305"/>
      <c r="K192" s="305"/>
      <c r="L192" s="305"/>
    </row>
    <row r="193" spans="1:13">
      <c r="A193" s="305" t="s">
        <v>281</v>
      </c>
      <c r="B193" s="320">
        <v>42000000</v>
      </c>
      <c r="C193" s="324" t="s">
        <v>631</v>
      </c>
      <c r="D193" s="306">
        <v>45507</v>
      </c>
      <c r="E193" s="305">
        <v>30</v>
      </c>
      <c r="F193" s="306">
        <f t="shared" si="51"/>
        <v>45537</v>
      </c>
      <c r="G193" s="305">
        <f t="shared" si="2"/>
        <v>28</v>
      </c>
      <c r="H193" s="305"/>
      <c r="I193" s="321">
        <f t="shared" si="52"/>
        <v>42000000</v>
      </c>
      <c r="J193" s="305"/>
      <c r="K193" s="305"/>
      <c r="L193" s="305"/>
    </row>
    <row r="194" spans="1:13">
      <c r="A194" s="305" t="s">
        <v>281</v>
      </c>
      <c r="B194" s="320">
        <v>53250000</v>
      </c>
      <c r="C194" s="324" t="s">
        <v>632</v>
      </c>
      <c r="D194" s="306">
        <v>12635</v>
      </c>
      <c r="E194" s="305">
        <v>30</v>
      </c>
      <c r="F194" s="306">
        <f t="shared" si="51"/>
        <v>12665</v>
      </c>
      <c r="G194" s="305">
        <f t="shared" si="2"/>
        <v>32900</v>
      </c>
      <c r="H194" s="305"/>
      <c r="I194" s="305"/>
      <c r="J194" s="305"/>
      <c r="K194" s="305"/>
      <c r="L194" s="321">
        <f>B194</f>
        <v>53250000</v>
      </c>
    </row>
    <row r="195" spans="1:13">
      <c r="A195" s="305" t="s">
        <v>281</v>
      </c>
      <c r="B195" s="320">
        <v>38750000</v>
      </c>
      <c r="C195" s="324" t="s">
        <v>633</v>
      </c>
      <c r="D195" s="306">
        <v>45509</v>
      </c>
      <c r="E195" s="305">
        <v>30</v>
      </c>
      <c r="F195" s="306">
        <f t="shared" si="51"/>
        <v>45539</v>
      </c>
      <c r="G195" s="305">
        <f t="shared" si="2"/>
        <v>26</v>
      </c>
      <c r="H195" s="305"/>
      <c r="I195" s="321">
        <f t="shared" ref="I195:I197" si="53">B195</f>
        <v>38750000</v>
      </c>
      <c r="J195" s="305"/>
      <c r="K195" s="305"/>
      <c r="L195" s="305"/>
    </row>
    <row r="196" spans="1:13">
      <c r="A196" s="305" t="s">
        <v>281</v>
      </c>
      <c r="B196" s="320">
        <v>53250000</v>
      </c>
      <c r="C196" s="324" t="s">
        <v>826</v>
      </c>
      <c r="D196" s="306">
        <v>45522</v>
      </c>
      <c r="E196" s="305">
        <v>30</v>
      </c>
      <c r="F196" s="306">
        <f t="shared" si="51"/>
        <v>45552</v>
      </c>
      <c r="G196" s="305">
        <f t="shared" si="2"/>
        <v>13</v>
      </c>
      <c r="H196" s="305"/>
      <c r="I196" s="321">
        <f t="shared" si="53"/>
        <v>53250000</v>
      </c>
      <c r="J196" s="305"/>
      <c r="K196" s="305"/>
      <c r="L196" s="305"/>
    </row>
    <row r="197" spans="1:13">
      <c r="A197" s="305" t="s">
        <v>281</v>
      </c>
      <c r="B197" s="320">
        <v>34000000</v>
      </c>
      <c r="C197" s="324" t="s">
        <v>636</v>
      </c>
      <c r="D197" s="306">
        <v>45526</v>
      </c>
      <c r="E197" s="305">
        <v>30</v>
      </c>
      <c r="F197" s="306">
        <f t="shared" si="51"/>
        <v>45556</v>
      </c>
      <c r="G197" s="305">
        <f t="shared" si="2"/>
        <v>9</v>
      </c>
      <c r="H197" s="305"/>
      <c r="I197" s="321">
        <f t="shared" si="53"/>
        <v>34000000</v>
      </c>
      <c r="J197" s="305"/>
      <c r="K197" s="305"/>
      <c r="L197" s="305"/>
    </row>
    <row r="198" spans="1:13">
      <c r="A198" s="305"/>
      <c r="B198" s="320"/>
      <c r="C198" s="323"/>
      <c r="D198" s="305"/>
      <c r="E198" s="305"/>
      <c r="F198" s="306"/>
      <c r="G198" s="305"/>
      <c r="H198" s="305"/>
      <c r="I198" s="305"/>
      <c r="J198" s="305"/>
      <c r="K198" s="305"/>
      <c r="L198" s="305"/>
    </row>
    <row r="199" spans="1:13">
      <c r="A199" s="305" t="s">
        <v>282</v>
      </c>
      <c r="B199" s="320">
        <v>11094849</v>
      </c>
      <c r="C199" s="305">
        <v>182</v>
      </c>
      <c r="D199" s="306">
        <v>45453</v>
      </c>
      <c r="E199" s="305">
        <v>30</v>
      </c>
      <c r="F199" s="306">
        <f t="shared" ref="F199:F200" si="54">D199+E199</f>
        <v>45483</v>
      </c>
      <c r="G199" s="305">
        <f t="shared" si="2"/>
        <v>82</v>
      </c>
      <c r="H199" s="305"/>
      <c r="I199" s="305"/>
      <c r="J199" s="305"/>
      <c r="K199" s="321">
        <f>B199</f>
        <v>11094849</v>
      </c>
      <c r="L199" s="305"/>
    </row>
    <row r="200" spans="1:13">
      <c r="A200" s="305" t="s">
        <v>282</v>
      </c>
      <c r="B200" s="320">
        <v>11094849</v>
      </c>
      <c r="C200" s="305">
        <v>404</v>
      </c>
      <c r="D200" s="306">
        <v>45547</v>
      </c>
      <c r="E200" s="305">
        <v>30</v>
      </c>
      <c r="F200" s="306">
        <f t="shared" si="54"/>
        <v>45577</v>
      </c>
      <c r="G200" s="305">
        <f t="shared" si="2"/>
        <v>-12</v>
      </c>
      <c r="H200" s="321">
        <f>B200</f>
        <v>11094849</v>
      </c>
      <c r="I200" s="305"/>
      <c r="J200" s="305"/>
      <c r="K200" s="305"/>
      <c r="L200" s="305"/>
    </row>
    <row r="201" spans="1:13">
      <c r="A201" s="305"/>
      <c r="B201" s="320"/>
      <c r="C201" s="305"/>
      <c r="D201" s="305"/>
      <c r="E201" s="305"/>
      <c r="F201" s="306"/>
      <c r="G201" s="305"/>
      <c r="H201" s="305"/>
      <c r="I201" s="305"/>
      <c r="J201" s="305"/>
      <c r="K201" s="305"/>
      <c r="L201" s="305"/>
    </row>
    <row r="202" spans="1:13">
      <c r="A202" s="305" t="s">
        <v>300</v>
      </c>
      <c r="B202" s="320">
        <v>111932008.59</v>
      </c>
      <c r="C202" s="322" t="s">
        <v>652</v>
      </c>
      <c r="D202" s="306">
        <v>45563</v>
      </c>
      <c r="E202" s="305">
        <v>30</v>
      </c>
      <c r="F202" s="306">
        <f t="shared" ref="F202:F204" si="55">D202+E202</f>
        <v>45593</v>
      </c>
      <c r="G202" s="305">
        <f t="shared" si="2"/>
        <v>-28</v>
      </c>
      <c r="H202" s="321">
        <f t="shared" ref="H202:H204" si="56">B202</f>
        <v>111932008.59</v>
      </c>
      <c r="I202" s="305"/>
      <c r="J202" s="305"/>
      <c r="K202" s="305"/>
      <c r="L202" s="305"/>
    </row>
    <row r="203" spans="1:13">
      <c r="A203" s="305" t="s">
        <v>300</v>
      </c>
      <c r="B203" s="320">
        <v>94837347.349999994</v>
      </c>
      <c r="C203" s="322" t="s">
        <v>647</v>
      </c>
      <c r="D203" s="306">
        <v>45563</v>
      </c>
      <c r="E203" s="305">
        <v>30</v>
      </c>
      <c r="F203" s="306">
        <f t="shared" si="55"/>
        <v>45593</v>
      </c>
      <c r="G203" s="305">
        <f t="shared" si="2"/>
        <v>-28</v>
      </c>
      <c r="H203" s="321">
        <f t="shared" si="56"/>
        <v>94837347.349999994</v>
      </c>
      <c r="I203" s="305"/>
      <c r="J203" s="305"/>
      <c r="K203" s="305"/>
      <c r="L203" s="305"/>
    </row>
    <row r="204" spans="1:13">
      <c r="A204" s="305" t="s">
        <v>300</v>
      </c>
      <c r="B204" s="320">
        <v>130896891.55</v>
      </c>
      <c r="C204" s="322" t="s">
        <v>827</v>
      </c>
      <c r="D204" s="306">
        <v>45563</v>
      </c>
      <c r="E204" s="305">
        <v>30</v>
      </c>
      <c r="F204" s="306">
        <f t="shared" si="55"/>
        <v>45593</v>
      </c>
      <c r="G204" s="305">
        <f t="shared" si="2"/>
        <v>-28</v>
      </c>
      <c r="H204" s="321">
        <f t="shared" si="56"/>
        <v>130896891.55</v>
      </c>
      <c r="I204" s="305"/>
      <c r="J204" s="305"/>
      <c r="K204" s="305"/>
      <c r="L204" s="305"/>
    </row>
    <row r="205" spans="1:13">
      <c r="A205" s="305"/>
      <c r="B205" s="320"/>
      <c r="C205" s="305"/>
      <c r="D205" s="305"/>
      <c r="E205" s="305"/>
      <c r="F205" s="306"/>
      <c r="G205" s="305"/>
      <c r="H205" s="305"/>
      <c r="I205" s="305"/>
      <c r="J205" s="305"/>
      <c r="K205" s="305"/>
      <c r="L205" s="305"/>
    </row>
    <row r="206" spans="1:13">
      <c r="A206" s="305" t="s">
        <v>302</v>
      </c>
      <c r="B206" s="320">
        <v>9000000</v>
      </c>
      <c r="C206" s="305"/>
      <c r="D206" s="76">
        <v>44927</v>
      </c>
      <c r="E206" s="305">
        <v>30</v>
      </c>
      <c r="F206" s="306">
        <f t="shared" si="1"/>
        <v>44957</v>
      </c>
      <c r="G206" s="305">
        <f t="shared" si="2"/>
        <v>608</v>
      </c>
      <c r="H206" s="305"/>
      <c r="I206" s="305"/>
      <c r="J206" s="305"/>
      <c r="K206" s="305"/>
      <c r="L206" s="321">
        <f>B206</f>
        <v>9000000</v>
      </c>
      <c r="M206" s="303" t="s">
        <v>788</v>
      </c>
    </row>
    <row r="207" spans="1:13">
      <c r="A207" s="305"/>
      <c r="B207" s="320"/>
      <c r="C207" s="305"/>
      <c r="D207" s="76"/>
      <c r="E207" s="305"/>
      <c r="F207" s="306"/>
      <c r="G207" s="305"/>
      <c r="H207" s="305"/>
      <c r="I207" s="305"/>
      <c r="J207" s="305"/>
      <c r="K207" s="305"/>
      <c r="L207" s="321"/>
    </row>
    <row r="208" spans="1:13">
      <c r="A208" s="305" t="s">
        <v>781</v>
      </c>
      <c r="B208" s="320">
        <v>61582500</v>
      </c>
      <c r="C208" s="305">
        <v>2377</v>
      </c>
      <c r="D208" s="306">
        <v>45548</v>
      </c>
      <c r="E208" s="305">
        <v>30</v>
      </c>
      <c r="F208" s="306">
        <f t="shared" ref="F208:F210" si="57">D208+E208</f>
        <v>45578</v>
      </c>
      <c r="G208" s="305">
        <f t="shared" si="2"/>
        <v>-13</v>
      </c>
      <c r="H208" s="321">
        <f t="shared" ref="H208:H210" si="58">B208</f>
        <v>61582500</v>
      </c>
      <c r="I208" s="305"/>
      <c r="J208" s="305"/>
      <c r="K208" s="305"/>
      <c r="L208" s="305"/>
    </row>
    <row r="209" spans="1:12">
      <c r="A209" s="305" t="s">
        <v>781</v>
      </c>
      <c r="B209" s="320">
        <v>18917500</v>
      </c>
      <c r="C209" s="305">
        <v>2434</v>
      </c>
      <c r="D209" s="306">
        <v>45553</v>
      </c>
      <c r="E209" s="305">
        <v>30</v>
      </c>
      <c r="F209" s="306">
        <f t="shared" si="57"/>
        <v>45583</v>
      </c>
      <c r="G209" s="305">
        <f t="shared" si="2"/>
        <v>-18</v>
      </c>
      <c r="H209" s="321">
        <f t="shared" si="58"/>
        <v>18917500</v>
      </c>
      <c r="I209" s="305"/>
      <c r="J209" s="305"/>
      <c r="K209" s="305"/>
      <c r="L209" s="305"/>
    </row>
    <row r="210" spans="1:12">
      <c r="A210" s="305" t="s">
        <v>781</v>
      </c>
      <c r="B210" s="320">
        <v>48300000</v>
      </c>
      <c r="C210" s="305">
        <v>2515</v>
      </c>
      <c r="D210" s="306">
        <v>45562</v>
      </c>
      <c r="E210" s="305">
        <v>30</v>
      </c>
      <c r="F210" s="306">
        <f t="shared" si="57"/>
        <v>45592</v>
      </c>
      <c r="G210" s="305">
        <f t="shared" si="2"/>
        <v>-27</v>
      </c>
      <c r="H210" s="321">
        <f t="shared" si="58"/>
        <v>48300000</v>
      </c>
      <c r="I210" s="305"/>
      <c r="J210" s="305"/>
      <c r="K210" s="305"/>
      <c r="L210" s="305"/>
    </row>
    <row r="211" spans="1:12">
      <c r="A211" s="305"/>
      <c r="B211" s="320"/>
      <c r="C211" s="305"/>
      <c r="D211" s="305"/>
      <c r="E211" s="305"/>
      <c r="F211" s="306"/>
      <c r="G211" s="305"/>
      <c r="H211" s="305"/>
      <c r="I211" s="305"/>
      <c r="J211" s="305"/>
      <c r="K211" s="305"/>
      <c r="L211" s="305"/>
    </row>
    <row r="212" spans="1:12">
      <c r="A212" s="305" t="s">
        <v>782</v>
      </c>
      <c r="B212" s="320">
        <v>186131640</v>
      </c>
      <c r="C212" s="305">
        <v>420</v>
      </c>
      <c r="D212" s="306">
        <v>45563</v>
      </c>
      <c r="E212" s="305">
        <v>30</v>
      </c>
      <c r="F212" s="306">
        <f t="shared" si="1"/>
        <v>45593</v>
      </c>
      <c r="G212" s="305">
        <f t="shared" si="2"/>
        <v>-28</v>
      </c>
      <c r="H212" s="321">
        <f>B212</f>
        <v>186131640</v>
      </c>
      <c r="I212" s="305"/>
      <c r="J212" s="305"/>
      <c r="K212" s="305"/>
      <c r="L212" s="305"/>
    </row>
    <row r="213" spans="1:12">
      <c r="A213" s="305"/>
      <c r="B213" s="320"/>
      <c r="C213" s="305"/>
      <c r="D213" s="305"/>
      <c r="E213" s="305"/>
      <c r="F213" s="306"/>
      <c r="G213" s="305"/>
      <c r="H213" s="305"/>
      <c r="I213" s="305"/>
      <c r="J213" s="305"/>
      <c r="K213" s="305"/>
      <c r="L213" s="305"/>
    </row>
    <row r="214" spans="1:12">
      <c r="A214" s="305" t="s">
        <v>779</v>
      </c>
      <c r="B214" s="320">
        <v>223612352</v>
      </c>
      <c r="C214" s="305">
        <v>386</v>
      </c>
      <c r="D214" s="306">
        <v>45548</v>
      </c>
      <c r="E214" s="305">
        <v>30</v>
      </c>
      <c r="F214" s="306">
        <f t="shared" si="1"/>
        <v>45578</v>
      </c>
      <c r="G214" s="305">
        <f t="shared" si="2"/>
        <v>-13</v>
      </c>
      <c r="H214" s="321">
        <f>B214</f>
        <v>223612352</v>
      </c>
      <c r="I214" s="305"/>
      <c r="J214" s="305"/>
      <c r="K214" s="305"/>
      <c r="L214" s="305"/>
    </row>
    <row r="215" spans="1:12">
      <c r="A215" s="305"/>
      <c r="B215" s="320"/>
      <c r="C215" s="305"/>
      <c r="D215" s="305"/>
      <c r="E215" s="305"/>
      <c r="F215" s="306"/>
      <c r="G215" s="305"/>
      <c r="H215" s="305"/>
      <c r="I215" s="305"/>
      <c r="J215" s="305"/>
      <c r="K215" s="305"/>
      <c r="L215" s="305"/>
    </row>
    <row r="216" spans="1:12">
      <c r="A216" s="305" t="s">
        <v>783</v>
      </c>
      <c r="B216" s="320">
        <v>374909033</v>
      </c>
      <c r="C216" s="305"/>
      <c r="D216" s="305"/>
      <c r="E216" s="305"/>
      <c r="F216" s="306"/>
      <c r="G216" s="305"/>
      <c r="H216" s="321"/>
      <c r="I216" s="321">
        <f>B216</f>
        <v>374909033</v>
      </c>
      <c r="J216" s="305"/>
      <c r="K216" s="305"/>
      <c r="L216" s="305"/>
    </row>
    <row r="217" spans="1:12">
      <c r="A217" s="305"/>
      <c r="B217" s="320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</row>
    <row r="218" spans="1:12">
      <c r="A218" s="305"/>
      <c r="B218" s="320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</row>
    <row r="219" spans="1:12">
      <c r="A219" s="305"/>
      <c r="B219" s="320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</row>
    <row r="220" spans="1:12">
      <c r="A220" s="305"/>
      <c r="B220" s="320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</row>
  </sheetData>
  <autoFilter ref="A5:L216" xr:uid="{A94A2A1B-5F1D-4E3A-8395-25F784D6ACF4}"/>
  <pageMargins left="0.7" right="0.7" top="0.75" bottom="0.75" header="0.3" footer="0.3"/>
  <pageSetup paperSize="9" orientation="portrait" horizontalDpi="0" verticalDpi="0" r:id="rId1"/>
  <ignoredErrors>
    <ignoredError sqref="C70:C86 C66:C69 C130:C136 C149:C162 C169:C176 C190:C197 C202:C20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4D9A-939D-4A3C-9704-F715549EC776}">
  <sheetPr>
    <tabColor rgb="FFD7A6F0"/>
  </sheetPr>
  <dimension ref="A1:L71"/>
  <sheetViews>
    <sheetView showGridLines="0" workbookViewId="0">
      <pane xSplit="2" ySplit="6" topLeftCell="C7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24.7265625" customWidth="1"/>
    <col min="2" max="2" width="23.7265625" customWidth="1"/>
    <col min="3" max="3" width="6" customWidth="1"/>
    <col min="4" max="4" width="8.453125" bestFit="1" customWidth="1"/>
    <col min="5" max="5" width="12.08984375" bestFit="1" customWidth="1"/>
    <col min="6" max="6" width="18.6328125" bestFit="1" customWidth="1"/>
    <col min="7" max="7" width="5.36328125" bestFit="1" customWidth="1"/>
    <col min="8" max="8" width="14.81640625" bestFit="1" customWidth="1"/>
    <col min="9" max="9" width="11.26953125" bestFit="1" customWidth="1"/>
    <col min="10" max="11" width="9.81640625" bestFit="1" customWidth="1"/>
    <col min="12" max="12" width="8.6328125" bestFit="1" customWidth="1"/>
  </cols>
  <sheetData>
    <row r="1" spans="1:12">
      <c r="A1" s="198" t="s">
        <v>172</v>
      </c>
    </row>
    <row r="2" spans="1:12">
      <c r="A2" s="198" t="s">
        <v>268</v>
      </c>
    </row>
    <row r="3" spans="1:12">
      <c r="A3" s="199">
        <v>45565</v>
      </c>
    </row>
    <row r="4" spans="1:12">
      <c r="B4" s="330">
        <f>SUM(B8:B40)</f>
        <v>15888228836.299999</v>
      </c>
      <c r="H4" s="16">
        <f>SUM(H8:H40)</f>
        <v>15860138061.299999</v>
      </c>
      <c r="I4" s="16">
        <f>SUM(I8:I40)</f>
        <v>28090775</v>
      </c>
    </row>
    <row r="5" spans="1:12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</row>
    <row r="6" spans="1:12" s="49" customFormat="1">
      <c r="A6" s="52" t="s">
        <v>2</v>
      </c>
      <c r="B6" s="5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</row>
    <row r="7" spans="1:12">
      <c r="A7" s="325" t="s">
        <v>362</v>
      </c>
      <c r="B7" s="327"/>
    </row>
    <row r="8" spans="1:12">
      <c r="A8" s="326" t="s">
        <v>125</v>
      </c>
      <c r="B8" s="328">
        <f>13790000-9150000</f>
        <v>4640000</v>
      </c>
      <c r="D8" s="17">
        <v>45542</v>
      </c>
      <c r="E8">
        <v>30</v>
      </c>
      <c r="F8" s="17">
        <f>D8+E8</f>
        <v>45572</v>
      </c>
      <c r="G8">
        <f>$A$3-F8</f>
        <v>-7</v>
      </c>
      <c r="H8" s="330">
        <f>B8</f>
        <v>4640000</v>
      </c>
    </row>
    <row r="9" spans="1:12">
      <c r="A9" s="326" t="s">
        <v>125</v>
      </c>
      <c r="B9" s="328">
        <v>12120000</v>
      </c>
      <c r="C9">
        <v>993</v>
      </c>
      <c r="D9" s="17">
        <v>45549</v>
      </c>
      <c r="E9">
        <v>30</v>
      </c>
      <c r="F9" s="17">
        <f t="shared" ref="F9:F11" si="0">D9+E9</f>
        <v>45579</v>
      </c>
      <c r="G9">
        <f t="shared" ref="G9:G11" si="1">$A$3-F9</f>
        <v>-14</v>
      </c>
      <c r="H9" s="330">
        <f t="shared" ref="H9:H11" si="2">B9</f>
        <v>12120000</v>
      </c>
    </row>
    <row r="10" spans="1:12">
      <c r="A10" s="326" t="s">
        <v>125</v>
      </c>
      <c r="B10" s="328">
        <v>15460000</v>
      </c>
      <c r="C10">
        <v>1017</v>
      </c>
      <c r="D10" s="17">
        <v>45556</v>
      </c>
      <c r="E10">
        <v>30</v>
      </c>
      <c r="F10" s="17">
        <f t="shared" si="0"/>
        <v>45586</v>
      </c>
      <c r="G10">
        <f t="shared" si="1"/>
        <v>-21</v>
      </c>
      <c r="H10" s="330">
        <f t="shared" si="2"/>
        <v>15460000</v>
      </c>
    </row>
    <row r="11" spans="1:12">
      <c r="A11" s="326" t="s">
        <v>125</v>
      </c>
      <c r="B11" s="328">
        <v>10060000</v>
      </c>
      <c r="C11">
        <v>1037</v>
      </c>
      <c r="D11" s="17">
        <v>45563</v>
      </c>
      <c r="E11">
        <v>30</v>
      </c>
      <c r="F11" s="17">
        <f t="shared" si="0"/>
        <v>45593</v>
      </c>
      <c r="G11">
        <f t="shared" si="1"/>
        <v>-28</v>
      </c>
      <c r="H11" s="330">
        <f t="shared" si="2"/>
        <v>10060000</v>
      </c>
    </row>
    <row r="12" spans="1:12">
      <c r="A12" s="326"/>
      <c r="B12" s="328"/>
      <c r="D12" s="17"/>
      <c r="F12" s="17"/>
      <c r="H12" s="330"/>
    </row>
    <row r="13" spans="1:12">
      <c r="A13" s="326" t="s">
        <v>864</v>
      </c>
      <c r="B13" s="328">
        <v>1680000</v>
      </c>
      <c r="C13">
        <v>1774</v>
      </c>
      <c r="D13" s="17">
        <v>45548</v>
      </c>
      <c r="E13">
        <v>30</v>
      </c>
      <c r="F13" s="17">
        <f t="shared" ref="F13:F22" si="3">D13+E13</f>
        <v>45578</v>
      </c>
      <c r="G13">
        <f t="shared" ref="G13:G22" si="4">$A$3-F13</f>
        <v>-13</v>
      </c>
      <c r="H13" s="330">
        <f t="shared" ref="H13:H22" si="5">B13</f>
        <v>1680000</v>
      </c>
    </row>
    <row r="14" spans="1:12">
      <c r="A14" s="326" t="s">
        <v>864</v>
      </c>
      <c r="B14" s="328">
        <v>1680000</v>
      </c>
      <c r="C14">
        <v>1779</v>
      </c>
      <c r="D14" s="17">
        <v>45549</v>
      </c>
      <c r="E14">
        <v>30</v>
      </c>
      <c r="F14" s="17">
        <f t="shared" si="3"/>
        <v>45579</v>
      </c>
      <c r="G14">
        <f t="shared" si="4"/>
        <v>-14</v>
      </c>
      <c r="H14" s="330">
        <f t="shared" si="5"/>
        <v>1680000</v>
      </c>
    </row>
    <row r="15" spans="1:12">
      <c r="A15" s="326" t="s">
        <v>864</v>
      </c>
      <c r="B15" s="328">
        <v>1260000</v>
      </c>
      <c r="C15">
        <v>1780</v>
      </c>
      <c r="D15" s="17">
        <v>45549</v>
      </c>
      <c r="E15">
        <v>30</v>
      </c>
      <c r="F15" s="17">
        <f t="shared" si="3"/>
        <v>45579</v>
      </c>
      <c r="G15">
        <f t="shared" si="4"/>
        <v>-14</v>
      </c>
      <c r="H15" s="330">
        <f t="shared" si="5"/>
        <v>1260000</v>
      </c>
    </row>
    <row r="16" spans="1:12">
      <c r="A16" s="326" t="s">
        <v>864</v>
      </c>
      <c r="B16" s="328">
        <v>1260000</v>
      </c>
      <c r="C16">
        <v>1781</v>
      </c>
      <c r="D16" s="17">
        <v>45549</v>
      </c>
      <c r="E16">
        <v>30</v>
      </c>
      <c r="F16" s="17">
        <f t="shared" si="3"/>
        <v>45579</v>
      </c>
      <c r="G16">
        <f t="shared" si="4"/>
        <v>-14</v>
      </c>
      <c r="H16" s="330">
        <f t="shared" si="5"/>
        <v>1260000</v>
      </c>
    </row>
    <row r="17" spans="1:9">
      <c r="A17" s="326" t="s">
        <v>864</v>
      </c>
      <c r="B17" s="328">
        <v>1680000</v>
      </c>
      <c r="C17">
        <v>1784</v>
      </c>
      <c r="D17" s="17">
        <v>45550</v>
      </c>
      <c r="E17">
        <v>30</v>
      </c>
      <c r="F17" s="17">
        <f t="shared" si="3"/>
        <v>45580</v>
      </c>
      <c r="G17">
        <f t="shared" si="4"/>
        <v>-15</v>
      </c>
      <c r="H17" s="330">
        <f t="shared" si="5"/>
        <v>1680000</v>
      </c>
    </row>
    <row r="18" spans="1:9">
      <c r="A18" s="326" t="s">
        <v>864</v>
      </c>
      <c r="B18" s="328">
        <v>1260000</v>
      </c>
      <c r="C18">
        <v>1785</v>
      </c>
      <c r="D18" s="17">
        <v>45550</v>
      </c>
      <c r="E18">
        <v>30</v>
      </c>
      <c r="F18" s="17">
        <f t="shared" si="3"/>
        <v>45580</v>
      </c>
      <c r="G18">
        <f t="shared" si="4"/>
        <v>-15</v>
      </c>
      <c r="H18" s="330">
        <f t="shared" si="5"/>
        <v>1260000</v>
      </c>
    </row>
    <row r="19" spans="1:9">
      <c r="A19" s="326" t="s">
        <v>864</v>
      </c>
      <c r="B19" s="328">
        <v>1680000</v>
      </c>
      <c r="C19">
        <v>1789</v>
      </c>
      <c r="D19" s="17">
        <v>45551</v>
      </c>
      <c r="E19">
        <v>30</v>
      </c>
      <c r="F19" s="17">
        <f t="shared" si="3"/>
        <v>45581</v>
      </c>
      <c r="G19">
        <f t="shared" si="4"/>
        <v>-16</v>
      </c>
      <c r="H19" s="330">
        <f t="shared" si="5"/>
        <v>1680000</v>
      </c>
    </row>
    <row r="20" spans="1:9">
      <c r="A20" s="326" t="s">
        <v>864</v>
      </c>
      <c r="B20" s="328">
        <v>1260000</v>
      </c>
      <c r="C20">
        <v>1790</v>
      </c>
      <c r="D20" s="17">
        <v>45551</v>
      </c>
      <c r="E20">
        <v>30</v>
      </c>
      <c r="F20" s="17">
        <f t="shared" si="3"/>
        <v>45581</v>
      </c>
      <c r="G20">
        <f t="shared" si="4"/>
        <v>-16</v>
      </c>
      <c r="H20" s="330">
        <f t="shared" si="5"/>
        <v>1260000</v>
      </c>
    </row>
    <row r="21" spans="1:9">
      <c r="A21" s="326" t="s">
        <v>864</v>
      </c>
      <c r="B21" s="328">
        <v>1680000</v>
      </c>
      <c r="C21">
        <v>1790</v>
      </c>
      <c r="D21" s="17">
        <v>45551</v>
      </c>
      <c r="E21">
        <v>30</v>
      </c>
      <c r="F21" s="17">
        <f t="shared" si="3"/>
        <v>45581</v>
      </c>
      <c r="G21">
        <f t="shared" si="4"/>
        <v>-16</v>
      </c>
      <c r="H21" s="330">
        <f t="shared" si="5"/>
        <v>1680000</v>
      </c>
    </row>
    <row r="22" spans="1:9">
      <c r="A22" s="326" t="s">
        <v>864</v>
      </c>
      <c r="B22" s="328">
        <v>1680000</v>
      </c>
      <c r="C22">
        <v>1849</v>
      </c>
      <c r="D22" s="17">
        <v>45563</v>
      </c>
      <c r="E22">
        <v>30</v>
      </c>
      <c r="F22" s="17">
        <f t="shared" si="3"/>
        <v>45593</v>
      </c>
      <c r="G22">
        <f t="shared" si="4"/>
        <v>-28</v>
      </c>
      <c r="H22" s="330">
        <f t="shared" si="5"/>
        <v>1680000</v>
      </c>
    </row>
    <row r="23" spans="1:9">
      <c r="A23" s="326"/>
      <c r="B23" s="328"/>
      <c r="D23" s="17"/>
      <c r="F23" s="17"/>
    </row>
    <row r="24" spans="1:9">
      <c r="A24" s="326" t="s">
        <v>830</v>
      </c>
      <c r="B24" s="329">
        <v>28090775</v>
      </c>
      <c r="I24" s="330">
        <f>B24</f>
        <v>28090775</v>
      </c>
    </row>
    <row r="25" spans="1:9">
      <c r="A25" s="326"/>
      <c r="B25" s="328"/>
    </row>
    <row r="26" spans="1:9">
      <c r="A26" s="325" t="s">
        <v>355</v>
      </c>
      <c r="B26" s="327"/>
    </row>
    <row r="27" spans="1:9">
      <c r="A27" s="326" t="s">
        <v>356</v>
      </c>
      <c r="B27" s="329">
        <v>1663225600</v>
      </c>
      <c r="D27" s="17">
        <v>45555</v>
      </c>
      <c r="E27">
        <v>60</v>
      </c>
      <c r="F27" s="17">
        <f>D27+E27</f>
        <v>45615</v>
      </c>
      <c r="G27">
        <f>$A$3-F27</f>
        <v>-50</v>
      </c>
      <c r="H27" s="330">
        <f t="shared" ref="H27:H30" si="6">B27</f>
        <v>1663225600</v>
      </c>
    </row>
    <row r="28" spans="1:9">
      <c r="A28" s="326" t="s">
        <v>356</v>
      </c>
      <c r="B28" s="329">
        <f>1570673445-23956859</f>
        <v>1546716586</v>
      </c>
      <c r="D28" s="17">
        <v>45559</v>
      </c>
      <c r="E28">
        <v>60</v>
      </c>
      <c r="F28" s="17">
        <f t="shared" ref="F28:F30" si="7">D28+E28</f>
        <v>45619</v>
      </c>
      <c r="G28">
        <f t="shared" ref="G28:G30" si="8">$A$3-F28</f>
        <v>-54</v>
      </c>
      <c r="H28" s="330">
        <f t="shared" si="6"/>
        <v>1546716586</v>
      </c>
    </row>
    <row r="29" spans="1:9">
      <c r="A29" s="326" t="s">
        <v>356</v>
      </c>
      <c r="B29" s="329">
        <v>1956962250</v>
      </c>
      <c r="D29" s="17">
        <v>45569</v>
      </c>
      <c r="E29">
        <v>60</v>
      </c>
      <c r="F29" s="17">
        <f t="shared" si="7"/>
        <v>45629</v>
      </c>
      <c r="G29">
        <f t="shared" si="8"/>
        <v>-64</v>
      </c>
      <c r="H29" s="330">
        <f t="shared" si="6"/>
        <v>1956962250</v>
      </c>
    </row>
    <row r="30" spans="1:9">
      <c r="A30" s="326" t="s">
        <v>356</v>
      </c>
      <c r="B30" s="329">
        <v>1916539200</v>
      </c>
      <c r="D30" s="17">
        <v>45576</v>
      </c>
      <c r="E30">
        <v>60</v>
      </c>
      <c r="F30" s="17">
        <f t="shared" si="7"/>
        <v>45636</v>
      </c>
      <c r="G30">
        <f t="shared" si="8"/>
        <v>-71</v>
      </c>
      <c r="H30" s="330">
        <f t="shared" si="6"/>
        <v>1916539200</v>
      </c>
    </row>
    <row r="31" spans="1:9">
      <c r="A31" s="331"/>
      <c r="B31" s="329"/>
    </row>
    <row r="32" spans="1:9">
      <c r="A32" s="326" t="s">
        <v>107</v>
      </c>
      <c r="B32" s="329">
        <v>1509175660</v>
      </c>
      <c r="D32" s="17">
        <v>45580</v>
      </c>
      <c r="E32">
        <v>60</v>
      </c>
      <c r="F32" s="17">
        <f t="shared" ref="F32" si="9">D32+E32</f>
        <v>45640</v>
      </c>
      <c r="G32">
        <f t="shared" ref="G32" si="10">$A$3-F32</f>
        <v>-75</v>
      </c>
      <c r="H32" s="330">
        <f t="shared" ref="H32:H33" si="11">B32</f>
        <v>1509175660</v>
      </c>
    </row>
    <row r="33" spans="1:8">
      <c r="A33" s="326" t="s">
        <v>107</v>
      </c>
      <c r="B33" s="329">
        <f>1232713219-16074457</f>
        <v>1216638762</v>
      </c>
      <c r="C33">
        <v>33</v>
      </c>
      <c r="D33" s="17">
        <v>45553</v>
      </c>
      <c r="E33">
        <v>60</v>
      </c>
      <c r="F33" s="17">
        <f t="shared" ref="F33" si="12">D33+E33</f>
        <v>45613</v>
      </c>
      <c r="G33">
        <f t="shared" ref="G33" si="13">$A$3-F33</f>
        <v>-48</v>
      </c>
      <c r="H33" s="330">
        <f t="shared" si="11"/>
        <v>1216638762</v>
      </c>
    </row>
    <row r="34" spans="1:8">
      <c r="A34" s="326"/>
      <c r="B34" s="329"/>
    </row>
    <row r="35" spans="1:8">
      <c r="A35" s="326" t="s">
        <v>828</v>
      </c>
      <c r="B35" s="329">
        <v>1589028594</v>
      </c>
      <c r="C35">
        <v>30</v>
      </c>
      <c r="D35" s="17">
        <v>45546</v>
      </c>
      <c r="E35">
        <v>60</v>
      </c>
      <c r="F35" s="17">
        <f t="shared" ref="F35" si="14">D35+E35</f>
        <v>45606</v>
      </c>
      <c r="G35">
        <f t="shared" ref="G35" si="15">$A$3-F35</f>
        <v>-41</v>
      </c>
      <c r="H35" s="330">
        <f>B35</f>
        <v>1589028594</v>
      </c>
    </row>
    <row r="36" spans="1:8">
      <c r="A36" s="331"/>
      <c r="B36" s="329"/>
    </row>
    <row r="37" spans="1:8">
      <c r="A37" s="326" t="s">
        <v>698</v>
      </c>
      <c r="B37" s="329">
        <v>2507554041.3000002</v>
      </c>
      <c r="D37" s="17">
        <v>45581</v>
      </c>
      <c r="E37">
        <v>60</v>
      </c>
      <c r="F37" s="17">
        <f t="shared" ref="F37" si="16">D37+E37</f>
        <v>45641</v>
      </c>
      <c r="G37">
        <f t="shared" ref="G37" si="17">$A$3-F37</f>
        <v>-76</v>
      </c>
      <c r="H37" s="330">
        <f t="shared" ref="H37:H38" si="18">B37</f>
        <v>2507554041.3000002</v>
      </c>
    </row>
    <row r="38" spans="1:8">
      <c r="A38" s="326" t="s">
        <v>698</v>
      </c>
      <c r="B38" s="329">
        <f>1902912102-6014734</f>
        <v>1896897368</v>
      </c>
      <c r="C38">
        <v>36</v>
      </c>
      <c r="D38" s="17">
        <v>45560</v>
      </c>
      <c r="E38">
        <v>60</v>
      </c>
      <c r="F38" s="17">
        <f t="shared" ref="F38" si="19">D38+E38</f>
        <v>45620</v>
      </c>
      <c r="G38">
        <f t="shared" ref="G38" si="20">$A$3-F38</f>
        <v>-55</v>
      </c>
      <c r="H38" s="330">
        <f t="shared" si="18"/>
        <v>1896897368</v>
      </c>
    </row>
    <row r="39" spans="1:8">
      <c r="A39" s="326"/>
      <c r="D39" s="17"/>
      <c r="F39" s="17"/>
    </row>
    <row r="40" spans="1:8">
      <c r="A40" s="326"/>
      <c r="B40" s="329"/>
    </row>
    <row r="41" spans="1:8">
      <c r="A41" s="326" t="s">
        <v>829</v>
      </c>
      <c r="B41" s="329">
        <v>1680000</v>
      </c>
      <c r="C41">
        <v>1774</v>
      </c>
      <c r="D41" s="17">
        <v>45548</v>
      </c>
      <c r="E41">
        <v>60</v>
      </c>
      <c r="F41" s="17">
        <f t="shared" ref="F41:F50" si="21">D41+E41</f>
        <v>45608</v>
      </c>
      <c r="G41">
        <f t="shared" ref="G41:G50" si="22">$A$3-F41</f>
        <v>-43</v>
      </c>
      <c r="H41" s="330">
        <f t="shared" ref="H41:H50" si="23">B41</f>
        <v>1680000</v>
      </c>
    </row>
    <row r="42" spans="1:8">
      <c r="A42" s="326" t="s">
        <v>829</v>
      </c>
      <c r="B42" s="329">
        <v>1680000</v>
      </c>
      <c r="C42">
        <v>1779</v>
      </c>
      <c r="D42" s="17">
        <v>45549</v>
      </c>
      <c r="E42">
        <v>60</v>
      </c>
      <c r="F42" s="17">
        <f t="shared" si="21"/>
        <v>45609</v>
      </c>
      <c r="G42">
        <f t="shared" si="22"/>
        <v>-44</v>
      </c>
      <c r="H42" s="330">
        <f t="shared" si="23"/>
        <v>1680000</v>
      </c>
    </row>
    <row r="43" spans="1:8">
      <c r="A43" s="326" t="s">
        <v>829</v>
      </c>
      <c r="B43" s="332">
        <v>1260000</v>
      </c>
      <c r="C43">
        <v>1780</v>
      </c>
      <c r="D43" s="17">
        <v>45549</v>
      </c>
      <c r="E43">
        <v>60</v>
      </c>
      <c r="F43" s="17">
        <f t="shared" si="21"/>
        <v>45609</v>
      </c>
      <c r="G43">
        <f t="shared" si="22"/>
        <v>-44</v>
      </c>
      <c r="H43" s="330">
        <f t="shared" si="23"/>
        <v>1260000</v>
      </c>
    </row>
    <row r="44" spans="1:8">
      <c r="A44" s="326" t="s">
        <v>829</v>
      </c>
      <c r="B44" s="332">
        <v>1260000</v>
      </c>
      <c r="C44">
        <v>1781</v>
      </c>
      <c r="D44" s="17">
        <v>45549</v>
      </c>
      <c r="E44">
        <v>60</v>
      </c>
      <c r="F44" s="17">
        <f t="shared" si="21"/>
        <v>45609</v>
      </c>
      <c r="G44">
        <f t="shared" si="22"/>
        <v>-44</v>
      </c>
      <c r="H44" s="330">
        <f t="shared" si="23"/>
        <v>1260000</v>
      </c>
    </row>
    <row r="45" spans="1:8">
      <c r="A45" s="326" t="s">
        <v>829</v>
      </c>
      <c r="B45" s="329">
        <v>1680000</v>
      </c>
      <c r="C45">
        <v>1784</v>
      </c>
      <c r="D45" s="17">
        <v>45550</v>
      </c>
      <c r="E45">
        <v>60</v>
      </c>
      <c r="F45" s="17">
        <f t="shared" si="21"/>
        <v>45610</v>
      </c>
      <c r="G45">
        <f t="shared" si="22"/>
        <v>-45</v>
      </c>
      <c r="H45" s="330">
        <f t="shared" si="23"/>
        <v>1680000</v>
      </c>
    </row>
    <row r="46" spans="1:8">
      <c r="A46" s="326" t="s">
        <v>829</v>
      </c>
      <c r="B46" s="332">
        <v>1260000</v>
      </c>
      <c r="C46">
        <v>1785</v>
      </c>
      <c r="D46" s="17">
        <v>45550</v>
      </c>
      <c r="E46">
        <v>60</v>
      </c>
      <c r="F46" s="17">
        <f t="shared" si="21"/>
        <v>45610</v>
      </c>
      <c r="G46">
        <f t="shared" si="22"/>
        <v>-45</v>
      </c>
      <c r="H46" s="330">
        <f t="shared" si="23"/>
        <v>1260000</v>
      </c>
    </row>
    <row r="47" spans="1:8">
      <c r="A47" s="326" t="s">
        <v>829</v>
      </c>
      <c r="B47" s="329">
        <v>1680000</v>
      </c>
      <c r="C47">
        <v>1789</v>
      </c>
      <c r="D47" s="17">
        <v>45551</v>
      </c>
      <c r="E47">
        <v>60</v>
      </c>
      <c r="F47" s="17">
        <f t="shared" si="21"/>
        <v>45611</v>
      </c>
      <c r="G47">
        <f t="shared" si="22"/>
        <v>-46</v>
      </c>
      <c r="H47" s="330">
        <f t="shared" si="23"/>
        <v>1680000</v>
      </c>
    </row>
    <row r="48" spans="1:8">
      <c r="A48" s="326" t="s">
        <v>829</v>
      </c>
      <c r="B48" s="332">
        <v>1260000</v>
      </c>
      <c r="C48">
        <v>1790</v>
      </c>
      <c r="D48" s="17">
        <v>45551</v>
      </c>
      <c r="E48">
        <v>60</v>
      </c>
      <c r="F48" s="17">
        <f t="shared" si="21"/>
        <v>45611</v>
      </c>
      <c r="G48">
        <f t="shared" si="22"/>
        <v>-46</v>
      </c>
      <c r="H48" s="330">
        <f t="shared" si="23"/>
        <v>1260000</v>
      </c>
    </row>
    <row r="49" spans="1:8">
      <c r="A49" s="326" t="s">
        <v>829</v>
      </c>
      <c r="B49" s="329">
        <v>1680000</v>
      </c>
      <c r="C49">
        <v>1793</v>
      </c>
      <c r="D49" s="17">
        <v>45551</v>
      </c>
      <c r="E49">
        <v>60</v>
      </c>
      <c r="F49" s="17">
        <f t="shared" si="21"/>
        <v>45611</v>
      </c>
      <c r="G49">
        <f t="shared" si="22"/>
        <v>-46</v>
      </c>
      <c r="H49" s="330">
        <f t="shared" si="23"/>
        <v>1680000</v>
      </c>
    </row>
    <row r="50" spans="1:8">
      <c r="A50" s="326" t="s">
        <v>829</v>
      </c>
      <c r="B50" s="329">
        <v>1680000</v>
      </c>
      <c r="C50">
        <v>1849</v>
      </c>
      <c r="D50" s="17">
        <v>45563</v>
      </c>
      <c r="E50">
        <v>60</v>
      </c>
      <c r="F50" s="17">
        <f t="shared" si="21"/>
        <v>45623</v>
      </c>
      <c r="G50">
        <f t="shared" si="22"/>
        <v>-58</v>
      </c>
      <c r="H50" s="330">
        <f t="shared" si="23"/>
        <v>1680000</v>
      </c>
    </row>
    <row r="51" spans="1:8">
      <c r="A51" s="326"/>
    </row>
    <row r="52" spans="1:8">
      <c r="A52" s="326"/>
    </row>
    <row r="53" spans="1:8">
      <c r="A53" s="326"/>
    </row>
    <row r="54" spans="1:8">
      <c r="A54" s="326"/>
    </row>
    <row r="55" spans="1:8">
      <c r="A55" s="326"/>
    </row>
    <row r="56" spans="1:8">
      <c r="A56" s="326"/>
    </row>
    <row r="57" spans="1:8">
      <c r="A57" s="326"/>
    </row>
    <row r="58" spans="1:8">
      <c r="A58" s="326"/>
    </row>
    <row r="59" spans="1:8">
      <c r="A59" s="326"/>
    </row>
    <row r="60" spans="1:8">
      <c r="A60" s="326"/>
    </row>
    <row r="61" spans="1:8">
      <c r="A61" s="326"/>
    </row>
    <row r="62" spans="1:8">
      <c r="A62" s="326"/>
    </row>
    <row r="63" spans="1:8">
      <c r="A63" s="326"/>
    </row>
    <row r="64" spans="1:8">
      <c r="A64" s="326"/>
    </row>
    <row r="65" spans="1:1">
      <c r="A65" s="326"/>
    </row>
    <row r="66" spans="1:1">
      <c r="A66" s="326"/>
    </row>
    <row r="67" spans="1:1">
      <c r="A67" s="326"/>
    </row>
    <row r="68" spans="1:1">
      <c r="A68" s="326"/>
    </row>
    <row r="69" spans="1:1">
      <c r="A69" s="326"/>
    </row>
    <row r="70" spans="1:1">
      <c r="A70" s="326"/>
    </row>
    <row r="71" spans="1:1">
      <c r="A71" s="326"/>
    </row>
  </sheetData>
  <autoFilter ref="A6:L50" xr:uid="{B27A4D9A-939D-4A3C-9704-F715549EC776}"/>
  <mergeCells count="2">
    <mergeCell ref="C5:F5"/>
    <mergeCell ref="G5:L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6275-8A4A-4881-9129-F2A18EF8FC04}">
  <sheetPr>
    <tabColor theme="6" tint="0.39997558519241921"/>
  </sheetPr>
  <dimension ref="A1:L126"/>
  <sheetViews>
    <sheetView showGridLines="0" workbookViewId="0">
      <pane xSplit="2" ySplit="5" topLeftCell="C123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43" bestFit="1" customWidth="1"/>
    <col min="2" max="2" width="13.81640625" bestFit="1" customWidth="1"/>
    <col min="3" max="3" width="14.81640625" customWidth="1"/>
    <col min="4" max="4" width="15.1796875" bestFit="1" customWidth="1"/>
    <col min="5" max="5" width="16.6328125" bestFit="1" customWidth="1"/>
    <col min="6" max="6" width="19.7265625" bestFit="1" customWidth="1"/>
    <col min="7" max="7" width="11.54296875" bestFit="1" customWidth="1"/>
    <col min="8" max="8" width="13.81640625" bestFit="1" customWidth="1"/>
    <col min="9" max="9" width="13.90625" bestFit="1" customWidth="1"/>
    <col min="10" max="11" width="14.81640625" bestFit="1" customWidth="1"/>
    <col min="12" max="12" width="13.36328125" bestFit="1" customWidth="1"/>
    <col min="13" max="13" width="10.6328125" customWidth="1"/>
  </cols>
  <sheetData>
    <row r="1" spans="1:12">
      <c r="A1" s="158" t="s">
        <v>185</v>
      </c>
    </row>
    <row r="2" spans="1:12">
      <c r="A2" s="158" t="s">
        <v>145</v>
      </c>
    </row>
    <row r="3" spans="1:12">
      <c r="A3" s="160">
        <v>45473</v>
      </c>
    </row>
    <row r="5" spans="1:12">
      <c r="A5" s="286" t="s">
        <v>2</v>
      </c>
      <c r="B5" s="286" t="s">
        <v>3</v>
      </c>
      <c r="C5" s="288" t="s">
        <v>244</v>
      </c>
      <c r="D5" s="288" t="s">
        <v>245</v>
      </c>
      <c r="E5" s="288" t="s">
        <v>209</v>
      </c>
      <c r="F5" s="286" t="s">
        <v>210</v>
      </c>
      <c r="G5" s="286" t="s">
        <v>211</v>
      </c>
      <c r="H5" s="286" t="s">
        <v>174</v>
      </c>
      <c r="I5" s="286" t="s">
        <v>212</v>
      </c>
      <c r="J5" s="286" t="s">
        <v>213</v>
      </c>
      <c r="K5" s="286" t="s">
        <v>214</v>
      </c>
      <c r="L5" s="286" t="s">
        <v>215</v>
      </c>
    </row>
    <row r="6" spans="1:12">
      <c r="A6" s="269" t="s">
        <v>367</v>
      </c>
      <c r="B6" s="287">
        <v>194250000</v>
      </c>
      <c r="C6" s="289">
        <v>459</v>
      </c>
      <c r="D6" s="290">
        <v>45075</v>
      </c>
      <c r="E6" s="271">
        <v>30</v>
      </c>
      <c r="F6" s="273">
        <f>D6+E6</f>
        <v>45105</v>
      </c>
      <c r="G6" s="271">
        <f>$A$3-F6</f>
        <v>368</v>
      </c>
      <c r="H6" s="271"/>
      <c r="I6" s="271"/>
      <c r="J6" s="271"/>
      <c r="K6" s="271"/>
      <c r="L6" s="277">
        <f>B6</f>
        <v>194250000</v>
      </c>
    </row>
    <row r="7" spans="1:12">
      <c r="A7" s="269"/>
      <c r="B7" s="287"/>
      <c r="C7" s="271"/>
      <c r="D7" s="271"/>
      <c r="E7" s="271"/>
      <c r="F7" s="271"/>
      <c r="G7" s="271"/>
      <c r="H7" s="271"/>
      <c r="I7" s="271"/>
      <c r="J7" s="271"/>
      <c r="K7" s="271"/>
      <c r="L7" s="271"/>
    </row>
    <row r="8" spans="1:12">
      <c r="A8" s="269" t="s">
        <v>368</v>
      </c>
      <c r="B8" s="287">
        <f>958485+11</f>
        <v>958496</v>
      </c>
      <c r="C8" s="291" t="s">
        <v>628</v>
      </c>
      <c r="D8" s="76">
        <v>45417</v>
      </c>
      <c r="E8" s="271">
        <v>30</v>
      </c>
      <c r="F8" s="273">
        <f t="shared" ref="F8:F32" si="0">D8+E8</f>
        <v>45447</v>
      </c>
      <c r="G8" s="271">
        <f t="shared" ref="G8:G71" si="1">$A$3-F8</f>
        <v>26</v>
      </c>
      <c r="H8" s="271"/>
      <c r="I8" s="277">
        <f>B8</f>
        <v>958496</v>
      </c>
      <c r="J8" s="271"/>
      <c r="K8" s="271"/>
      <c r="L8" s="271"/>
    </row>
    <row r="9" spans="1:12">
      <c r="A9" s="269" t="s">
        <v>368</v>
      </c>
      <c r="B9" s="287">
        <v>223909</v>
      </c>
      <c r="C9" s="291" t="s">
        <v>629</v>
      </c>
      <c r="D9" s="76">
        <v>45417</v>
      </c>
      <c r="E9" s="271">
        <v>30</v>
      </c>
      <c r="F9" s="273">
        <f t="shared" si="0"/>
        <v>45447</v>
      </c>
      <c r="G9" s="271">
        <f t="shared" si="1"/>
        <v>26</v>
      </c>
      <c r="H9" s="271"/>
      <c r="I9" s="277">
        <f t="shared" ref="I9:I23" si="2">B9</f>
        <v>223909</v>
      </c>
      <c r="J9" s="271"/>
      <c r="K9" s="271"/>
      <c r="L9" s="271"/>
    </row>
    <row r="10" spans="1:12">
      <c r="A10" s="269" t="s">
        <v>368</v>
      </c>
      <c r="B10" s="287">
        <v>1282050</v>
      </c>
      <c r="C10" s="291" t="s">
        <v>630</v>
      </c>
      <c r="D10" s="76">
        <v>45417</v>
      </c>
      <c r="E10" s="271">
        <v>30</v>
      </c>
      <c r="F10" s="273">
        <f t="shared" si="0"/>
        <v>45447</v>
      </c>
      <c r="G10" s="271">
        <f t="shared" si="1"/>
        <v>26</v>
      </c>
      <c r="H10" s="271"/>
      <c r="I10" s="277">
        <f t="shared" si="2"/>
        <v>1282050</v>
      </c>
      <c r="J10" s="271"/>
      <c r="K10" s="271"/>
      <c r="L10" s="271"/>
    </row>
    <row r="11" spans="1:12">
      <c r="A11" s="269" t="s">
        <v>368</v>
      </c>
      <c r="B11" s="287">
        <v>6205122</v>
      </c>
      <c r="C11" s="291" t="s">
        <v>407</v>
      </c>
      <c r="D11" s="76">
        <v>45420</v>
      </c>
      <c r="E11" s="271">
        <v>30</v>
      </c>
      <c r="F11" s="273">
        <f t="shared" si="0"/>
        <v>45450</v>
      </c>
      <c r="G11" s="271">
        <f t="shared" si="1"/>
        <v>23</v>
      </c>
      <c r="H11" s="271"/>
      <c r="I11" s="277">
        <f t="shared" si="2"/>
        <v>6205122</v>
      </c>
      <c r="J11" s="271"/>
      <c r="K11" s="271"/>
      <c r="L11" s="271"/>
    </row>
    <row r="12" spans="1:12">
      <c r="A12" s="269" t="s">
        <v>368</v>
      </c>
      <c r="B12" s="287">
        <v>7272720</v>
      </c>
      <c r="C12" s="291" t="s">
        <v>631</v>
      </c>
      <c r="D12" s="76">
        <v>45420</v>
      </c>
      <c r="E12" s="271">
        <v>30</v>
      </c>
      <c r="F12" s="273">
        <f t="shared" si="0"/>
        <v>45450</v>
      </c>
      <c r="G12" s="271">
        <f t="shared" si="1"/>
        <v>23</v>
      </c>
      <c r="H12" s="271"/>
      <c r="I12" s="277">
        <f t="shared" si="2"/>
        <v>7272720</v>
      </c>
      <c r="J12" s="271"/>
      <c r="K12" s="271"/>
      <c r="L12" s="271"/>
    </row>
    <row r="13" spans="1:12">
      <c r="A13" s="269" t="s">
        <v>368</v>
      </c>
      <c r="B13" s="287">
        <v>5011650</v>
      </c>
      <c r="C13" s="291" t="s">
        <v>632</v>
      </c>
      <c r="D13" s="76">
        <v>45420</v>
      </c>
      <c r="E13" s="271">
        <v>30</v>
      </c>
      <c r="F13" s="273">
        <f t="shared" si="0"/>
        <v>45450</v>
      </c>
      <c r="G13" s="271">
        <f t="shared" si="1"/>
        <v>23</v>
      </c>
      <c r="H13" s="271"/>
      <c r="I13" s="277">
        <f t="shared" si="2"/>
        <v>5011650</v>
      </c>
      <c r="J13" s="271"/>
      <c r="K13" s="271"/>
      <c r="L13" s="271"/>
    </row>
    <row r="14" spans="1:12">
      <c r="A14" s="269" t="s">
        <v>368</v>
      </c>
      <c r="B14" s="287">
        <v>27512793</v>
      </c>
      <c r="C14" s="291" t="s">
        <v>408</v>
      </c>
      <c r="D14" s="76">
        <v>45420</v>
      </c>
      <c r="E14" s="271">
        <v>30</v>
      </c>
      <c r="F14" s="273">
        <f t="shared" si="0"/>
        <v>45450</v>
      </c>
      <c r="G14" s="271">
        <f t="shared" si="1"/>
        <v>23</v>
      </c>
      <c r="H14" s="271"/>
      <c r="I14" s="277">
        <f t="shared" si="2"/>
        <v>27512793</v>
      </c>
      <c r="J14" s="271"/>
      <c r="K14" s="271"/>
      <c r="L14" s="271"/>
    </row>
    <row r="15" spans="1:12">
      <c r="A15" s="269" t="s">
        <v>368</v>
      </c>
      <c r="B15" s="287">
        <v>3775054</v>
      </c>
      <c r="C15" s="291" t="s">
        <v>611</v>
      </c>
      <c r="D15" s="76">
        <v>45420</v>
      </c>
      <c r="E15" s="271">
        <v>30</v>
      </c>
      <c r="F15" s="273">
        <f t="shared" si="0"/>
        <v>45450</v>
      </c>
      <c r="G15" s="271">
        <f t="shared" si="1"/>
        <v>23</v>
      </c>
      <c r="H15" s="271"/>
      <c r="I15" s="277">
        <f t="shared" si="2"/>
        <v>3775054</v>
      </c>
      <c r="J15" s="271"/>
      <c r="K15" s="271"/>
      <c r="L15" s="271"/>
    </row>
    <row r="16" spans="1:12">
      <c r="A16" s="269" t="s">
        <v>368</v>
      </c>
      <c r="B16" s="287">
        <v>8811180</v>
      </c>
      <c r="C16" s="291" t="s">
        <v>633</v>
      </c>
      <c r="D16" s="76">
        <v>45420</v>
      </c>
      <c r="E16" s="271">
        <v>30</v>
      </c>
      <c r="F16" s="273">
        <f t="shared" si="0"/>
        <v>45450</v>
      </c>
      <c r="G16" s="271">
        <f t="shared" si="1"/>
        <v>23</v>
      </c>
      <c r="H16" s="271"/>
      <c r="I16" s="277">
        <f t="shared" si="2"/>
        <v>8811180</v>
      </c>
      <c r="J16" s="271"/>
      <c r="K16" s="271"/>
      <c r="L16" s="271"/>
    </row>
    <row r="17" spans="1:12">
      <c r="A17" s="269" t="s">
        <v>368</v>
      </c>
      <c r="B17" s="287">
        <v>4623771</v>
      </c>
      <c r="C17" s="291" t="s">
        <v>634</v>
      </c>
      <c r="D17" s="76">
        <v>45425</v>
      </c>
      <c r="E17" s="271">
        <v>30</v>
      </c>
      <c r="F17" s="273">
        <f t="shared" si="0"/>
        <v>45455</v>
      </c>
      <c r="G17" s="271">
        <f t="shared" si="1"/>
        <v>18</v>
      </c>
      <c r="H17" s="271"/>
      <c r="I17" s="277">
        <f t="shared" si="2"/>
        <v>4623771</v>
      </c>
      <c r="J17" s="271"/>
      <c r="K17" s="271"/>
      <c r="L17" s="271"/>
    </row>
    <row r="18" spans="1:12">
      <c r="A18" s="269" t="s">
        <v>368</v>
      </c>
      <c r="B18" s="287">
        <v>16516800</v>
      </c>
      <c r="C18" s="291" t="s">
        <v>635</v>
      </c>
      <c r="D18" s="76">
        <v>45427</v>
      </c>
      <c r="E18" s="271">
        <v>30</v>
      </c>
      <c r="F18" s="273">
        <f t="shared" si="0"/>
        <v>45457</v>
      </c>
      <c r="G18" s="271">
        <f t="shared" si="1"/>
        <v>16</v>
      </c>
      <c r="H18" s="271"/>
      <c r="I18" s="277">
        <f t="shared" si="2"/>
        <v>16516800</v>
      </c>
      <c r="J18" s="271"/>
      <c r="K18" s="271"/>
      <c r="L18" s="271"/>
    </row>
    <row r="19" spans="1:12">
      <c r="A19" s="269" t="s">
        <v>368</v>
      </c>
      <c r="B19" s="287">
        <v>3104892</v>
      </c>
      <c r="C19" s="291" t="s">
        <v>636</v>
      </c>
      <c r="D19" s="76">
        <v>45431</v>
      </c>
      <c r="E19" s="271">
        <v>30</v>
      </c>
      <c r="F19" s="273">
        <f t="shared" si="0"/>
        <v>45461</v>
      </c>
      <c r="G19" s="271">
        <f t="shared" si="1"/>
        <v>12</v>
      </c>
      <c r="H19" s="271"/>
      <c r="I19" s="277">
        <f t="shared" si="2"/>
        <v>3104892</v>
      </c>
      <c r="J19" s="271"/>
      <c r="K19" s="271"/>
      <c r="L19" s="271"/>
    </row>
    <row r="20" spans="1:12">
      <c r="A20" s="269" t="s">
        <v>368</v>
      </c>
      <c r="B20" s="287">
        <v>7171044</v>
      </c>
      <c r="C20" s="291" t="s">
        <v>292</v>
      </c>
      <c r="D20" s="76">
        <v>45431</v>
      </c>
      <c r="E20" s="271">
        <v>30</v>
      </c>
      <c r="F20" s="273">
        <f t="shared" si="0"/>
        <v>45461</v>
      </c>
      <c r="G20" s="271">
        <f t="shared" si="1"/>
        <v>12</v>
      </c>
      <c r="H20" s="271"/>
      <c r="I20" s="277">
        <f t="shared" si="2"/>
        <v>7171044</v>
      </c>
      <c r="J20" s="271"/>
      <c r="K20" s="271"/>
      <c r="L20" s="271"/>
    </row>
    <row r="21" spans="1:12">
      <c r="A21" s="269" t="s">
        <v>368</v>
      </c>
      <c r="B21" s="287">
        <v>4784377</v>
      </c>
      <c r="C21" s="291" t="s">
        <v>637</v>
      </c>
      <c r="D21" s="76">
        <v>45442</v>
      </c>
      <c r="E21" s="271">
        <v>30</v>
      </c>
      <c r="F21" s="273">
        <f t="shared" si="0"/>
        <v>45472</v>
      </c>
      <c r="G21" s="271">
        <f t="shared" si="1"/>
        <v>1</v>
      </c>
      <c r="H21" s="271"/>
      <c r="I21" s="277">
        <f t="shared" si="2"/>
        <v>4784377</v>
      </c>
      <c r="J21" s="271"/>
      <c r="K21" s="271"/>
      <c r="L21" s="271"/>
    </row>
    <row r="22" spans="1:12">
      <c r="A22" s="269" t="s">
        <v>368</v>
      </c>
      <c r="B22" s="287">
        <v>4807687</v>
      </c>
      <c r="C22" s="291" t="s">
        <v>638</v>
      </c>
      <c r="D22" s="76">
        <v>45442</v>
      </c>
      <c r="E22" s="271">
        <v>30</v>
      </c>
      <c r="F22" s="273">
        <f t="shared" si="0"/>
        <v>45472</v>
      </c>
      <c r="G22" s="271">
        <f t="shared" si="1"/>
        <v>1</v>
      </c>
      <c r="H22" s="271"/>
      <c r="I22" s="277">
        <f t="shared" si="2"/>
        <v>4807687</v>
      </c>
      <c r="J22" s="271"/>
      <c r="K22" s="271"/>
      <c r="L22" s="271"/>
    </row>
    <row r="23" spans="1:12">
      <c r="A23" s="269" t="s">
        <v>368</v>
      </c>
      <c r="B23" s="287">
        <v>6118875</v>
      </c>
      <c r="C23" s="291" t="s">
        <v>619</v>
      </c>
      <c r="D23" s="76">
        <v>45442</v>
      </c>
      <c r="E23" s="271">
        <v>30</v>
      </c>
      <c r="F23" s="273">
        <f t="shared" si="0"/>
        <v>45472</v>
      </c>
      <c r="G23" s="271">
        <f t="shared" si="1"/>
        <v>1</v>
      </c>
      <c r="H23" s="271"/>
      <c r="I23" s="277">
        <f t="shared" si="2"/>
        <v>6118875</v>
      </c>
      <c r="J23" s="271"/>
      <c r="K23" s="271"/>
      <c r="L23" s="271"/>
    </row>
    <row r="24" spans="1:12">
      <c r="A24" s="269" t="s">
        <v>368</v>
      </c>
      <c r="B24" s="287">
        <v>4198575</v>
      </c>
      <c r="C24" s="291" t="s">
        <v>639</v>
      </c>
      <c r="D24" s="76">
        <v>45443</v>
      </c>
      <c r="E24" s="271">
        <v>30</v>
      </c>
      <c r="F24" s="273">
        <f t="shared" si="0"/>
        <v>45473</v>
      </c>
      <c r="G24" s="271">
        <f t="shared" si="1"/>
        <v>0</v>
      </c>
      <c r="H24" s="277">
        <f>B24</f>
        <v>4198575</v>
      </c>
      <c r="I24" s="271"/>
      <c r="J24" s="271"/>
      <c r="K24" s="271"/>
      <c r="L24" s="271"/>
    </row>
    <row r="25" spans="1:12">
      <c r="A25" s="269" t="s">
        <v>368</v>
      </c>
      <c r="B25" s="287">
        <v>7557235</v>
      </c>
      <c r="C25" s="291" t="s">
        <v>640</v>
      </c>
      <c r="D25" s="76">
        <v>45443</v>
      </c>
      <c r="E25" s="271">
        <v>30</v>
      </c>
      <c r="F25" s="273">
        <f t="shared" si="0"/>
        <v>45473</v>
      </c>
      <c r="G25" s="271">
        <f t="shared" si="1"/>
        <v>0</v>
      </c>
      <c r="H25" s="277">
        <f t="shared" ref="H25:H32" si="3">B25</f>
        <v>7557235</v>
      </c>
      <c r="I25" s="271"/>
      <c r="J25" s="271"/>
      <c r="K25" s="271"/>
      <c r="L25" s="271"/>
    </row>
    <row r="26" spans="1:12">
      <c r="A26" s="269" t="s">
        <v>368</v>
      </c>
      <c r="B26" s="287">
        <v>7109550</v>
      </c>
      <c r="C26" s="291" t="s">
        <v>641</v>
      </c>
      <c r="D26" s="76">
        <v>45446</v>
      </c>
      <c r="E26" s="271">
        <v>30</v>
      </c>
      <c r="F26" s="273">
        <f t="shared" si="0"/>
        <v>45476</v>
      </c>
      <c r="G26" s="271">
        <f t="shared" si="1"/>
        <v>-3</v>
      </c>
      <c r="H26" s="277">
        <f t="shared" si="3"/>
        <v>7109550</v>
      </c>
      <c r="I26" s="271"/>
      <c r="J26" s="271"/>
      <c r="K26" s="271"/>
      <c r="L26" s="271"/>
    </row>
    <row r="27" spans="1:12">
      <c r="A27" s="269" t="s">
        <v>368</v>
      </c>
      <c r="B27" s="287">
        <v>8510481</v>
      </c>
      <c r="C27" s="291" t="s">
        <v>642</v>
      </c>
      <c r="D27" s="76">
        <v>45446</v>
      </c>
      <c r="E27" s="271">
        <v>30</v>
      </c>
      <c r="F27" s="273">
        <f t="shared" si="0"/>
        <v>45476</v>
      </c>
      <c r="G27" s="271">
        <f t="shared" si="1"/>
        <v>-3</v>
      </c>
      <c r="H27" s="277">
        <f t="shared" si="3"/>
        <v>8510481</v>
      </c>
      <c r="I27" s="271"/>
      <c r="J27" s="271"/>
      <c r="K27" s="271"/>
      <c r="L27" s="271"/>
    </row>
    <row r="28" spans="1:12">
      <c r="A28" s="269" t="s">
        <v>368</v>
      </c>
      <c r="B28" s="287">
        <v>7226100</v>
      </c>
      <c r="C28" s="291" t="s">
        <v>643</v>
      </c>
      <c r="D28" s="76">
        <v>45446</v>
      </c>
      <c r="E28" s="271">
        <v>30</v>
      </c>
      <c r="F28" s="273">
        <f t="shared" si="0"/>
        <v>45476</v>
      </c>
      <c r="G28" s="271">
        <f t="shared" si="1"/>
        <v>-3</v>
      </c>
      <c r="H28" s="277">
        <f t="shared" si="3"/>
        <v>7226100</v>
      </c>
      <c r="I28" s="271"/>
      <c r="J28" s="271"/>
      <c r="K28" s="271"/>
      <c r="L28" s="271"/>
    </row>
    <row r="29" spans="1:12">
      <c r="A29" s="269" t="s">
        <v>368</v>
      </c>
      <c r="B29" s="287">
        <v>16516800</v>
      </c>
      <c r="C29" s="291" t="s">
        <v>644</v>
      </c>
      <c r="D29" s="76">
        <v>45448</v>
      </c>
      <c r="E29" s="271">
        <v>30</v>
      </c>
      <c r="F29" s="273">
        <f t="shared" si="0"/>
        <v>45478</v>
      </c>
      <c r="G29" s="271">
        <f t="shared" si="1"/>
        <v>-5</v>
      </c>
      <c r="H29" s="277">
        <f t="shared" si="3"/>
        <v>16516800</v>
      </c>
      <c r="I29" s="271"/>
      <c r="J29" s="271"/>
      <c r="K29" s="271"/>
      <c r="L29" s="271"/>
    </row>
    <row r="30" spans="1:12">
      <c r="A30" s="269" t="s">
        <v>368</v>
      </c>
      <c r="B30" s="287">
        <v>8031460</v>
      </c>
      <c r="C30" s="291" t="s">
        <v>645</v>
      </c>
      <c r="D30" s="76">
        <v>45448</v>
      </c>
      <c r="E30" s="271">
        <v>30</v>
      </c>
      <c r="F30" s="273">
        <f t="shared" si="0"/>
        <v>45478</v>
      </c>
      <c r="G30" s="271">
        <f t="shared" si="1"/>
        <v>-5</v>
      </c>
      <c r="H30" s="277">
        <f t="shared" si="3"/>
        <v>8031460</v>
      </c>
      <c r="I30" s="271"/>
      <c r="J30" s="271"/>
      <c r="K30" s="271"/>
      <c r="L30" s="271"/>
    </row>
    <row r="31" spans="1:12">
      <c r="A31" s="269" t="s">
        <v>368</v>
      </c>
      <c r="B31" s="287">
        <v>23742900</v>
      </c>
      <c r="C31" s="291" t="s">
        <v>646</v>
      </c>
      <c r="D31" s="76">
        <v>45450</v>
      </c>
      <c r="E31" s="271">
        <v>30</v>
      </c>
      <c r="F31" s="273">
        <f t="shared" si="0"/>
        <v>45480</v>
      </c>
      <c r="G31" s="271">
        <f t="shared" si="1"/>
        <v>-7</v>
      </c>
      <c r="H31" s="277">
        <f t="shared" si="3"/>
        <v>23742900</v>
      </c>
      <c r="I31" s="271"/>
      <c r="J31" s="271"/>
      <c r="K31" s="271"/>
      <c r="L31" s="271"/>
    </row>
    <row r="32" spans="1:12">
      <c r="A32" s="269" t="s">
        <v>368</v>
      </c>
      <c r="B32" s="287">
        <v>754800</v>
      </c>
      <c r="C32" s="291" t="s">
        <v>647</v>
      </c>
      <c r="D32" s="76">
        <v>45450</v>
      </c>
      <c r="E32" s="271">
        <v>30</v>
      </c>
      <c r="F32" s="273">
        <f t="shared" si="0"/>
        <v>45480</v>
      </c>
      <c r="G32" s="271">
        <f t="shared" si="1"/>
        <v>-7</v>
      </c>
      <c r="H32" s="277">
        <f t="shared" si="3"/>
        <v>754800</v>
      </c>
      <c r="I32" s="271"/>
      <c r="J32" s="271"/>
      <c r="K32" s="271"/>
      <c r="L32" s="271"/>
    </row>
    <row r="33" spans="1:12">
      <c r="A33" s="269"/>
      <c r="B33" s="287"/>
      <c r="C33" s="271"/>
      <c r="D33" s="271"/>
      <c r="E33" s="271"/>
      <c r="F33" s="271"/>
      <c r="G33" s="271"/>
      <c r="H33" s="271"/>
      <c r="I33" s="271"/>
      <c r="J33" s="271"/>
      <c r="K33" s="271"/>
      <c r="L33" s="271"/>
    </row>
    <row r="34" spans="1:12">
      <c r="A34" s="269" t="s">
        <v>621</v>
      </c>
      <c r="B34" s="287">
        <v>38850000</v>
      </c>
      <c r="C34" s="291" t="s">
        <v>606</v>
      </c>
      <c r="D34" s="76">
        <v>45406</v>
      </c>
      <c r="E34" s="271">
        <v>30</v>
      </c>
      <c r="F34" s="273">
        <f t="shared" ref="F34:F37" si="4">D34+E34</f>
        <v>45436</v>
      </c>
      <c r="G34" s="271">
        <f t="shared" si="1"/>
        <v>37</v>
      </c>
      <c r="H34" s="271"/>
      <c r="I34" s="271"/>
      <c r="J34" s="277">
        <f>B34</f>
        <v>38850000</v>
      </c>
      <c r="K34" s="271"/>
      <c r="L34" s="271"/>
    </row>
    <row r="35" spans="1:12">
      <c r="A35" s="269" t="s">
        <v>621</v>
      </c>
      <c r="B35" s="287">
        <v>98679000</v>
      </c>
      <c r="C35" s="291" t="s">
        <v>648</v>
      </c>
      <c r="D35" s="76">
        <v>45406</v>
      </c>
      <c r="E35" s="271">
        <v>30</v>
      </c>
      <c r="F35" s="273">
        <f t="shared" si="4"/>
        <v>45436</v>
      </c>
      <c r="G35" s="271">
        <f t="shared" si="1"/>
        <v>37</v>
      </c>
      <c r="H35" s="271"/>
      <c r="I35" s="271"/>
      <c r="J35" s="277">
        <f>B35</f>
        <v>98679000</v>
      </c>
      <c r="K35" s="271"/>
      <c r="L35" s="271"/>
    </row>
    <row r="36" spans="1:12">
      <c r="A36" s="269" t="s">
        <v>621</v>
      </c>
      <c r="B36" s="287">
        <v>98679000</v>
      </c>
      <c r="C36" s="291" t="s">
        <v>649</v>
      </c>
      <c r="D36" s="76">
        <v>45440</v>
      </c>
      <c r="E36" s="271">
        <v>30</v>
      </c>
      <c r="F36" s="273">
        <f t="shared" si="4"/>
        <v>45470</v>
      </c>
      <c r="G36" s="271">
        <f t="shared" si="1"/>
        <v>3</v>
      </c>
      <c r="H36" s="271"/>
      <c r="I36" s="277">
        <f t="shared" ref="I36:I37" si="5">B36</f>
        <v>98679000</v>
      </c>
      <c r="J36" s="271"/>
      <c r="K36" s="271"/>
      <c r="L36" s="271"/>
    </row>
    <row r="37" spans="1:12">
      <c r="A37" s="269" t="s">
        <v>621</v>
      </c>
      <c r="B37" s="287">
        <v>97902000</v>
      </c>
      <c r="C37" s="291" t="s">
        <v>412</v>
      </c>
      <c r="D37" s="76">
        <v>45440</v>
      </c>
      <c r="E37" s="271">
        <v>30</v>
      </c>
      <c r="F37" s="273">
        <f t="shared" si="4"/>
        <v>45470</v>
      </c>
      <c r="G37" s="271">
        <f t="shared" si="1"/>
        <v>3</v>
      </c>
      <c r="H37" s="271"/>
      <c r="I37" s="277">
        <f t="shared" si="5"/>
        <v>97902000</v>
      </c>
      <c r="J37" s="271"/>
      <c r="K37" s="271"/>
      <c r="L37" s="271"/>
    </row>
    <row r="38" spans="1:12">
      <c r="A38" s="269"/>
      <c r="B38" s="287"/>
      <c r="C38" s="271"/>
      <c r="D38" s="271"/>
      <c r="E38" s="271"/>
      <c r="F38" s="271"/>
      <c r="G38" s="271"/>
      <c r="H38" s="271"/>
      <c r="I38" s="271"/>
      <c r="J38" s="271"/>
      <c r="K38" s="271"/>
      <c r="L38" s="271"/>
    </row>
    <row r="39" spans="1:12">
      <c r="A39" s="269" t="s">
        <v>622</v>
      </c>
      <c r="B39" s="287">
        <v>88800000</v>
      </c>
      <c r="C39" s="291" t="s">
        <v>650</v>
      </c>
      <c r="D39" s="76">
        <v>45440</v>
      </c>
      <c r="E39" s="271">
        <v>30</v>
      </c>
      <c r="F39" s="273">
        <f t="shared" ref="F39:F43" si="6">D39+E39</f>
        <v>45470</v>
      </c>
      <c r="G39" s="271">
        <f t="shared" si="1"/>
        <v>3</v>
      </c>
      <c r="H39" s="271"/>
      <c r="I39" s="277">
        <f t="shared" ref="I39:I41" si="7">B39</f>
        <v>88800000</v>
      </c>
      <c r="J39" s="271"/>
      <c r="K39" s="271"/>
      <c r="L39" s="271"/>
    </row>
    <row r="40" spans="1:12">
      <c r="A40" s="269" t="s">
        <v>622</v>
      </c>
      <c r="B40" s="287">
        <v>88800000</v>
      </c>
      <c r="C40" s="291" t="s">
        <v>411</v>
      </c>
      <c r="D40" s="76">
        <v>45440</v>
      </c>
      <c r="E40" s="271">
        <v>30</v>
      </c>
      <c r="F40" s="273">
        <f t="shared" si="6"/>
        <v>45470</v>
      </c>
      <c r="G40" s="271">
        <f t="shared" si="1"/>
        <v>3</v>
      </c>
      <c r="H40" s="271"/>
      <c r="I40" s="277">
        <f t="shared" si="7"/>
        <v>88800000</v>
      </c>
      <c r="J40" s="271"/>
      <c r="K40" s="271"/>
      <c r="L40" s="271"/>
    </row>
    <row r="41" spans="1:12">
      <c r="A41" s="269" t="s">
        <v>622</v>
      </c>
      <c r="B41" s="287">
        <v>2886000</v>
      </c>
      <c r="C41" s="291" t="s">
        <v>651</v>
      </c>
      <c r="D41" s="76">
        <v>45440</v>
      </c>
      <c r="E41" s="271">
        <v>30</v>
      </c>
      <c r="F41" s="273">
        <f t="shared" si="6"/>
        <v>45470</v>
      </c>
      <c r="G41" s="271">
        <f t="shared" si="1"/>
        <v>3</v>
      </c>
      <c r="H41" s="271"/>
      <c r="I41" s="277">
        <f t="shared" si="7"/>
        <v>2886000</v>
      </c>
      <c r="J41" s="271"/>
      <c r="K41" s="271"/>
      <c r="L41" s="271"/>
    </row>
    <row r="42" spans="1:12">
      <c r="A42" s="269" t="s">
        <v>622</v>
      </c>
      <c r="B42" s="287">
        <v>28860000</v>
      </c>
      <c r="C42" s="291" t="s">
        <v>652</v>
      </c>
      <c r="D42" s="76">
        <v>45450</v>
      </c>
      <c r="E42" s="271">
        <v>30</v>
      </c>
      <c r="F42" s="273">
        <f t="shared" si="6"/>
        <v>45480</v>
      </c>
      <c r="G42" s="271">
        <f t="shared" si="1"/>
        <v>-7</v>
      </c>
      <c r="H42" s="277">
        <f t="shared" ref="H42:H43" si="8">B42</f>
        <v>28860000</v>
      </c>
      <c r="I42" s="271"/>
      <c r="J42" s="271"/>
      <c r="K42" s="271"/>
      <c r="L42" s="271"/>
    </row>
    <row r="43" spans="1:12">
      <c r="A43" s="269" t="s">
        <v>622</v>
      </c>
      <c r="B43" s="287">
        <v>25974000</v>
      </c>
      <c r="C43" s="291" t="s">
        <v>653</v>
      </c>
      <c r="D43" s="76">
        <v>45454</v>
      </c>
      <c r="E43" s="271">
        <v>30</v>
      </c>
      <c r="F43" s="273">
        <f t="shared" si="6"/>
        <v>45484</v>
      </c>
      <c r="G43" s="271">
        <f t="shared" si="1"/>
        <v>-11</v>
      </c>
      <c r="H43" s="277">
        <f t="shared" si="8"/>
        <v>25974000</v>
      </c>
      <c r="I43" s="271"/>
      <c r="J43" s="271"/>
      <c r="K43" s="271"/>
      <c r="L43" s="271"/>
    </row>
    <row r="44" spans="1:12">
      <c r="A44" s="269"/>
      <c r="B44" s="287"/>
      <c r="C44" s="271"/>
      <c r="D44" s="271"/>
      <c r="E44" s="271"/>
      <c r="F44" s="271"/>
      <c r="G44" s="271"/>
      <c r="H44" s="271"/>
      <c r="I44" s="271"/>
      <c r="J44" s="271"/>
      <c r="K44" s="271"/>
      <c r="L44" s="271"/>
    </row>
    <row r="45" spans="1:12">
      <c r="A45" s="269" t="s">
        <v>623</v>
      </c>
      <c r="B45" s="287">
        <v>310550250</v>
      </c>
      <c r="C45" s="271">
        <v>16</v>
      </c>
      <c r="D45" s="76">
        <v>45293</v>
      </c>
      <c r="E45" s="271">
        <v>30</v>
      </c>
      <c r="F45" s="273">
        <f t="shared" ref="F45:F50" si="9">D45+E45</f>
        <v>45323</v>
      </c>
      <c r="G45" s="271">
        <f t="shared" si="1"/>
        <v>150</v>
      </c>
      <c r="H45" s="271"/>
      <c r="I45" s="271"/>
      <c r="J45" s="271"/>
      <c r="K45" s="271"/>
      <c r="L45" s="277">
        <f t="shared" ref="L45:L48" si="10">B45</f>
        <v>310550250</v>
      </c>
    </row>
    <row r="46" spans="1:12">
      <c r="A46" s="269" t="s">
        <v>623</v>
      </c>
      <c r="B46" s="287">
        <v>44622000</v>
      </c>
      <c r="C46" s="291" t="s">
        <v>654</v>
      </c>
      <c r="D46" s="76">
        <v>45306</v>
      </c>
      <c r="E46" s="271">
        <v>30</v>
      </c>
      <c r="F46" s="273">
        <f t="shared" si="9"/>
        <v>45336</v>
      </c>
      <c r="G46" s="271">
        <f t="shared" si="1"/>
        <v>137</v>
      </c>
      <c r="H46" s="271"/>
      <c r="I46" s="271"/>
      <c r="J46" s="271"/>
      <c r="K46" s="271"/>
      <c r="L46" s="277">
        <f t="shared" si="10"/>
        <v>44622000</v>
      </c>
    </row>
    <row r="47" spans="1:12">
      <c r="A47" s="269" t="s">
        <v>623</v>
      </c>
      <c r="B47" s="287">
        <v>37000000</v>
      </c>
      <c r="C47" s="291" t="s">
        <v>655</v>
      </c>
      <c r="D47" s="76">
        <v>45348</v>
      </c>
      <c r="E47" s="271">
        <v>30</v>
      </c>
      <c r="F47" s="273">
        <f t="shared" si="9"/>
        <v>45378</v>
      </c>
      <c r="G47" s="271">
        <f t="shared" si="1"/>
        <v>95</v>
      </c>
      <c r="H47" s="271"/>
      <c r="I47" s="271"/>
      <c r="J47" s="271"/>
      <c r="K47" s="271"/>
      <c r="L47" s="277">
        <f t="shared" si="10"/>
        <v>37000000</v>
      </c>
    </row>
    <row r="48" spans="1:12">
      <c r="A48" s="269" t="s">
        <v>623</v>
      </c>
      <c r="B48" s="287">
        <v>4070000</v>
      </c>
      <c r="C48" s="291" t="s">
        <v>656</v>
      </c>
      <c r="D48" s="76">
        <v>45352</v>
      </c>
      <c r="E48" s="271">
        <v>30</v>
      </c>
      <c r="F48" s="273">
        <f t="shared" si="9"/>
        <v>45382</v>
      </c>
      <c r="G48" s="271">
        <f t="shared" si="1"/>
        <v>91</v>
      </c>
      <c r="H48" s="271"/>
      <c r="I48" s="271"/>
      <c r="J48" s="271"/>
      <c r="K48" s="271"/>
      <c r="L48" s="277">
        <f t="shared" si="10"/>
        <v>4070000</v>
      </c>
    </row>
    <row r="49" spans="1:12">
      <c r="A49" s="269" t="s">
        <v>623</v>
      </c>
      <c r="B49" s="287">
        <v>51615000</v>
      </c>
      <c r="C49" s="291" t="s">
        <v>657</v>
      </c>
      <c r="D49" s="76">
        <v>45406</v>
      </c>
      <c r="E49" s="271">
        <v>30</v>
      </c>
      <c r="F49" s="273">
        <f t="shared" si="9"/>
        <v>45436</v>
      </c>
      <c r="G49" s="271">
        <f t="shared" si="1"/>
        <v>37</v>
      </c>
      <c r="H49" s="271"/>
      <c r="I49" s="271"/>
      <c r="J49" s="277">
        <f>B49</f>
        <v>51615000</v>
      </c>
      <c r="K49" s="271"/>
      <c r="L49" s="271"/>
    </row>
    <row r="50" spans="1:12">
      <c r="A50" s="269" t="s">
        <v>623</v>
      </c>
      <c r="B50" s="287">
        <v>30802500</v>
      </c>
      <c r="C50" s="291" t="s">
        <v>658</v>
      </c>
      <c r="D50" s="76">
        <v>45430</v>
      </c>
      <c r="E50" s="271">
        <v>30</v>
      </c>
      <c r="F50" s="273">
        <f t="shared" si="9"/>
        <v>45460</v>
      </c>
      <c r="G50" s="271">
        <f t="shared" si="1"/>
        <v>13</v>
      </c>
      <c r="H50" s="271"/>
      <c r="I50" s="277">
        <f>B50</f>
        <v>30802500</v>
      </c>
      <c r="J50" s="271"/>
      <c r="K50" s="271"/>
      <c r="L50" s="271"/>
    </row>
    <row r="51" spans="1:12">
      <c r="A51" s="269"/>
      <c r="B51" s="287"/>
      <c r="C51" s="271"/>
      <c r="D51" s="271"/>
      <c r="E51" s="271"/>
      <c r="F51" s="271"/>
      <c r="G51" s="271"/>
      <c r="H51" s="271"/>
      <c r="I51" s="271"/>
      <c r="J51" s="271"/>
      <c r="K51" s="271"/>
      <c r="L51" s="271"/>
    </row>
    <row r="52" spans="1:12">
      <c r="A52" s="269" t="s">
        <v>400</v>
      </c>
      <c r="B52" s="287">
        <f>353673600-9055934</f>
        <v>344617666</v>
      </c>
      <c r="C52" s="291" t="s">
        <v>659</v>
      </c>
      <c r="D52" s="76">
        <v>45398</v>
      </c>
      <c r="E52" s="271">
        <v>30</v>
      </c>
      <c r="F52" s="273">
        <f t="shared" ref="F52:F54" si="11">D52+E52</f>
        <v>45428</v>
      </c>
      <c r="G52" s="271">
        <f t="shared" si="1"/>
        <v>45</v>
      </c>
      <c r="H52" s="271"/>
      <c r="I52" s="271"/>
      <c r="J52" s="277">
        <f>B52</f>
        <v>344617666</v>
      </c>
      <c r="K52" s="271"/>
      <c r="L52" s="271"/>
    </row>
    <row r="53" spans="1:12">
      <c r="A53" s="269" t="s">
        <v>400</v>
      </c>
      <c r="B53" s="287">
        <v>95071761</v>
      </c>
      <c r="C53" s="291" t="s">
        <v>660</v>
      </c>
      <c r="D53" s="76">
        <v>45433</v>
      </c>
      <c r="E53" s="271">
        <v>30</v>
      </c>
      <c r="F53" s="273">
        <f t="shared" si="11"/>
        <v>45463</v>
      </c>
      <c r="G53" s="271">
        <f t="shared" si="1"/>
        <v>10</v>
      </c>
      <c r="H53" s="271"/>
      <c r="I53" s="277">
        <f t="shared" ref="I53:I54" si="12">B53</f>
        <v>95071761</v>
      </c>
      <c r="J53" s="271"/>
      <c r="K53" s="271"/>
      <c r="L53" s="271"/>
    </row>
    <row r="54" spans="1:12">
      <c r="A54" s="269" t="s">
        <v>400</v>
      </c>
      <c r="B54" s="287">
        <v>193666359</v>
      </c>
      <c r="C54" s="292" t="s">
        <v>654</v>
      </c>
      <c r="D54" s="76">
        <v>45433</v>
      </c>
      <c r="E54" s="271">
        <v>30</v>
      </c>
      <c r="F54" s="273">
        <f t="shared" si="11"/>
        <v>45463</v>
      </c>
      <c r="G54" s="271">
        <f t="shared" si="1"/>
        <v>10</v>
      </c>
      <c r="H54" s="271"/>
      <c r="I54" s="277">
        <f t="shared" si="12"/>
        <v>193666359</v>
      </c>
      <c r="J54" s="271"/>
      <c r="K54" s="271"/>
      <c r="L54" s="271"/>
    </row>
    <row r="55" spans="1:12">
      <c r="A55" s="269"/>
      <c r="B55" s="287"/>
      <c r="C55" s="271"/>
      <c r="D55" s="271"/>
      <c r="E55" s="271"/>
      <c r="F55" s="271"/>
      <c r="G55" s="271"/>
      <c r="H55" s="271"/>
      <c r="I55" s="271"/>
      <c r="J55" s="271"/>
      <c r="K55" s="271"/>
      <c r="L55" s="271"/>
    </row>
    <row r="56" spans="1:12">
      <c r="A56" s="269" t="s">
        <v>624</v>
      </c>
      <c r="B56" s="287">
        <v>66403042.5</v>
      </c>
      <c r="C56" s="271">
        <v>427</v>
      </c>
      <c r="D56" s="273">
        <v>45454</v>
      </c>
      <c r="E56" s="271">
        <v>30</v>
      </c>
      <c r="F56" s="273">
        <f t="shared" ref="F56" si="13">D56+E56</f>
        <v>45484</v>
      </c>
      <c r="G56" s="271">
        <f t="shared" si="1"/>
        <v>-11</v>
      </c>
      <c r="H56" s="277">
        <f>B56</f>
        <v>66403042.5</v>
      </c>
      <c r="I56" s="271"/>
      <c r="J56" s="271"/>
      <c r="K56" s="271"/>
      <c r="L56" s="271"/>
    </row>
    <row r="57" spans="1:12">
      <c r="A57" s="269"/>
      <c r="B57" s="287"/>
      <c r="C57" s="271"/>
      <c r="D57" s="271"/>
      <c r="E57" s="271"/>
      <c r="F57" s="271"/>
      <c r="G57" s="271"/>
      <c r="H57" s="271"/>
      <c r="I57" s="271"/>
      <c r="J57" s="271"/>
      <c r="K57" s="271"/>
      <c r="L57" s="271"/>
    </row>
    <row r="58" spans="1:12">
      <c r="A58" s="269" t="s">
        <v>405</v>
      </c>
      <c r="B58" s="287">
        <v>239893575</v>
      </c>
      <c r="C58" s="291" t="s">
        <v>661</v>
      </c>
      <c r="D58" s="76">
        <v>45432</v>
      </c>
      <c r="E58" s="271">
        <v>30</v>
      </c>
      <c r="F58" s="273">
        <f t="shared" ref="F58:F84" si="14">D58+E58</f>
        <v>45462</v>
      </c>
      <c r="G58" s="271">
        <f t="shared" si="1"/>
        <v>11</v>
      </c>
      <c r="H58" s="271"/>
      <c r="I58" s="277">
        <f t="shared" ref="I58:I68" si="15">B58</f>
        <v>239893575</v>
      </c>
      <c r="J58" s="271"/>
      <c r="K58" s="271"/>
      <c r="L58" s="271"/>
    </row>
    <row r="59" spans="1:12">
      <c r="A59" s="269" t="s">
        <v>405</v>
      </c>
      <c r="B59" s="287">
        <v>272686807.35000002</v>
      </c>
      <c r="C59" s="291" t="s">
        <v>662</v>
      </c>
      <c r="D59" s="76">
        <v>45432</v>
      </c>
      <c r="E59" s="271">
        <v>30</v>
      </c>
      <c r="F59" s="273">
        <f t="shared" si="14"/>
        <v>45462</v>
      </c>
      <c r="G59" s="271">
        <f t="shared" si="1"/>
        <v>11</v>
      </c>
      <c r="H59" s="271"/>
      <c r="I59" s="277">
        <f t="shared" si="15"/>
        <v>272686807.35000002</v>
      </c>
      <c r="J59" s="271"/>
      <c r="K59" s="271"/>
      <c r="L59" s="271"/>
    </row>
    <row r="60" spans="1:12">
      <c r="A60" s="269" t="s">
        <v>405</v>
      </c>
      <c r="B60" s="287">
        <v>81018716.510000005</v>
      </c>
      <c r="C60" s="291" t="s">
        <v>663</v>
      </c>
      <c r="D60" s="76">
        <v>45433</v>
      </c>
      <c r="E60" s="271">
        <v>30</v>
      </c>
      <c r="F60" s="273">
        <f t="shared" si="14"/>
        <v>45463</v>
      </c>
      <c r="G60" s="271">
        <f t="shared" si="1"/>
        <v>10</v>
      </c>
      <c r="H60" s="271"/>
      <c r="I60" s="277">
        <f t="shared" si="15"/>
        <v>81018716.510000005</v>
      </c>
      <c r="J60" s="271"/>
      <c r="K60" s="271"/>
      <c r="L60" s="271"/>
    </row>
    <row r="61" spans="1:12">
      <c r="A61" s="269" t="s">
        <v>405</v>
      </c>
      <c r="B61" s="287">
        <v>38975243.619999997</v>
      </c>
      <c r="C61" s="291" t="s">
        <v>664</v>
      </c>
      <c r="D61" s="76">
        <v>45433</v>
      </c>
      <c r="E61" s="271">
        <v>30</v>
      </c>
      <c r="F61" s="273">
        <f t="shared" si="14"/>
        <v>45463</v>
      </c>
      <c r="G61" s="271">
        <f t="shared" si="1"/>
        <v>10</v>
      </c>
      <c r="H61" s="271"/>
      <c r="I61" s="277">
        <f t="shared" si="15"/>
        <v>38975243.619999997</v>
      </c>
      <c r="J61" s="271"/>
      <c r="K61" s="271"/>
      <c r="L61" s="271"/>
    </row>
    <row r="62" spans="1:12">
      <c r="A62" s="269" t="s">
        <v>405</v>
      </c>
      <c r="B62" s="287">
        <v>107661833.78</v>
      </c>
      <c r="C62" s="291" t="s">
        <v>665</v>
      </c>
      <c r="D62" s="76">
        <v>45434</v>
      </c>
      <c r="E62" s="271">
        <v>30</v>
      </c>
      <c r="F62" s="273">
        <f t="shared" si="14"/>
        <v>45464</v>
      </c>
      <c r="G62" s="271">
        <f t="shared" si="1"/>
        <v>9</v>
      </c>
      <c r="H62" s="271"/>
      <c r="I62" s="277">
        <f t="shared" si="15"/>
        <v>107661833.78</v>
      </c>
      <c r="J62" s="271"/>
      <c r="K62" s="271"/>
      <c r="L62" s="271"/>
    </row>
    <row r="63" spans="1:12">
      <c r="A63" s="269" t="s">
        <v>405</v>
      </c>
      <c r="B63" s="287">
        <v>72964185.299999997</v>
      </c>
      <c r="C63" s="291" t="s">
        <v>666</v>
      </c>
      <c r="D63" s="76">
        <v>45435</v>
      </c>
      <c r="E63" s="271">
        <v>30</v>
      </c>
      <c r="F63" s="273">
        <f t="shared" si="14"/>
        <v>45465</v>
      </c>
      <c r="G63" s="271">
        <f t="shared" si="1"/>
        <v>8</v>
      </c>
      <c r="H63" s="271"/>
      <c r="I63" s="277">
        <f t="shared" si="15"/>
        <v>72964185.299999997</v>
      </c>
      <c r="J63" s="271"/>
      <c r="K63" s="271"/>
      <c r="L63" s="271"/>
    </row>
    <row r="64" spans="1:12">
      <c r="A64" s="269" t="s">
        <v>405</v>
      </c>
      <c r="B64" s="287">
        <v>60230851.420000002</v>
      </c>
      <c r="C64" s="291" t="s">
        <v>667</v>
      </c>
      <c r="D64" s="76">
        <v>45435</v>
      </c>
      <c r="E64" s="271">
        <v>30</v>
      </c>
      <c r="F64" s="273">
        <f t="shared" si="14"/>
        <v>45465</v>
      </c>
      <c r="G64" s="271">
        <f t="shared" si="1"/>
        <v>8</v>
      </c>
      <c r="H64" s="271"/>
      <c r="I64" s="277">
        <f t="shared" si="15"/>
        <v>60230851.420000002</v>
      </c>
      <c r="J64" s="271"/>
      <c r="K64" s="271"/>
      <c r="L64" s="271"/>
    </row>
    <row r="65" spans="1:12">
      <c r="A65" s="269" t="s">
        <v>405</v>
      </c>
      <c r="B65" s="287">
        <v>211037609.62</v>
      </c>
      <c r="C65" s="291" t="s">
        <v>668</v>
      </c>
      <c r="D65" s="76">
        <v>45439</v>
      </c>
      <c r="E65" s="271">
        <v>30</v>
      </c>
      <c r="F65" s="273">
        <f t="shared" si="14"/>
        <v>45469</v>
      </c>
      <c r="G65" s="271">
        <f t="shared" si="1"/>
        <v>4</v>
      </c>
      <c r="H65" s="271"/>
      <c r="I65" s="277">
        <f t="shared" si="15"/>
        <v>211037609.62</v>
      </c>
      <c r="J65" s="271"/>
      <c r="K65" s="271"/>
      <c r="L65" s="271"/>
    </row>
    <row r="66" spans="1:12">
      <c r="A66" s="269" t="s">
        <v>405</v>
      </c>
      <c r="B66" s="287">
        <v>279089214.22000003</v>
      </c>
      <c r="C66" s="291" t="s">
        <v>669</v>
      </c>
      <c r="D66" s="76">
        <v>45440</v>
      </c>
      <c r="E66" s="271">
        <v>30</v>
      </c>
      <c r="F66" s="273">
        <f t="shared" si="14"/>
        <v>45470</v>
      </c>
      <c r="G66" s="271">
        <f t="shared" si="1"/>
        <v>3</v>
      </c>
      <c r="H66" s="271"/>
      <c r="I66" s="277">
        <f t="shared" si="15"/>
        <v>279089214.22000003</v>
      </c>
      <c r="J66" s="271"/>
      <c r="K66" s="271"/>
      <c r="L66" s="271"/>
    </row>
    <row r="67" spans="1:12">
      <c r="A67" s="269" t="s">
        <v>405</v>
      </c>
      <c r="B67" s="287">
        <v>151662008.65000001</v>
      </c>
      <c r="C67" s="291" t="s">
        <v>670</v>
      </c>
      <c r="D67" s="76">
        <v>45441</v>
      </c>
      <c r="E67" s="271">
        <v>30</v>
      </c>
      <c r="F67" s="273">
        <f t="shared" si="14"/>
        <v>45471</v>
      </c>
      <c r="G67" s="271">
        <f t="shared" si="1"/>
        <v>2</v>
      </c>
      <c r="H67" s="271"/>
      <c r="I67" s="277">
        <f t="shared" si="15"/>
        <v>151662008.65000001</v>
      </c>
      <c r="J67" s="271"/>
      <c r="K67" s="271"/>
      <c r="L67" s="271"/>
    </row>
    <row r="68" spans="1:12">
      <c r="A68" s="269" t="s">
        <v>405</v>
      </c>
      <c r="B68" s="287">
        <v>161554625.13</v>
      </c>
      <c r="C68" s="291" t="s">
        <v>671</v>
      </c>
      <c r="D68" s="76">
        <v>45441</v>
      </c>
      <c r="E68" s="271">
        <v>30</v>
      </c>
      <c r="F68" s="273">
        <f t="shared" si="14"/>
        <v>45471</v>
      </c>
      <c r="G68" s="271">
        <f t="shared" si="1"/>
        <v>2</v>
      </c>
      <c r="H68" s="271"/>
      <c r="I68" s="277">
        <f t="shared" si="15"/>
        <v>161554625.13</v>
      </c>
      <c r="J68" s="271"/>
      <c r="K68" s="271"/>
      <c r="L68" s="271"/>
    </row>
    <row r="69" spans="1:12">
      <c r="A69" s="269" t="s">
        <v>405</v>
      </c>
      <c r="B69" s="287">
        <v>307428397.69999999</v>
      </c>
      <c r="C69" s="291" t="s">
        <v>672</v>
      </c>
      <c r="D69" s="76">
        <v>45443</v>
      </c>
      <c r="E69" s="271">
        <v>30</v>
      </c>
      <c r="F69" s="273">
        <f t="shared" si="14"/>
        <v>45473</v>
      </c>
      <c r="G69" s="271">
        <f t="shared" si="1"/>
        <v>0</v>
      </c>
      <c r="H69" s="277">
        <f t="shared" ref="H69:H83" si="16">B69</f>
        <v>307428397.69999999</v>
      </c>
      <c r="I69" s="271"/>
      <c r="J69" s="271"/>
      <c r="K69" s="271"/>
      <c r="L69" s="271"/>
    </row>
    <row r="70" spans="1:12">
      <c r="A70" s="269" t="s">
        <v>405</v>
      </c>
      <c r="B70" s="287">
        <v>73411952.079999998</v>
      </c>
      <c r="C70" s="291" t="s">
        <v>673</v>
      </c>
      <c r="D70" s="76">
        <v>45443</v>
      </c>
      <c r="E70" s="271">
        <v>30</v>
      </c>
      <c r="F70" s="273">
        <f t="shared" si="14"/>
        <v>45473</v>
      </c>
      <c r="G70" s="271">
        <f t="shared" si="1"/>
        <v>0</v>
      </c>
      <c r="H70" s="277">
        <f t="shared" si="16"/>
        <v>73411952.079999998</v>
      </c>
      <c r="I70" s="271"/>
      <c r="J70" s="271"/>
      <c r="K70" s="271"/>
      <c r="L70" s="271"/>
    </row>
    <row r="71" spans="1:12">
      <c r="A71" s="269" t="s">
        <v>405</v>
      </c>
      <c r="B71" s="287">
        <v>47587924.950000003</v>
      </c>
      <c r="C71" s="291" t="s">
        <v>674</v>
      </c>
      <c r="D71" s="76">
        <v>45443</v>
      </c>
      <c r="E71" s="271">
        <v>30</v>
      </c>
      <c r="F71" s="273">
        <f t="shared" si="14"/>
        <v>45473</v>
      </c>
      <c r="G71" s="271">
        <f t="shared" si="1"/>
        <v>0</v>
      </c>
      <c r="H71" s="277">
        <f t="shared" si="16"/>
        <v>47587924.950000003</v>
      </c>
      <c r="I71" s="271"/>
      <c r="J71" s="271"/>
      <c r="K71" s="271"/>
      <c r="L71" s="271"/>
    </row>
    <row r="72" spans="1:12">
      <c r="A72" s="269" t="s">
        <v>405</v>
      </c>
      <c r="B72" s="287">
        <v>98733078.609999999</v>
      </c>
      <c r="C72" s="291" t="s">
        <v>675</v>
      </c>
      <c r="D72" s="76">
        <v>45446</v>
      </c>
      <c r="E72" s="271">
        <v>30</v>
      </c>
      <c r="F72" s="273">
        <f t="shared" si="14"/>
        <v>45476</v>
      </c>
      <c r="G72" s="271">
        <f t="shared" ref="G72:G122" si="17">$A$3-F72</f>
        <v>-3</v>
      </c>
      <c r="H72" s="277">
        <f t="shared" si="16"/>
        <v>98733078.609999999</v>
      </c>
      <c r="I72" s="271"/>
      <c r="J72" s="271"/>
      <c r="K72" s="271"/>
      <c r="L72" s="271"/>
    </row>
    <row r="73" spans="1:12">
      <c r="A73" s="269" t="s">
        <v>405</v>
      </c>
      <c r="B73" s="287">
        <v>358913711.82999998</v>
      </c>
      <c r="C73" s="291" t="s">
        <v>676</v>
      </c>
      <c r="D73" s="76">
        <v>45446</v>
      </c>
      <c r="E73" s="271">
        <v>30</v>
      </c>
      <c r="F73" s="273">
        <f t="shared" si="14"/>
        <v>45476</v>
      </c>
      <c r="G73" s="271">
        <f t="shared" si="17"/>
        <v>-3</v>
      </c>
      <c r="H73" s="277">
        <f t="shared" si="16"/>
        <v>358913711.82999998</v>
      </c>
      <c r="I73" s="271"/>
      <c r="J73" s="271"/>
      <c r="K73" s="271"/>
      <c r="L73" s="271"/>
    </row>
    <row r="74" spans="1:12">
      <c r="A74" s="269" t="s">
        <v>405</v>
      </c>
      <c r="B74" s="287">
        <v>79209028.069999993</v>
      </c>
      <c r="C74" s="291" t="s">
        <v>677</v>
      </c>
      <c r="D74" s="76">
        <v>45447</v>
      </c>
      <c r="E74" s="271">
        <v>30</v>
      </c>
      <c r="F74" s="273">
        <f t="shared" si="14"/>
        <v>45477</v>
      </c>
      <c r="G74" s="271">
        <f t="shared" si="17"/>
        <v>-4</v>
      </c>
      <c r="H74" s="277">
        <f t="shared" si="16"/>
        <v>79209028.069999993</v>
      </c>
      <c r="I74" s="271"/>
      <c r="J74" s="271"/>
      <c r="K74" s="271"/>
      <c r="L74" s="271"/>
    </row>
    <row r="75" spans="1:12">
      <c r="A75" s="269" t="s">
        <v>405</v>
      </c>
      <c r="B75" s="287">
        <v>247863103.15000001</v>
      </c>
      <c r="C75" s="291" t="s">
        <v>678</v>
      </c>
      <c r="D75" s="76">
        <v>45447</v>
      </c>
      <c r="E75" s="271">
        <v>30</v>
      </c>
      <c r="F75" s="273">
        <f t="shared" si="14"/>
        <v>45477</v>
      </c>
      <c r="G75" s="271">
        <f t="shared" si="17"/>
        <v>-4</v>
      </c>
      <c r="H75" s="277">
        <f t="shared" si="16"/>
        <v>247863103.15000001</v>
      </c>
      <c r="I75" s="271"/>
      <c r="J75" s="271"/>
      <c r="K75" s="271"/>
      <c r="L75" s="271"/>
    </row>
    <row r="76" spans="1:12">
      <c r="A76" s="269" t="s">
        <v>405</v>
      </c>
      <c r="B76" s="287">
        <v>105211015.18000001</v>
      </c>
      <c r="C76" s="291" t="s">
        <v>679</v>
      </c>
      <c r="D76" s="76">
        <v>45448</v>
      </c>
      <c r="E76" s="271">
        <v>30</v>
      </c>
      <c r="F76" s="273">
        <f t="shared" si="14"/>
        <v>45478</v>
      </c>
      <c r="G76" s="271">
        <f t="shared" si="17"/>
        <v>-5</v>
      </c>
      <c r="H76" s="277">
        <f t="shared" si="16"/>
        <v>105211015.18000001</v>
      </c>
      <c r="I76" s="271"/>
      <c r="J76" s="271"/>
      <c r="K76" s="271"/>
      <c r="L76" s="271"/>
    </row>
    <row r="77" spans="1:12">
      <c r="A77" s="269" t="s">
        <v>405</v>
      </c>
      <c r="B77" s="287">
        <v>20735275.829999998</v>
      </c>
      <c r="C77" s="291" t="s">
        <v>680</v>
      </c>
      <c r="D77" s="76">
        <v>45450</v>
      </c>
      <c r="E77" s="271">
        <v>30</v>
      </c>
      <c r="F77" s="273">
        <f t="shared" si="14"/>
        <v>45480</v>
      </c>
      <c r="G77" s="271">
        <f t="shared" si="17"/>
        <v>-7</v>
      </c>
      <c r="H77" s="277">
        <f t="shared" si="16"/>
        <v>20735275.829999998</v>
      </c>
      <c r="I77" s="271"/>
      <c r="J77" s="271"/>
      <c r="K77" s="271"/>
      <c r="L77" s="271"/>
    </row>
    <row r="78" spans="1:12">
      <c r="A78" s="269" t="s">
        <v>405</v>
      </c>
      <c r="B78" s="287">
        <v>103531244.13</v>
      </c>
      <c r="C78" s="291" t="s">
        <v>681</v>
      </c>
      <c r="D78" s="76">
        <v>45450</v>
      </c>
      <c r="E78" s="271">
        <v>30</v>
      </c>
      <c r="F78" s="273">
        <f t="shared" si="14"/>
        <v>45480</v>
      </c>
      <c r="G78" s="271">
        <f t="shared" si="17"/>
        <v>-7</v>
      </c>
      <c r="H78" s="277">
        <f t="shared" si="16"/>
        <v>103531244.13</v>
      </c>
      <c r="I78" s="271"/>
      <c r="J78" s="271"/>
      <c r="K78" s="271"/>
      <c r="L78" s="271"/>
    </row>
    <row r="79" spans="1:12">
      <c r="A79" s="269" t="s">
        <v>405</v>
      </c>
      <c r="B79" s="287">
        <v>249298947.53999999</v>
      </c>
      <c r="C79" s="291" t="s">
        <v>682</v>
      </c>
      <c r="D79" s="76">
        <v>45451</v>
      </c>
      <c r="E79" s="271">
        <v>30</v>
      </c>
      <c r="F79" s="273">
        <f t="shared" si="14"/>
        <v>45481</v>
      </c>
      <c r="G79" s="271">
        <f t="shared" si="17"/>
        <v>-8</v>
      </c>
      <c r="H79" s="277">
        <f t="shared" si="16"/>
        <v>249298947.53999999</v>
      </c>
      <c r="I79" s="271"/>
      <c r="J79" s="271"/>
      <c r="K79" s="271"/>
      <c r="L79" s="271"/>
    </row>
    <row r="80" spans="1:12">
      <c r="A80" s="269" t="s">
        <v>405</v>
      </c>
      <c r="B80" s="287">
        <v>211634460.75999999</v>
      </c>
      <c r="C80" s="291" t="s">
        <v>683</v>
      </c>
      <c r="D80" s="76">
        <v>45455</v>
      </c>
      <c r="E80" s="271">
        <v>30</v>
      </c>
      <c r="F80" s="273">
        <f t="shared" si="14"/>
        <v>45485</v>
      </c>
      <c r="G80" s="271">
        <f t="shared" si="17"/>
        <v>-12</v>
      </c>
      <c r="H80" s="277">
        <f t="shared" si="16"/>
        <v>211634460.75999999</v>
      </c>
      <c r="I80" s="271"/>
      <c r="J80" s="271"/>
      <c r="K80" s="271"/>
      <c r="L80" s="271"/>
    </row>
    <row r="81" spans="1:12">
      <c r="A81" s="269" t="s">
        <v>405</v>
      </c>
      <c r="B81" s="287">
        <v>232349683.90000001</v>
      </c>
      <c r="C81" s="291" t="s">
        <v>684</v>
      </c>
      <c r="D81" s="76">
        <v>45455</v>
      </c>
      <c r="E81" s="271">
        <v>30</v>
      </c>
      <c r="F81" s="273">
        <f t="shared" si="14"/>
        <v>45485</v>
      </c>
      <c r="G81" s="271">
        <f t="shared" si="17"/>
        <v>-12</v>
      </c>
      <c r="H81" s="277">
        <f t="shared" si="16"/>
        <v>232349683.90000001</v>
      </c>
      <c r="I81" s="271"/>
      <c r="J81" s="271"/>
      <c r="K81" s="271"/>
      <c r="L81" s="271"/>
    </row>
    <row r="82" spans="1:12">
      <c r="A82" s="269" t="s">
        <v>405</v>
      </c>
      <c r="B82" s="287">
        <v>153742388.66999999</v>
      </c>
      <c r="C82" s="291" t="s">
        <v>685</v>
      </c>
      <c r="D82" s="76">
        <v>45455</v>
      </c>
      <c r="E82" s="271">
        <v>30</v>
      </c>
      <c r="F82" s="273">
        <f t="shared" si="14"/>
        <v>45485</v>
      </c>
      <c r="G82" s="271">
        <f t="shared" si="17"/>
        <v>-12</v>
      </c>
      <c r="H82" s="277">
        <f t="shared" si="16"/>
        <v>153742388.66999999</v>
      </c>
      <c r="I82" s="271"/>
      <c r="J82" s="271"/>
      <c r="K82" s="271"/>
      <c r="L82" s="271"/>
    </row>
    <row r="83" spans="1:12">
      <c r="A83" s="269" t="s">
        <v>405</v>
      </c>
      <c r="B83" s="287">
        <v>144417467.40000001</v>
      </c>
      <c r="C83" s="291" t="s">
        <v>686</v>
      </c>
      <c r="D83" s="76">
        <v>45455</v>
      </c>
      <c r="E83" s="271">
        <v>30</v>
      </c>
      <c r="F83" s="273">
        <f t="shared" si="14"/>
        <v>45485</v>
      </c>
      <c r="G83" s="271">
        <f t="shared" si="17"/>
        <v>-12</v>
      </c>
      <c r="H83" s="277">
        <f t="shared" si="16"/>
        <v>144417467.40000001</v>
      </c>
      <c r="I83" s="271"/>
      <c r="J83" s="271"/>
      <c r="K83" s="271"/>
      <c r="L83" s="271"/>
    </row>
    <row r="84" spans="1:12">
      <c r="A84" s="269" t="s">
        <v>405</v>
      </c>
      <c r="B84" s="287">
        <v>71165382.579999998</v>
      </c>
      <c r="C84" s="291" t="s">
        <v>687</v>
      </c>
      <c r="D84" s="76">
        <v>45470</v>
      </c>
      <c r="E84" s="271">
        <v>30</v>
      </c>
      <c r="F84" s="273">
        <f t="shared" si="14"/>
        <v>45500</v>
      </c>
      <c r="G84" s="271">
        <f t="shared" si="17"/>
        <v>-27</v>
      </c>
      <c r="H84" s="277">
        <f>B84</f>
        <v>71165382.579999998</v>
      </c>
      <c r="I84" s="271"/>
      <c r="J84" s="271"/>
      <c r="K84" s="271"/>
      <c r="L84" s="271"/>
    </row>
    <row r="85" spans="1:12">
      <c r="A85" s="269"/>
      <c r="B85" s="287"/>
      <c r="C85" s="271"/>
      <c r="D85" s="271"/>
      <c r="E85" s="271"/>
      <c r="F85" s="271"/>
      <c r="G85" s="271"/>
      <c r="H85" s="271"/>
      <c r="I85" s="271"/>
      <c r="J85" s="271"/>
      <c r="K85" s="271"/>
      <c r="L85" s="271"/>
    </row>
    <row r="86" spans="1:12">
      <c r="A86" s="269" t="s">
        <v>625</v>
      </c>
      <c r="B86" s="287">
        <v>147979181.81</v>
      </c>
      <c r="C86" s="293" t="s">
        <v>688</v>
      </c>
      <c r="D86" s="76">
        <v>45450</v>
      </c>
      <c r="E86" s="271">
        <v>30</v>
      </c>
      <c r="F86" s="273">
        <f t="shared" ref="F86:F95" si="18">D86+E86</f>
        <v>45480</v>
      </c>
      <c r="G86" s="271">
        <f t="shared" si="17"/>
        <v>-7</v>
      </c>
      <c r="H86" s="277">
        <f t="shared" ref="H86:H95" si="19">B86</f>
        <v>147979181.81</v>
      </c>
      <c r="I86" s="271"/>
      <c r="J86" s="271"/>
      <c r="K86" s="271"/>
      <c r="L86" s="271"/>
    </row>
    <row r="87" spans="1:12">
      <c r="A87" s="269" t="s">
        <v>625</v>
      </c>
      <c r="B87" s="287">
        <v>54760355.939999998</v>
      </c>
      <c r="C87" s="291" t="s">
        <v>689</v>
      </c>
      <c r="D87" s="76">
        <v>45453</v>
      </c>
      <c r="E87" s="271">
        <v>30</v>
      </c>
      <c r="F87" s="273">
        <f t="shared" si="18"/>
        <v>45483</v>
      </c>
      <c r="G87" s="271">
        <f t="shared" si="17"/>
        <v>-10</v>
      </c>
      <c r="H87" s="277">
        <f t="shared" si="19"/>
        <v>54760355.939999998</v>
      </c>
      <c r="I87" s="271"/>
      <c r="J87" s="271"/>
      <c r="K87" s="271"/>
      <c r="L87" s="271"/>
    </row>
    <row r="88" spans="1:12">
      <c r="A88" s="269" t="s">
        <v>625</v>
      </c>
      <c r="B88" s="287">
        <v>80180000.560000002</v>
      </c>
      <c r="C88" s="291" t="s">
        <v>690</v>
      </c>
      <c r="D88" s="76">
        <v>45453</v>
      </c>
      <c r="E88" s="271">
        <v>30</v>
      </c>
      <c r="F88" s="273">
        <f t="shared" si="18"/>
        <v>45483</v>
      </c>
      <c r="G88" s="271">
        <f t="shared" si="17"/>
        <v>-10</v>
      </c>
      <c r="H88" s="277">
        <f t="shared" si="19"/>
        <v>80180000.560000002</v>
      </c>
      <c r="I88" s="271"/>
      <c r="J88" s="271"/>
      <c r="K88" s="271"/>
      <c r="L88" s="271"/>
    </row>
    <row r="89" spans="1:12">
      <c r="A89" s="269" t="s">
        <v>625</v>
      </c>
      <c r="B89" s="287">
        <v>47358745.340000004</v>
      </c>
      <c r="C89" s="291" t="s">
        <v>691</v>
      </c>
      <c r="D89" s="76">
        <v>45458</v>
      </c>
      <c r="E89" s="271">
        <v>30</v>
      </c>
      <c r="F89" s="273">
        <f t="shared" si="18"/>
        <v>45488</v>
      </c>
      <c r="G89" s="271">
        <f t="shared" si="17"/>
        <v>-15</v>
      </c>
      <c r="H89" s="277">
        <f t="shared" si="19"/>
        <v>47358745.340000004</v>
      </c>
      <c r="I89" s="271"/>
      <c r="J89" s="271"/>
      <c r="K89" s="271"/>
      <c r="L89" s="271"/>
    </row>
    <row r="90" spans="1:12">
      <c r="A90" s="269" t="s">
        <v>625</v>
      </c>
      <c r="B90" s="287">
        <v>68477636.790000007</v>
      </c>
      <c r="C90" s="291" t="s">
        <v>692</v>
      </c>
      <c r="D90" s="76">
        <v>45458</v>
      </c>
      <c r="E90" s="271">
        <v>30</v>
      </c>
      <c r="F90" s="273">
        <f t="shared" si="18"/>
        <v>45488</v>
      </c>
      <c r="G90" s="271">
        <f t="shared" si="17"/>
        <v>-15</v>
      </c>
      <c r="H90" s="277">
        <f t="shared" si="19"/>
        <v>68477636.790000007</v>
      </c>
      <c r="I90" s="271"/>
      <c r="J90" s="271"/>
      <c r="K90" s="271"/>
      <c r="L90" s="271"/>
    </row>
    <row r="91" spans="1:12">
      <c r="A91" s="269" t="s">
        <v>625</v>
      </c>
      <c r="B91" s="287">
        <v>40380331.100000001</v>
      </c>
      <c r="C91" s="291" t="s">
        <v>693</v>
      </c>
      <c r="D91" s="76">
        <v>45458</v>
      </c>
      <c r="E91" s="271">
        <v>30</v>
      </c>
      <c r="F91" s="273">
        <f t="shared" si="18"/>
        <v>45488</v>
      </c>
      <c r="G91" s="271">
        <f t="shared" si="17"/>
        <v>-15</v>
      </c>
      <c r="H91" s="277">
        <f t="shared" si="19"/>
        <v>40380331.100000001</v>
      </c>
      <c r="I91" s="271"/>
      <c r="J91" s="271"/>
      <c r="K91" s="271"/>
      <c r="L91" s="271"/>
    </row>
    <row r="92" spans="1:12">
      <c r="A92" s="269" t="s">
        <v>625</v>
      </c>
      <c r="B92" s="287">
        <v>165700617.16999999</v>
      </c>
      <c r="C92" s="291" t="s">
        <v>694</v>
      </c>
      <c r="D92" s="76">
        <v>45461</v>
      </c>
      <c r="E92" s="271">
        <v>30</v>
      </c>
      <c r="F92" s="273">
        <f t="shared" si="18"/>
        <v>45491</v>
      </c>
      <c r="G92" s="271">
        <f t="shared" si="17"/>
        <v>-18</v>
      </c>
      <c r="H92" s="277">
        <f t="shared" si="19"/>
        <v>165700617.16999999</v>
      </c>
      <c r="I92" s="271"/>
      <c r="J92" s="271"/>
      <c r="K92" s="271"/>
      <c r="L92" s="271"/>
    </row>
    <row r="93" spans="1:12">
      <c r="A93" s="269" t="s">
        <v>625</v>
      </c>
      <c r="B93" s="287">
        <v>44123059.829999998</v>
      </c>
      <c r="C93" s="291" t="s">
        <v>695</v>
      </c>
      <c r="D93" s="76">
        <v>45462</v>
      </c>
      <c r="E93" s="271">
        <v>30</v>
      </c>
      <c r="F93" s="273">
        <f t="shared" si="18"/>
        <v>45492</v>
      </c>
      <c r="G93" s="271">
        <f t="shared" si="17"/>
        <v>-19</v>
      </c>
      <c r="H93" s="277">
        <f t="shared" si="19"/>
        <v>44123059.829999998</v>
      </c>
      <c r="I93" s="271"/>
      <c r="J93" s="271"/>
      <c r="K93" s="271"/>
      <c r="L93" s="271"/>
    </row>
    <row r="94" spans="1:12">
      <c r="A94" s="269" t="s">
        <v>625</v>
      </c>
      <c r="B94" s="287">
        <v>64795343.590000004</v>
      </c>
      <c r="C94" s="291" t="s">
        <v>696</v>
      </c>
      <c r="D94" s="76">
        <v>45462</v>
      </c>
      <c r="E94" s="271">
        <v>30</v>
      </c>
      <c r="F94" s="273">
        <f t="shared" si="18"/>
        <v>45492</v>
      </c>
      <c r="G94" s="271">
        <f t="shared" si="17"/>
        <v>-19</v>
      </c>
      <c r="H94" s="277">
        <f t="shared" si="19"/>
        <v>64795343.590000004</v>
      </c>
      <c r="I94" s="271"/>
      <c r="J94" s="271"/>
      <c r="K94" s="271"/>
      <c r="L94" s="271"/>
    </row>
    <row r="95" spans="1:12">
      <c r="A95" s="269" t="s">
        <v>625</v>
      </c>
      <c r="B95" s="287">
        <v>75690297.939999998</v>
      </c>
      <c r="C95" s="291" t="s">
        <v>697</v>
      </c>
      <c r="D95" s="76">
        <v>45465</v>
      </c>
      <c r="E95" s="271">
        <v>30</v>
      </c>
      <c r="F95" s="273">
        <f t="shared" si="18"/>
        <v>45495</v>
      </c>
      <c r="G95" s="271">
        <f t="shared" si="17"/>
        <v>-22</v>
      </c>
      <c r="H95" s="277">
        <f t="shared" si="19"/>
        <v>75690297.939999998</v>
      </c>
      <c r="I95" s="271"/>
      <c r="J95" s="271"/>
      <c r="K95" s="271"/>
      <c r="L95" s="271"/>
    </row>
    <row r="96" spans="1:12">
      <c r="A96" s="269"/>
      <c r="B96" s="287"/>
      <c r="C96" s="271"/>
      <c r="D96" s="271"/>
      <c r="E96" s="271"/>
      <c r="F96" s="271"/>
      <c r="G96" s="271"/>
      <c r="H96" s="271"/>
      <c r="I96" s="271"/>
      <c r="J96" s="271"/>
      <c r="K96" s="271"/>
      <c r="L96" s="271"/>
    </row>
    <row r="97" spans="1:12">
      <c r="A97" s="269" t="s">
        <v>440</v>
      </c>
      <c r="B97" s="287">
        <v>34128637</v>
      </c>
      <c r="C97" s="271">
        <v>394</v>
      </c>
      <c r="D97" s="273">
        <v>45441</v>
      </c>
      <c r="E97" s="271">
        <v>30</v>
      </c>
      <c r="F97" s="273">
        <f t="shared" ref="F97" si="20">D97+E97</f>
        <v>45471</v>
      </c>
      <c r="G97" s="271">
        <f t="shared" si="17"/>
        <v>2</v>
      </c>
      <c r="H97" s="271"/>
      <c r="I97" s="277">
        <f>B97</f>
        <v>34128637</v>
      </c>
      <c r="J97" s="271"/>
      <c r="K97" s="271"/>
      <c r="L97" s="271"/>
    </row>
    <row r="98" spans="1:12">
      <c r="A98" s="269"/>
      <c r="B98" s="287"/>
      <c r="C98" s="271"/>
      <c r="D98" s="271"/>
      <c r="E98" s="271"/>
      <c r="F98" s="271"/>
      <c r="G98" s="271"/>
      <c r="H98" s="271"/>
      <c r="I98" s="271"/>
      <c r="J98" s="271"/>
      <c r="K98" s="271"/>
      <c r="L98" s="271"/>
    </row>
    <row r="99" spans="1:12">
      <c r="A99" s="269" t="s">
        <v>441</v>
      </c>
      <c r="B99" s="287">
        <v>23976000</v>
      </c>
      <c r="C99" s="271">
        <v>24</v>
      </c>
      <c r="D99" s="273">
        <v>45300</v>
      </c>
      <c r="E99" s="271">
        <v>30</v>
      </c>
      <c r="F99" s="273">
        <f t="shared" ref="F99" si="21">D99+E99</f>
        <v>45330</v>
      </c>
      <c r="G99" s="271">
        <f t="shared" si="17"/>
        <v>143</v>
      </c>
      <c r="H99" s="271"/>
      <c r="I99" s="271"/>
      <c r="J99" s="271"/>
      <c r="K99" s="271"/>
      <c r="L99" s="277">
        <f>B99</f>
        <v>23976000</v>
      </c>
    </row>
    <row r="100" spans="1:12">
      <c r="A100" s="269"/>
      <c r="B100" s="287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</row>
    <row r="101" spans="1:12">
      <c r="A101" s="269" t="s">
        <v>626</v>
      </c>
      <c r="B101" s="287">
        <v>21845910</v>
      </c>
      <c r="C101" s="271">
        <v>128</v>
      </c>
      <c r="D101" s="273">
        <v>45324</v>
      </c>
      <c r="E101" s="271">
        <v>30</v>
      </c>
      <c r="F101" s="273">
        <f t="shared" ref="F101:F103" si="22">D101+E101</f>
        <v>45354</v>
      </c>
      <c r="G101" s="271">
        <f t="shared" si="17"/>
        <v>119</v>
      </c>
      <c r="H101" s="271"/>
      <c r="I101" s="271"/>
      <c r="J101" s="271"/>
      <c r="K101" s="271"/>
      <c r="L101" s="277">
        <f t="shared" ref="L101:L102" si="23">B101</f>
        <v>21845910</v>
      </c>
    </row>
    <row r="102" spans="1:12">
      <c r="A102" s="269" t="s">
        <v>626</v>
      </c>
      <c r="B102" s="287">
        <v>452880</v>
      </c>
      <c r="C102" s="271">
        <v>161</v>
      </c>
      <c r="D102" s="273">
        <v>45335</v>
      </c>
      <c r="E102" s="271">
        <v>30</v>
      </c>
      <c r="F102" s="273">
        <f t="shared" si="22"/>
        <v>45365</v>
      </c>
      <c r="G102" s="271">
        <f t="shared" si="17"/>
        <v>108</v>
      </c>
      <c r="H102" s="271"/>
      <c r="I102" s="271"/>
      <c r="J102" s="271"/>
      <c r="K102" s="271"/>
      <c r="L102" s="277">
        <f t="shared" si="23"/>
        <v>452880</v>
      </c>
    </row>
    <row r="103" spans="1:12">
      <c r="A103" s="269" t="s">
        <v>626</v>
      </c>
      <c r="B103" s="287">
        <v>25213483</v>
      </c>
      <c r="C103" s="271">
        <v>370</v>
      </c>
      <c r="D103" s="273">
        <v>45430</v>
      </c>
      <c r="E103" s="271">
        <v>30</v>
      </c>
      <c r="F103" s="273">
        <f t="shared" si="22"/>
        <v>45460</v>
      </c>
      <c r="G103" s="271">
        <f t="shared" si="17"/>
        <v>13</v>
      </c>
      <c r="H103" s="271"/>
      <c r="I103" s="277">
        <f>B103</f>
        <v>25213483</v>
      </c>
      <c r="J103" s="271"/>
      <c r="K103" s="271"/>
      <c r="L103" s="271"/>
    </row>
    <row r="104" spans="1:12">
      <c r="A104" s="269"/>
      <c r="B104" s="287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</row>
    <row r="105" spans="1:12">
      <c r="A105" s="269" t="s">
        <v>50</v>
      </c>
      <c r="B105" s="287">
        <v>650000</v>
      </c>
      <c r="C105" s="271">
        <v>301</v>
      </c>
      <c r="D105" s="273">
        <v>45407</v>
      </c>
      <c r="E105" s="271">
        <v>30</v>
      </c>
      <c r="F105" s="273">
        <f t="shared" ref="F105:F110" si="24">D105+E105</f>
        <v>45437</v>
      </c>
      <c r="G105" s="271">
        <f t="shared" si="17"/>
        <v>36</v>
      </c>
      <c r="H105" s="271"/>
      <c r="I105" s="271"/>
      <c r="J105" s="277">
        <f>B105</f>
        <v>650000</v>
      </c>
      <c r="K105" s="271"/>
      <c r="L105" s="271"/>
    </row>
    <row r="106" spans="1:12">
      <c r="A106" s="269" t="s">
        <v>50</v>
      </c>
      <c r="B106" s="287">
        <v>80000</v>
      </c>
      <c r="C106" s="271">
        <v>348</v>
      </c>
      <c r="D106" s="273">
        <v>45426</v>
      </c>
      <c r="E106" s="271">
        <v>30</v>
      </c>
      <c r="F106" s="273">
        <f t="shared" si="24"/>
        <v>45456</v>
      </c>
      <c r="G106" s="271">
        <f t="shared" si="17"/>
        <v>17</v>
      </c>
      <c r="H106" s="271"/>
      <c r="I106" s="277">
        <f t="shared" ref="I106:I107" si="25">B106</f>
        <v>80000</v>
      </c>
      <c r="J106" s="271"/>
      <c r="K106" s="271"/>
      <c r="L106" s="271"/>
    </row>
    <row r="107" spans="1:12">
      <c r="A107" s="269" t="s">
        <v>50</v>
      </c>
      <c r="B107" s="287">
        <v>2075000</v>
      </c>
      <c r="C107" s="271">
        <v>388</v>
      </c>
      <c r="D107" s="273">
        <v>45440</v>
      </c>
      <c r="E107" s="271">
        <v>30</v>
      </c>
      <c r="F107" s="273">
        <f t="shared" si="24"/>
        <v>45470</v>
      </c>
      <c r="G107" s="271">
        <f t="shared" si="17"/>
        <v>3</v>
      </c>
      <c r="H107" s="271"/>
      <c r="I107" s="277">
        <f t="shared" si="25"/>
        <v>2075000</v>
      </c>
      <c r="J107" s="271"/>
      <c r="K107" s="271"/>
      <c r="L107" s="271"/>
    </row>
    <row r="108" spans="1:12">
      <c r="A108" s="269" t="s">
        <v>50</v>
      </c>
      <c r="B108" s="287">
        <v>2050000</v>
      </c>
      <c r="C108" s="271">
        <v>440</v>
      </c>
      <c r="D108" s="273">
        <v>45462</v>
      </c>
      <c r="E108" s="271">
        <v>30</v>
      </c>
      <c r="F108" s="273">
        <f t="shared" si="24"/>
        <v>45492</v>
      </c>
      <c r="G108" s="271">
        <f t="shared" si="17"/>
        <v>-19</v>
      </c>
      <c r="H108" s="277">
        <f t="shared" ref="H108:H110" si="26">B108</f>
        <v>2050000</v>
      </c>
      <c r="I108" s="271"/>
      <c r="J108" s="271"/>
      <c r="K108" s="271"/>
      <c r="L108" s="271"/>
    </row>
    <row r="109" spans="1:12">
      <c r="A109" s="269" t="s">
        <v>50</v>
      </c>
      <c r="B109" s="287">
        <v>590000</v>
      </c>
      <c r="C109" s="271">
        <v>442</v>
      </c>
      <c r="D109" s="273">
        <v>45465</v>
      </c>
      <c r="E109" s="271">
        <v>30</v>
      </c>
      <c r="F109" s="273">
        <f t="shared" si="24"/>
        <v>45495</v>
      </c>
      <c r="G109" s="271">
        <f t="shared" si="17"/>
        <v>-22</v>
      </c>
      <c r="H109" s="277">
        <f t="shared" si="26"/>
        <v>590000</v>
      </c>
      <c r="I109" s="271"/>
      <c r="J109" s="271"/>
      <c r="K109" s="271"/>
      <c r="L109" s="271"/>
    </row>
    <row r="110" spans="1:12">
      <c r="A110" s="269" t="s">
        <v>50</v>
      </c>
      <c r="B110" s="287">
        <v>1370000</v>
      </c>
      <c r="C110" s="271">
        <v>445</v>
      </c>
      <c r="D110" s="273">
        <v>45469</v>
      </c>
      <c r="E110" s="271">
        <v>30</v>
      </c>
      <c r="F110" s="273">
        <f t="shared" si="24"/>
        <v>45499</v>
      </c>
      <c r="G110" s="271">
        <f t="shared" si="17"/>
        <v>-26</v>
      </c>
      <c r="H110" s="277">
        <f t="shared" si="26"/>
        <v>1370000</v>
      </c>
      <c r="I110" s="271"/>
      <c r="J110" s="271"/>
      <c r="K110" s="271"/>
      <c r="L110" s="271"/>
    </row>
    <row r="111" spans="1:12">
      <c r="A111" s="269"/>
      <c r="B111" s="287"/>
      <c r="C111" s="271"/>
      <c r="D111" s="273"/>
      <c r="E111" s="271"/>
      <c r="F111" s="271"/>
      <c r="G111" s="271"/>
      <c r="H111" s="271"/>
      <c r="I111" s="271"/>
      <c r="J111" s="271"/>
      <c r="K111" s="271"/>
      <c r="L111" s="271"/>
    </row>
    <row r="112" spans="1:12">
      <c r="A112" s="269" t="s">
        <v>35</v>
      </c>
      <c r="B112" s="287">
        <v>1665000</v>
      </c>
      <c r="C112" s="276">
        <v>357</v>
      </c>
      <c r="D112" s="273">
        <v>45428</v>
      </c>
      <c r="E112" s="271">
        <v>30</v>
      </c>
      <c r="F112" s="273">
        <f t="shared" ref="F112:F115" si="27">D112+E112</f>
        <v>45458</v>
      </c>
      <c r="G112" s="271">
        <f t="shared" si="17"/>
        <v>15</v>
      </c>
      <c r="H112" s="271"/>
      <c r="I112" s="277">
        <f t="shared" ref="I112:I115" si="28">B112</f>
        <v>1665000</v>
      </c>
      <c r="J112" s="271"/>
      <c r="K112" s="271"/>
      <c r="L112" s="271"/>
    </row>
    <row r="113" spans="1:12">
      <c r="A113" s="269" t="s">
        <v>35</v>
      </c>
      <c r="B113" s="287">
        <f>508935+900</f>
        <v>509835</v>
      </c>
      <c r="C113" s="271">
        <v>358</v>
      </c>
      <c r="D113" s="273">
        <v>45428</v>
      </c>
      <c r="E113" s="271">
        <v>30</v>
      </c>
      <c r="F113" s="273">
        <f t="shared" si="27"/>
        <v>45458</v>
      </c>
      <c r="G113" s="271">
        <f t="shared" si="17"/>
        <v>15</v>
      </c>
      <c r="H113" s="271"/>
      <c r="I113" s="277">
        <f t="shared" si="28"/>
        <v>509835</v>
      </c>
      <c r="J113" s="271"/>
      <c r="K113" s="271"/>
      <c r="L113" s="271"/>
    </row>
    <row r="114" spans="1:12">
      <c r="A114" s="269" t="s">
        <v>35</v>
      </c>
      <c r="B114" s="287">
        <v>562770</v>
      </c>
      <c r="C114" s="271">
        <v>359</v>
      </c>
      <c r="D114" s="273">
        <v>45428</v>
      </c>
      <c r="E114" s="271">
        <v>30</v>
      </c>
      <c r="F114" s="273">
        <f t="shared" si="27"/>
        <v>45458</v>
      </c>
      <c r="G114" s="271">
        <f t="shared" si="17"/>
        <v>15</v>
      </c>
      <c r="H114" s="271"/>
      <c r="I114" s="277">
        <f t="shared" si="28"/>
        <v>562770</v>
      </c>
      <c r="J114" s="271"/>
      <c r="K114" s="271"/>
      <c r="L114" s="271"/>
    </row>
    <row r="115" spans="1:12">
      <c r="A115" s="269" t="s">
        <v>35</v>
      </c>
      <c r="B115" s="287">
        <v>333000</v>
      </c>
      <c r="C115" s="271">
        <v>360</v>
      </c>
      <c r="D115" s="273">
        <v>45428</v>
      </c>
      <c r="E115" s="271">
        <v>30</v>
      </c>
      <c r="F115" s="273">
        <f t="shared" si="27"/>
        <v>45458</v>
      </c>
      <c r="G115" s="271">
        <f t="shared" si="17"/>
        <v>15</v>
      </c>
      <c r="H115" s="271"/>
      <c r="I115" s="277">
        <f t="shared" si="28"/>
        <v>333000</v>
      </c>
      <c r="J115" s="271"/>
      <c r="K115" s="271"/>
      <c r="L115" s="271"/>
    </row>
    <row r="116" spans="1:12">
      <c r="A116" s="269"/>
      <c r="B116" s="287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</row>
    <row r="117" spans="1:12">
      <c r="A117" s="269" t="s">
        <v>483</v>
      </c>
      <c r="B117" s="287">
        <v>11855528</v>
      </c>
      <c r="C117" s="271">
        <v>413</v>
      </c>
      <c r="D117" s="273">
        <v>45446</v>
      </c>
      <c r="E117" s="271">
        <v>30</v>
      </c>
      <c r="F117" s="273">
        <f t="shared" ref="F117:F118" si="29">D117+E117</f>
        <v>45476</v>
      </c>
      <c r="G117" s="271">
        <f t="shared" si="17"/>
        <v>-3</v>
      </c>
      <c r="H117" s="277">
        <f t="shared" ref="H117:H118" si="30">B117</f>
        <v>11855528</v>
      </c>
      <c r="I117" s="271"/>
      <c r="J117" s="271"/>
      <c r="K117" s="271"/>
      <c r="L117" s="271"/>
    </row>
    <row r="118" spans="1:12">
      <c r="A118" s="269" t="s">
        <v>483</v>
      </c>
      <c r="B118" s="287">
        <v>13877220</v>
      </c>
      <c r="C118" s="271">
        <v>422</v>
      </c>
      <c r="D118" s="273">
        <v>45451</v>
      </c>
      <c r="E118" s="271">
        <v>30</v>
      </c>
      <c r="F118" s="273">
        <f t="shared" si="29"/>
        <v>45481</v>
      </c>
      <c r="G118" s="271">
        <f t="shared" si="17"/>
        <v>-8</v>
      </c>
      <c r="H118" s="277">
        <f t="shared" si="30"/>
        <v>13877220</v>
      </c>
      <c r="I118" s="271"/>
      <c r="J118" s="271"/>
      <c r="K118" s="271"/>
      <c r="L118" s="271"/>
    </row>
    <row r="119" spans="1:12">
      <c r="A119" s="269"/>
      <c r="B119" s="287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</row>
    <row r="120" spans="1:12">
      <c r="A120" s="269" t="s">
        <v>282</v>
      </c>
      <c r="B120" s="287">
        <v>11094849</v>
      </c>
      <c r="C120" s="271">
        <v>149</v>
      </c>
      <c r="D120" s="273">
        <v>45330</v>
      </c>
      <c r="E120" s="271">
        <v>30</v>
      </c>
      <c r="F120" s="273">
        <f t="shared" ref="F120:F122" si="31">D120+E120</f>
        <v>45360</v>
      </c>
      <c r="G120" s="271">
        <f t="shared" si="17"/>
        <v>113</v>
      </c>
      <c r="H120" s="271"/>
      <c r="I120" s="271"/>
      <c r="J120" s="271"/>
      <c r="K120" s="271"/>
      <c r="L120" s="277">
        <f>B120</f>
        <v>11094849</v>
      </c>
    </row>
    <row r="121" spans="1:12">
      <c r="A121" s="269" t="s">
        <v>282</v>
      </c>
      <c r="B121" s="287">
        <v>11094849</v>
      </c>
      <c r="C121" s="271">
        <v>344</v>
      </c>
      <c r="D121" s="273">
        <v>45425</v>
      </c>
      <c r="E121" s="271">
        <v>30</v>
      </c>
      <c r="F121" s="273">
        <f t="shared" si="31"/>
        <v>45455</v>
      </c>
      <c r="G121" s="271">
        <f t="shared" si="17"/>
        <v>18</v>
      </c>
      <c r="H121" s="271"/>
      <c r="I121" s="277">
        <f>B121</f>
        <v>11094849</v>
      </c>
      <c r="J121" s="271"/>
      <c r="K121" s="271"/>
      <c r="L121" s="271"/>
    </row>
    <row r="122" spans="1:12">
      <c r="A122" s="269" t="s">
        <v>282</v>
      </c>
      <c r="B122" s="287">
        <v>11094849</v>
      </c>
      <c r="C122" s="271">
        <v>426</v>
      </c>
      <c r="D122" s="273">
        <v>45454</v>
      </c>
      <c r="E122" s="271">
        <v>30</v>
      </c>
      <c r="F122" s="273">
        <f t="shared" si="31"/>
        <v>45484</v>
      </c>
      <c r="G122" s="271">
        <f t="shared" si="17"/>
        <v>-11</v>
      </c>
      <c r="H122" s="277">
        <f>B122</f>
        <v>11094849</v>
      </c>
      <c r="I122" s="271"/>
      <c r="J122" s="271"/>
      <c r="K122" s="271"/>
      <c r="L122" s="271"/>
    </row>
    <row r="123" spans="1:12">
      <c r="A123" s="269"/>
      <c r="B123" s="287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</row>
    <row r="124" spans="1:12">
      <c r="A124" s="269" t="s">
        <v>627</v>
      </c>
      <c r="B124" s="287">
        <v>96818896</v>
      </c>
      <c r="C124" s="271"/>
      <c r="D124" s="271"/>
      <c r="E124" s="271"/>
      <c r="F124" s="271"/>
      <c r="G124" s="271"/>
      <c r="H124" s="271"/>
      <c r="I124" s="277">
        <f>B124</f>
        <v>96818896</v>
      </c>
      <c r="J124" s="271"/>
      <c r="K124" s="271"/>
      <c r="L124" s="271"/>
    </row>
    <row r="125" spans="1:12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</row>
    <row r="126" spans="1:12">
      <c r="B126" s="23">
        <f>SUM(B6:B124)</f>
        <v>7376718908.5500002</v>
      </c>
      <c r="H126" s="23">
        <f t="shared" ref="H126:L126" si="32">SUM(H6:H124)</f>
        <v>3540401172.9500003</v>
      </c>
      <c r="I126" s="23">
        <f t="shared" si="32"/>
        <v>2654044180.5999999</v>
      </c>
      <c r="J126" s="23">
        <f t="shared" si="32"/>
        <v>534411666</v>
      </c>
      <c r="K126" s="23">
        <f t="shared" si="32"/>
        <v>0</v>
      </c>
      <c r="L126" s="23">
        <f t="shared" si="32"/>
        <v>647861889</v>
      </c>
    </row>
  </sheetData>
  <autoFilter ref="A5:L135" xr:uid="{D52B6275-8A4A-4881-9129-F2A18EF8FC04}"/>
  <pageMargins left="0.7" right="0.7" top="0.75" bottom="0.75" header="0.3" footer="0.3"/>
  <ignoredErrors>
    <ignoredError sqref="C8:C32 C34:C37 C39:C43 C46:C50 C52:C54 C58:C84 C86:C9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78A0-35F0-4B1D-A96F-6E8D9C3AAA8E}">
  <sheetPr>
    <tabColor rgb="FFE6D77A"/>
  </sheetPr>
  <dimension ref="A1:L229"/>
  <sheetViews>
    <sheetView showGridLines="0" workbookViewId="0">
      <pane xSplit="2" ySplit="5" topLeftCell="C22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33.90625" bestFit="1" customWidth="1"/>
    <col min="2" max="2" width="13.81640625" style="16" bestFit="1" customWidth="1"/>
    <col min="3" max="3" width="13.08984375" customWidth="1"/>
    <col min="4" max="4" width="13.08984375" style="303" customWidth="1"/>
    <col min="5" max="6" width="13.08984375" customWidth="1"/>
    <col min="7" max="7" width="7" bestFit="1" customWidth="1"/>
    <col min="8" max="8" width="13.81640625" bestFit="1" customWidth="1"/>
    <col min="9" max="9" width="13.90625" bestFit="1" customWidth="1"/>
    <col min="10" max="12" width="13.08984375" customWidth="1"/>
  </cols>
  <sheetData>
    <row r="1" spans="1:12">
      <c r="A1" s="158" t="s">
        <v>185</v>
      </c>
      <c r="B1" s="212"/>
      <c r="C1" s="312">
        <v>136316784.86000001</v>
      </c>
      <c r="E1" s="159"/>
      <c r="F1" s="159"/>
      <c r="G1" s="159"/>
      <c r="H1" s="159"/>
      <c r="I1" s="159"/>
      <c r="J1" s="159"/>
      <c r="K1" s="159"/>
      <c r="L1" s="159"/>
    </row>
    <row r="2" spans="1:12">
      <c r="A2" s="158" t="s">
        <v>172</v>
      </c>
      <c r="B2" s="212"/>
      <c r="C2" s="312">
        <v>112737198.56999999</v>
      </c>
      <c r="E2" s="179">
        <v>1397055565</v>
      </c>
      <c r="F2" s="159"/>
      <c r="G2" s="159"/>
      <c r="H2" s="159"/>
      <c r="I2" s="159"/>
      <c r="J2" s="159"/>
      <c r="K2" s="159"/>
      <c r="L2" s="159"/>
    </row>
    <row r="3" spans="1:12">
      <c r="A3" s="160">
        <v>45473</v>
      </c>
      <c r="B3" s="212"/>
      <c r="C3" s="312">
        <v>110884664.51000001</v>
      </c>
      <c r="E3" s="212">
        <v>1379797867</v>
      </c>
      <c r="F3" s="180">
        <f>E2-E3</f>
        <v>17257698</v>
      </c>
      <c r="G3" s="159"/>
      <c r="H3" s="159"/>
      <c r="I3" s="159"/>
      <c r="J3" s="159"/>
      <c r="K3" s="159"/>
      <c r="L3" s="159"/>
    </row>
    <row r="4" spans="1:12">
      <c r="A4" s="159"/>
      <c r="B4" s="212"/>
      <c r="C4" s="312">
        <f>SUM(C1:C3)</f>
        <v>359938647.94</v>
      </c>
      <c r="D4" s="313">
        <v>500000000</v>
      </c>
      <c r="E4" s="180">
        <f>D4-C4</f>
        <v>140061352.06</v>
      </c>
      <c r="F4" s="159"/>
      <c r="G4" s="159"/>
      <c r="H4" s="159"/>
      <c r="I4" s="159"/>
      <c r="J4" s="159"/>
      <c r="K4" s="159"/>
      <c r="L4" s="159"/>
    </row>
    <row r="5" spans="1:12">
      <c r="A5" s="297" t="s">
        <v>2</v>
      </c>
      <c r="B5" s="297" t="s">
        <v>3</v>
      </c>
      <c r="C5" s="297" t="s">
        <v>244</v>
      </c>
      <c r="D5" s="304" t="s">
        <v>245</v>
      </c>
      <c r="E5" s="297" t="s">
        <v>209</v>
      </c>
      <c r="F5" s="297" t="s">
        <v>210</v>
      </c>
      <c r="G5" s="297" t="s">
        <v>211</v>
      </c>
      <c r="H5" s="297" t="s">
        <v>174</v>
      </c>
      <c r="I5" s="297" t="s">
        <v>212</v>
      </c>
      <c r="J5" s="297" t="s">
        <v>213</v>
      </c>
      <c r="K5" s="297" t="s">
        <v>214</v>
      </c>
      <c r="L5" s="297" t="s">
        <v>215</v>
      </c>
    </row>
    <row r="6" spans="1:12">
      <c r="A6" s="298" t="s">
        <v>8</v>
      </c>
      <c r="B6" s="272">
        <v>11942115</v>
      </c>
      <c r="C6" s="271"/>
      <c r="D6" s="305"/>
      <c r="E6" s="271"/>
      <c r="F6" s="271"/>
      <c r="G6" s="271"/>
      <c r="H6" s="271"/>
      <c r="I6" s="277">
        <f>B6</f>
        <v>11942115</v>
      </c>
      <c r="J6" s="271"/>
      <c r="K6" s="271"/>
      <c r="L6" s="271"/>
    </row>
    <row r="7" spans="1:12">
      <c r="A7" s="298"/>
      <c r="B7" s="272"/>
      <c r="C7" s="271"/>
      <c r="D7" s="305"/>
      <c r="E7" s="271"/>
      <c r="F7" s="271"/>
      <c r="G7" s="271"/>
      <c r="H7" s="271"/>
      <c r="I7" s="277"/>
      <c r="J7" s="271"/>
      <c r="K7" s="271"/>
      <c r="L7" s="271"/>
    </row>
    <row r="8" spans="1:12">
      <c r="A8" s="298" t="s">
        <v>10</v>
      </c>
      <c r="B8" s="272">
        <v>11955410</v>
      </c>
      <c r="C8" s="271">
        <v>184</v>
      </c>
      <c r="D8" s="306">
        <v>45454</v>
      </c>
      <c r="E8" s="271">
        <v>30</v>
      </c>
      <c r="F8" s="273">
        <f>D8+E8</f>
        <v>45484</v>
      </c>
      <c r="G8" s="271">
        <f>$A$3-F8</f>
        <v>-11</v>
      </c>
      <c r="H8" s="277">
        <f>B8</f>
        <v>11955410</v>
      </c>
      <c r="I8" s="271"/>
      <c r="J8" s="271"/>
      <c r="K8" s="271"/>
      <c r="L8" s="271"/>
    </row>
    <row r="9" spans="1:12">
      <c r="A9" s="298" t="s">
        <v>10</v>
      </c>
      <c r="B9" s="272">
        <v>14129856</v>
      </c>
      <c r="C9" s="271">
        <v>20</v>
      </c>
      <c r="D9" s="306">
        <v>45408</v>
      </c>
      <c r="E9" s="271">
        <v>30</v>
      </c>
      <c r="F9" s="273">
        <f>D9+E9</f>
        <v>45438</v>
      </c>
      <c r="G9" s="271">
        <f>$A$3-F9</f>
        <v>35</v>
      </c>
      <c r="H9" s="271"/>
      <c r="I9" s="271"/>
      <c r="J9" s="277">
        <f>B9</f>
        <v>14129856</v>
      </c>
      <c r="K9" s="271"/>
      <c r="L9" s="271"/>
    </row>
    <row r="10" spans="1:12">
      <c r="A10" s="298"/>
      <c r="B10" s="272"/>
      <c r="C10" s="271"/>
      <c r="D10" s="305"/>
      <c r="E10" s="271"/>
      <c r="F10" s="271"/>
      <c r="G10" s="271"/>
      <c r="H10" s="271"/>
      <c r="I10" s="271"/>
      <c r="J10" s="271"/>
      <c r="K10" s="271"/>
      <c r="L10" s="271"/>
    </row>
    <row r="11" spans="1:12">
      <c r="A11" s="298" t="s">
        <v>83</v>
      </c>
      <c r="B11" s="272">
        <v>1720500</v>
      </c>
      <c r="C11" s="271">
        <v>27</v>
      </c>
      <c r="D11" s="306">
        <v>45457</v>
      </c>
      <c r="E11" s="271">
        <v>30</v>
      </c>
      <c r="F11" s="273">
        <f>D11+E11</f>
        <v>45487</v>
      </c>
      <c r="G11" s="271">
        <f>$A$3-F11</f>
        <v>-14</v>
      </c>
      <c r="H11" s="277">
        <f>B11</f>
        <v>1720500</v>
      </c>
      <c r="I11" s="271"/>
      <c r="J11" s="271"/>
      <c r="K11" s="271"/>
      <c r="L11" s="271"/>
    </row>
    <row r="12" spans="1:12">
      <c r="A12" s="298"/>
      <c r="B12" s="272"/>
      <c r="C12" s="271"/>
      <c r="D12" s="306"/>
      <c r="E12" s="271"/>
      <c r="F12" s="273"/>
      <c r="G12" s="271"/>
      <c r="H12" s="271"/>
      <c r="I12" s="271"/>
      <c r="J12" s="271"/>
      <c r="K12" s="271"/>
      <c r="L12" s="271"/>
    </row>
    <row r="13" spans="1:12">
      <c r="A13" s="298" t="s">
        <v>11</v>
      </c>
      <c r="B13" s="272">
        <v>24975000</v>
      </c>
      <c r="C13" s="271">
        <v>92</v>
      </c>
      <c r="D13" s="306">
        <v>45352</v>
      </c>
      <c r="E13" s="271">
        <v>30</v>
      </c>
      <c r="F13" s="273">
        <f t="shared" ref="F13:F14" si="0">D13+E13</f>
        <v>45382</v>
      </c>
      <c r="G13" s="271">
        <f t="shared" ref="G13:G41" si="1">$A$3-F13</f>
        <v>91</v>
      </c>
      <c r="H13" s="271"/>
      <c r="I13" s="271"/>
      <c r="J13" s="271"/>
      <c r="K13" s="271"/>
      <c r="L13" s="277">
        <f>B13</f>
        <v>24975000</v>
      </c>
    </row>
    <row r="14" spans="1:12">
      <c r="A14" s="298" t="s">
        <v>11</v>
      </c>
      <c r="B14" s="272">
        <v>24975000</v>
      </c>
      <c r="C14" s="271">
        <v>156</v>
      </c>
      <c r="D14" s="306">
        <v>45428</v>
      </c>
      <c r="E14" s="271">
        <v>30</v>
      </c>
      <c r="F14" s="273">
        <f t="shared" si="0"/>
        <v>45458</v>
      </c>
      <c r="G14" s="271">
        <f t="shared" si="1"/>
        <v>15</v>
      </c>
      <c r="H14" s="271"/>
      <c r="I14" s="277">
        <f>B14</f>
        <v>24975000</v>
      </c>
      <c r="J14" s="271"/>
      <c r="K14" s="271"/>
      <c r="L14" s="271"/>
    </row>
    <row r="15" spans="1:12">
      <c r="A15" s="298"/>
      <c r="B15" s="272"/>
      <c r="C15" s="271"/>
      <c r="D15" s="305"/>
      <c r="E15" s="271"/>
      <c r="F15" s="271"/>
      <c r="G15" s="271"/>
      <c r="H15" s="271"/>
      <c r="I15" s="271"/>
      <c r="J15" s="271"/>
      <c r="K15" s="271"/>
      <c r="L15" s="271"/>
    </row>
    <row r="16" spans="1:12">
      <c r="A16" s="298" t="s">
        <v>12</v>
      </c>
      <c r="B16" s="272">
        <f>21247176-93963</f>
        <v>21153213</v>
      </c>
      <c r="C16" s="291" t="s">
        <v>712</v>
      </c>
      <c r="D16" s="76">
        <v>45426</v>
      </c>
      <c r="E16" s="271">
        <v>30</v>
      </c>
      <c r="F16" s="273">
        <f t="shared" ref="F16:F31" si="2">D16+E16</f>
        <v>45456</v>
      </c>
      <c r="G16" s="271">
        <f t="shared" si="1"/>
        <v>17</v>
      </c>
      <c r="H16" s="271"/>
      <c r="I16" s="277">
        <f t="shared" ref="I16:I20" si="3">B16</f>
        <v>21153213</v>
      </c>
      <c r="J16" s="271"/>
      <c r="K16" s="271"/>
      <c r="L16" s="271"/>
    </row>
    <row r="17" spans="1:12">
      <c r="A17" s="298" t="s">
        <v>12</v>
      </c>
      <c r="B17" s="272">
        <v>8135822</v>
      </c>
      <c r="C17" s="291" t="s">
        <v>661</v>
      </c>
      <c r="D17" s="76">
        <v>45431</v>
      </c>
      <c r="E17" s="271">
        <v>30</v>
      </c>
      <c r="F17" s="273">
        <f t="shared" si="2"/>
        <v>45461</v>
      </c>
      <c r="G17" s="271">
        <f t="shared" si="1"/>
        <v>12</v>
      </c>
      <c r="H17" s="271"/>
      <c r="I17" s="277">
        <f t="shared" si="3"/>
        <v>8135822</v>
      </c>
      <c r="J17" s="271"/>
      <c r="K17" s="271"/>
      <c r="L17" s="271"/>
    </row>
    <row r="18" spans="1:12">
      <c r="A18" s="298" t="s">
        <v>12</v>
      </c>
      <c r="B18" s="272">
        <v>15409686</v>
      </c>
      <c r="C18" s="291" t="s">
        <v>662</v>
      </c>
      <c r="D18" s="76">
        <v>45431</v>
      </c>
      <c r="E18" s="271">
        <v>30</v>
      </c>
      <c r="F18" s="273">
        <f t="shared" si="2"/>
        <v>45461</v>
      </c>
      <c r="G18" s="271">
        <f t="shared" si="1"/>
        <v>12</v>
      </c>
      <c r="H18" s="271"/>
      <c r="I18" s="277">
        <f t="shared" si="3"/>
        <v>15409686</v>
      </c>
      <c r="J18" s="271"/>
      <c r="K18" s="271"/>
      <c r="L18" s="271"/>
    </row>
    <row r="19" spans="1:12">
      <c r="A19" s="298" t="s">
        <v>12</v>
      </c>
      <c r="B19" s="272">
        <v>6643350</v>
      </c>
      <c r="C19" s="291" t="s">
        <v>663</v>
      </c>
      <c r="D19" s="76">
        <v>45431</v>
      </c>
      <c r="E19" s="271">
        <v>30</v>
      </c>
      <c r="F19" s="273">
        <f t="shared" si="2"/>
        <v>45461</v>
      </c>
      <c r="G19" s="271">
        <f t="shared" si="1"/>
        <v>12</v>
      </c>
      <c r="H19" s="271"/>
      <c r="I19" s="277">
        <f t="shared" si="3"/>
        <v>6643350</v>
      </c>
      <c r="J19" s="271"/>
      <c r="K19" s="271"/>
      <c r="L19" s="271"/>
    </row>
    <row r="20" spans="1:12">
      <c r="A20" s="298" t="s">
        <v>12</v>
      </c>
      <c r="B20" s="272">
        <v>7606830</v>
      </c>
      <c r="C20" s="291" t="s">
        <v>664</v>
      </c>
      <c r="D20" s="76">
        <v>45431</v>
      </c>
      <c r="E20" s="271">
        <v>30</v>
      </c>
      <c r="F20" s="273">
        <f t="shared" si="2"/>
        <v>45461</v>
      </c>
      <c r="G20" s="271">
        <f t="shared" si="1"/>
        <v>12</v>
      </c>
      <c r="H20" s="271"/>
      <c r="I20" s="277">
        <f t="shared" si="3"/>
        <v>7606830</v>
      </c>
      <c r="J20" s="271"/>
      <c r="K20" s="271"/>
      <c r="L20" s="271"/>
    </row>
    <row r="21" spans="1:12">
      <c r="A21" s="298" t="s">
        <v>12</v>
      </c>
      <c r="B21" s="272">
        <v>6808185</v>
      </c>
      <c r="C21" s="291" t="s">
        <v>713</v>
      </c>
      <c r="D21" s="76">
        <v>45446</v>
      </c>
      <c r="E21" s="271">
        <v>30</v>
      </c>
      <c r="F21" s="273">
        <f t="shared" si="2"/>
        <v>45476</v>
      </c>
      <c r="G21" s="271">
        <f t="shared" si="1"/>
        <v>-3</v>
      </c>
      <c r="H21" s="277">
        <f t="shared" ref="H21:H31" si="4">B21</f>
        <v>6808185</v>
      </c>
      <c r="I21" s="271"/>
      <c r="J21" s="271"/>
      <c r="K21" s="271"/>
      <c r="L21" s="271"/>
    </row>
    <row r="22" spans="1:12">
      <c r="A22" s="298" t="s">
        <v>12</v>
      </c>
      <c r="B22" s="272">
        <v>8223768</v>
      </c>
      <c r="C22" s="291" t="s">
        <v>668</v>
      </c>
      <c r="D22" s="76">
        <v>45446</v>
      </c>
      <c r="E22" s="271">
        <v>30</v>
      </c>
      <c r="F22" s="273">
        <f t="shared" si="2"/>
        <v>45476</v>
      </c>
      <c r="G22" s="271">
        <f t="shared" si="1"/>
        <v>-3</v>
      </c>
      <c r="H22" s="277">
        <f t="shared" si="4"/>
        <v>8223768</v>
      </c>
      <c r="I22" s="271"/>
      <c r="J22" s="271"/>
      <c r="K22" s="271"/>
      <c r="L22" s="271"/>
    </row>
    <row r="23" spans="1:12">
      <c r="A23" s="298" t="s">
        <v>12</v>
      </c>
      <c r="B23" s="272">
        <v>8741250</v>
      </c>
      <c r="C23" s="291" t="s">
        <v>669</v>
      </c>
      <c r="D23" s="76">
        <v>45446</v>
      </c>
      <c r="E23" s="271">
        <v>30</v>
      </c>
      <c r="F23" s="273">
        <f t="shared" si="2"/>
        <v>45476</v>
      </c>
      <c r="G23" s="271">
        <f t="shared" si="1"/>
        <v>-3</v>
      </c>
      <c r="H23" s="277">
        <f t="shared" si="4"/>
        <v>8741250</v>
      </c>
      <c r="I23" s="271"/>
      <c r="J23" s="271"/>
      <c r="K23" s="271"/>
      <c r="L23" s="271"/>
    </row>
    <row r="24" spans="1:12">
      <c r="A24" s="298" t="s">
        <v>12</v>
      </c>
      <c r="B24" s="272">
        <v>21058920</v>
      </c>
      <c r="C24" s="291" t="s">
        <v>673</v>
      </c>
      <c r="D24" s="76">
        <v>45448</v>
      </c>
      <c r="E24" s="271">
        <v>30</v>
      </c>
      <c r="F24" s="273">
        <f t="shared" si="2"/>
        <v>45478</v>
      </c>
      <c r="G24" s="271">
        <f t="shared" si="1"/>
        <v>-5</v>
      </c>
      <c r="H24" s="277">
        <f t="shared" si="4"/>
        <v>21058920</v>
      </c>
      <c r="I24" s="271"/>
      <c r="J24" s="271"/>
      <c r="K24" s="271"/>
      <c r="L24" s="271"/>
    </row>
    <row r="25" spans="1:12">
      <c r="A25" s="298" t="s">
        <v>12</v>
      </c>
      <c r="B25" s="272">
        <v>2910420</v>
      </c>
      <c r="C25" s="291" t="s">
        <v>714</v>
      </c>
      <c r="D25" s="76">
        <v>45448</v>
      </c>
      <c r="E25" s="271">
        <v>30</v>
      </c>
      <c r="F25" s="273">
        <f t="shared" si="2"/>
        <v>45478</v>
      </c>
      <c r="G25" s="271">
        <f t="shared" si="1"/>
        <v>-5</v>
      </c>
      <c r="H25" s="277">
        <f t="shared" si="4"/>
        <v>2910420</v>
      </c>
      <c r="I25" s="271"/>
      <c r="J25" s="271"/>
      <c r="K25" s="271"/>
      <c r="L25" s="271"/>
    </row>
    <row r="26" spans="1:12">
      <c r="A26" s="298" t="s">
        <v>12</v>
      </c>
      <c r="B26" s="272">
        <v>3732930</v>
      </c>
      <c r="C26" s="291" t="s">
        <v>715</v>
      </c>
      <c r="D26" s="76">
        <v>45450</v>
      </c>
      <c r="E26" s="271">
        <v>30</v>
      </c>
      <c r="F26" s="273">
        <f t="shared" si="2"/>
        <v>45480</v>
      </c>
      <c r="G26" s="271">
        <f t="shared" si="1"/>
        <v>-7</v>
      </c>
      <c r="H26" s="277">
        <f t="shared" si="4"/>
        <v>3732930</v>
      </c>
      <c r="I26" s="271"/>
      <c r="J26" s="271"/>
      <c r="K26" s="271"/>
      <c r="L26" s="271"/>
    </row>
    <row r="27" spans="1:12">
      <c r="A27" s="298" t="s">
        <v>12</v>
      </c>
      <c r="B27" s="272">
        <v>7080412</v>
      </c>
      <c r="C27" s="291" t="s">
        <v>716</v>
      </c>
      <c r="D27" s="76">
        <v>45463</v>
      </c>
      <c r="E27" s="271">
        <v>30</v>
      </c>
      <c r="F27" s="273">
        <f t="shared" si="2"/>
        <v>45493</v>
      </c>
      <c r="G27" s="271">
        <f t="shared" si="1"/>
        <v>-20</v>
      </c>
      <c r="H27" s="277">
        <f t="shared" si="4"/>
        <v>7080412</v>
      </c>
      <c r="I27" s="271"/>
      <c r="J27" s="271"/>
      <c r="K27" s="271"/>
      <c r="L27" s="271"/>
    </row>
    <row r="28" spans="1:12">
      <c r="A28" s="298" t="s">
        <v>12</v>
      </c>
      <c r="B28" s="272">
        <v>8974350</v>
      </c>
      <c r="C28" s="291" t="s">
        <v>681</v>
      </c>
      <c r="D28" s="76">
        <v>45468</v>
      </c>
      <c r="E28" s="271">
        <v>30</v>
      </c>
      <c r="F28" s="273">
        <f t="shared" si="2"/>
        <v>45498</v>
      </c>
      <c r="G28" s="271">
        <f t="shared" si="1"/>
        <v>-25</v>
      </c>
      <c r="H28" s="277">
        <f t="shared" si="4"/>
        <v>8974350</v>
      </c>
      <c r="I28" s="271"/>
      <c r="J28" s="271"/>
      <c r="K28" s="271"/>
      <c r="L28" s="271"/>
    </row>
    <row r="29" spans="1:12">
      <c r="A29" s="298" t="s">
        <v>12</v>
      </c>
      <c r="B29" s="272">
        <v>8223768</v>
      </c>
      <c r="C29" s="291" t="s">
        <v>688</v>
      </c>
      <c r="D29" s="76">
        <v>45468</v>
      </c>
      <c r="E29" s="271">
        <v>30</v>
      </c>
      <c r="F29" s="273">
        <f t="shared" si="2"/>
        <v>45498</v>
      </c>
      <c r="G29" s="271">
        <f t="shared" si="1"/>
        <v>-25</v>
      </c>
      <c r="H29" s="277">
        <f t="shared" si="4"/>
        <v>8223768</v>
      </c>
      <c r="I29" s="271"/>
      <c r="J29" s="271"/>
      <c r="K29" s="271"/>
      <c r="L29" s="271"/>
    </row>
    <row r="30" spans="1:12">
      <c r="A30" s="298" t="s">
        <v>12</v>
      </c>
      <c r="B30" s="272">
        <v>1408590</v>
      </c>
      <c r="C30" s="291" t="s">
        <v>656</v>
      </c>
      <c r="D30" s="76">
        <v>45468</v>
      </c>
      <c r="E30" s="271">
        <v>30</v>
      </c>
      <c r="F30" s="273">
        <f t="shared" si="2"/>
        <v>45498</v>
      </c>
      <c r="G30" s="271">
        <f t="shared" si="1"/>
        <v>-25</v>
      </c>
      <c r="H30" s="277">
        <f t="shared" si="4"/>
        <v>1408590</v>
      </c>
      <c r="I30" s="271"/>
      <c r="J30" s="271"/>
      <c r="K30" s="271"/>
      <c r="L30" s="271"/>
    </row>
    <row r="31" spans="1:12">
      <c r="A31" s="298" t="s">
        <v>12</v>
      </c>
      <c r="B31" s="272">
        <v>6643350</v>
      </c>
      <c r="C31" s="291" t="s">
        <v>717</v>
      </c>
      <c r="D31" s="76">
        <v>45468</v>
      </c>
      <c r="E31" s="271">
        <v>30</v>
      </c>
      <c r="F31" s="273">
        <f t="shared" si="2"/>
        <v>45498</v>
      </c>
      <c r="G31" s="271">
        <f t="shared" si="1"/>
        <v>-25</v>
      </c>
      <c r="H31" s="277">
        <f t="shared" si="4"/>
        <v>6643350</v>
      </c>
      <c r="I31" s="271"/>
      <c r="J31" s="271"/>
      <c r="K31" s="271"/>
      <c r="L31" s="271"/>
    </row>
    <row r="32" spans="1:12">
      <c r="A32" s="298"/>
      <c r="B32" s="272"/>
      <c r="C32" s="271"/>
      <c r="D32" s="305"/>
      <c r="E32" s="271"/>
      <c r="F32" s="271"/>
      <c r="G32" s="271"/>
      <c r="H32" s="271"/>
      <c r="I32" s="271"/>
      <c r="J32" s="271"/>
      <c r="K32" s="271"/>
      <c r="L32" s="271"/>
    </row>
    <row r="33" spans="1:12">
      <c r="A33" s="298" t="s">
        <v>219</v>
      </c>
      <c r="B33" s="299">
        <v>22200000</v>
      </c>
      <c r="C33" s="271">
        <v>134</v>
      </c>
      <c r="D33" s="306">
        <v>45406</v>
      </c>
      <c r="E33" s="271">
        <v>30</v>
      </c>
      <c r="F33" s="273">
        <f t="shared" ref="F33" si="5">D33+E33</f>
        <v>45436</v>
      </c>
      <c r="G33" s="271">
        <f t="shared" si="1"/>
        <v>37</v>
      </c>
      <c r="H33" s="271"/>
      <c r="I33" s="271"/>
      <c r="J33" s="277">
        <f>B33</f>
        <v>22200000</v>
      </c>
      <c r="K33" s="271"/>
      <c r="L33" s="271"/>
    </row>
    <row r="34" spans="1:12">
      <c r="A34" s="298"/>
      <c r="B34" s="299"/>
      <c r="C34" s="271"/>
      <c r="D34" s="305"/>
      <c r="E34" s="271"/>
      <c r="F34" s="271"/>
      <c r="G34" s="271"/>
      <c r="H34" s="271"/>
      <c r="I34" s="271"/>
      <c r="J34" s="271"/>
      <c r="K34" s="271"/>
      <c r="L34" s="271"/>
    </row>
    <row r="35" spans="1:12">
      <c r="A35" s="298" t="s">
        <v>16</v>
      </c>
      <c r="B35" s="299">
        <v>142080000</v>
      </c>
      <c r="C35" s="271">
        <v>183</v>
      </c>
      <c r="D35" s="306">
        <v>45454</v>
      </c>
      <c r="E35" s="271">
        <v>30</v>
      </c>
      <c r="F35" s="273">
        <f t="shared" ref="F35" si="6">D35+E35</f>
        <v>45484</v>
      </c>
      <c r="G35" s="271">
        <f t="shared" si="1"/>
        <v>-11</v>
      </c>
      <c r="H35" s="277">
        <f>B35</f>
        <v>142080000</v>
      </c>
      <c r="I35" s="271"/>
      <c r="J35" s="271"/>
      <c r="K35" s="271"/>
      <c r="L35" s="271"/>
    </row>
    <row r="36" spans="1:12">
      <c r="A36" s="298"/>
      <c r="B36" s="299"/>
      <c r="C36" s="271"/>
      <c r="D36" s="305"/>
      <c r="E36" s="271"/>
      <c r="F36" s="271"/>
      <c r="G36" s="271"/>
      <c r="H36" s="271"/>
      <c r="I36" s="271"/>
      <c r="J36" s="271"/>
      <c r="K36" s="271"/>
      <c r="L36" s="271"/>
    </row>
    <row r="37" spans="1:12">
      <c r="A37" s="298" t="s">
        <v>17</v>
      </c>
      <c r="B37" s="299">
        <v>71748180</v>
      </c>
      <c r="C37" s="271">
        <v>74</v>
      </c>
      <c r="D37" s="76">
        <v>45345</v>
      </c>
      <c r="E37" s="271">
        <v>30</v>
      </c>
      <c r="F37" s="273">
        <f t="shared" ref="F37:F38" si="7">D37+E37</f>
        <v>45375</v>
      </c>
      <c r="G37" s="271">
        <f t="shared" si="1"/>
        <v>98</v>
      </c>
      <c r="H37" s="271"/>
      <c r="I37" s="271"/>
      <c r="J37" s="271"/>
      <c r="K37" s="271"/>
      <c r="L37" s="277">
        <f>B37</f>
        <v>71748180</v>
      </c>
    </row>
    <row r="38" spans="1:12">
      <c r="A38" s="298" t="s">
        <v>17</v>
      </c>
      <c r="B38" s="299">
        <v>19094220</v>
      </c>
      <c r="C38" s="271">
        <v>133</v>
      </c>
      <c r="D38" s="76">
        <v>45406</v>
      </c>
      <c r="E38" s="271">
        <v>30</v>
      </c>
      <c r="F38" s="273">
        <f t="shared" si="7"/>
        <v>45436</v>
      </c>
      <c r="G38" s="271">
        <f t="shared" si="1"/>
        <v>37</v>
      </c>
      <c r="H38" s="271"/>
      <c r="I38" s="271"/>
      <c r="J38" s="277">
        <f>B38</f>
        <v>19094220</v>
      </c>
      <c r="K38" s="271"/>
      <c r="L38" s="271"/>
    </row>
    <row r="39" spans="1:12">
      <c r="A39" s="298"/>
      <c r="B39" s="299"/>
      <c r="C39" s="271"/>
      <c r="D39" s="305"/>
      <c r="E39" s="271"/>
      <c r="F39" s="271"/>
      <c r="G39" s="271"/>
      <c r="H39" s="271"/>
      <c r="I39" s="271"/>
      <c r="J39" s="271"/>
      <c r="K39" s="271"/>
      <c r="L39" s="271"/>
    </row>
    <row r="40" spans="1:12">
      <c r="A40" s="298" t="s">
        <v>66</v>
      </c>
      <c r="B40" s="299">
        <v>22255500</v>
      </c>
      <c r="C40" s="271">
        <v>155</v>
      </c>
      <c r="D40" s="306">
        <v>45428</v>
      </c>
      <c r="E40" s="271">
        <v>30</v>
      </c>
      <c r="F40" s="273">
        <f t="shared" ref="F40:F41" si="8">D40+E40</f>
        <v>45458</v>
      </c>
      <c r="G40" s="271">
        <f t="shared" si="1"/>
        <v>15</v>
      </c>
      <c r="H40" s="271"/>
      <c r="I40" s="277">
        <f>B40</f>
        <v>22255500</v>
      </c>
      <c r="J40" s="271"/>
      <c r="K40" s="271"/>
      <c r="L40" s="271"/>
    </row>
    <row r="41" spans="1:12">
      <c r="A41" s="298" t="s">
        <v>66</v>
      </c>
      <c r="B41" s="299">
        <v>7603500</v>
      </c>
      <c r="C41" s="271">
        <v>189</v>
      </c>
      <c r="D41" s="306">
        <v>45455</v>
      </c>
      <c r="E41" s="271">
        <v>30</v>
      </c>
      <c r="F41" s="273">
        <f t="shared" si="8"/>
        <v>45485</v>
      </c>
      <c r="G41" s="271">
        <f t="shared" si="1"/>
        <v>-12</v>
      </c>
      <c r="H41" s="277">
        <f>B41</f>
        <v>7603500</v>
      </c>
      <c r="I41" s="271"/>
      <c r="J41" s="271"/>
      <c r="K41" s="271"/>
      <c r="L41" s="271"/>
    </row>
    <row r="42" spans="1:12">
      <c r="A42" s="298"/>
      <c r="B42" s="299"/>
      <c r="C42" s="271"/>
      <c r="D42" s="305"/>
      <c r="E42" s="271"/>
      <c r="F42" s="271"/>
      <c r="G42" s="271"/>
      <c r="H42" s="271"/>
      <c r="I42" s="271"/>
      <c r="J42" s="271"/>
      <c r="K42" s="271"/>
      <c r="L42" s="271"/>
    </row>
    <row r="43" spans="1:12">
      <c r="A43" s="298" t="s">
        <v>18</v>
      </c>
      <c r="B43" s="299">
        <v>24195780</v>
      </c>
      <c r="C43" s="271">
        <v>194</v>
      </c>
      <c r="D43" s="306">
        <v>45458</v>
      </c>
      <c r="E43" s="271">
        <v>30</v>
      </c>
      <c r="F43" s="273">
        <f t="shared" ref="F43:F45" si="9">D43+E43</f>
        <v>45488</v>
      </c>
      <c r="G43" s="271">
        <f t="shared" ref="G43:G109" si="10">$A$3-F43</f>
        <v>-15</v>
      </c>
      <c r="H43" s="277">
        <f t="shared" ref="H43:H45" si="11">B43</f>
        <v>24195780</v>
      </c>
      <c r="I43" s="271"/>
      <c r="J43" s="271"/>
      <c r="K43" s="271"/>
      <c r="L43" s="271"/>
    </row>
    <row r="44" spans="1:12">
      <c r="A44" s="298" t="s">
        <v>18</v>
      </c>
      <c r="B44" s="299">
        <v>24215760</v>
      </c>
      <c r="C44" s="271">
        <v>205</v>
      </c>
      <c r="D44" s="306">
        <v>45468</v>
      </c>
      <c r="E44" s="271">
        <v>30</v>
      </c>
      <c r="F44" s="273">
        <f t="shared" si="9"/>
        <v>45498</v>
      </c>
      <c r="G44" s="271">
        <f t="shared" si="10"/>
        <v>-25</v>
      </c>
      <c r="H44" s="277">
        <f t="shared" si="11"/>
        <v>24215760</v>
      </c>
      <c r="I44" s="271"/>
      <c r="J44" s="271"/>
      <c r="K44" s="271"/>
      <c r="L44" s="271"/>
    </row>
    <row r="45" spans="1:12">
      <c r="A45" s="298" t="s">
        <v>18</v>
      </c>
      <c r="B45" s="299">
        <v>48951000</v>
      </c>
      <c r="C45" s="271">
        <v>209</v>
      </c>
      <c r="D45" s="306">
        <v>45470</v>
      </c>
      <c r="E45" s="271">
        <v>30</v>
      </c>
      <c r="F45" s="273">
        <f t="shared" si="9"/>
        <v>45500</v>
      </c>
      <c r="G45" s="271">
        <f t="shared" si="10"/>
        <v>-27</v>
      </c>
      <c r="H45" s="277">
        <f t="shared" si="11"/>
        <v>48951000</v>
      </c>
      <c r="I45" s="271"/>
      <c r="J45" s="271"/>
      <c r="K45" s="271"/>
      <c r="L45" s="271"/>
    </row>
    <row r="46" spans="1:12">
      <c r="A46" s="298"/>
      <c r="B46" s="299"/>
      <c r="C46" s="271"/>
      <c r="D46" s="305"/>
      <c r="E46" s="271"/>
      <c r="F46" s="271"/>
      <c r="G46" s="271"/>
      <c r="H46" s="271"/>
      <c r="I46" s="271"/>
      <c r="J46" s="271"/>
      <c r="K46" s="271"/>
      <c r="L46" s="271"/>
    </row>
    <row r="47" spans="1:12">
      <c r="A47" s="298" t="s">
        <v>19</v>
      </c>
      <c r="B47" s="299">
        <v>42400000</v>
      </c>
      <c r="C47" s="271">
        <v>21</v>
      </c>
      <c r="D47" s="306">
        <v>45422</v>
      </c>
      <c r="E47" s="271">
        <v>30</v>
      </c>
      <c r="F47" s="273">
        <f t="shared" ref="F47" si="12">D47+E47</f>
        <v>45452</v>
      </c>
      <c r="G47" s="271">
        <f t="shared" si="10"/>
        <v>21</v>
      </c>
      <c r="H47" s="271"/>
      <c r="I47" s="277">
        <f>B47</f>
        <v>42400000</v>
      </c>
      <c r="J47" s="271"/>
      <c r="K47" s="271"/>
      <c r="L47" s="271"/>
    </row>
    <row r="48" spans="1:12">
      <c r="A48" s="298"/>
      <c r="B48" s="299"/>
      <c r="C48" s="271"/>
      <c r="D48" s="305"/>
      <c r="E48" s="271"/>
      <c r="F48" s="271"/>
      <c r="G48" s="271"/>
      <c r="H48" s="271"/>
      <c r="I48" s="271"/>
      <c r="J48" s="271"/>
      <c r="K48" s="271"/>
      <c r="L48" s="271"/>
    </row>
    <row r="49" spans="1:12">
      <c r="A49" s="298" t="s">
        <v>21</v>
      </c>
      <c r="B49" s="272">
        <v>27000000</v>
      </c>
      <c r="C49" s="271">
        <v>141</v>
      </c>
      <c r="D49" s="306">
        <v>45419</v>
      </c>
      <c r="E49" s="271">
        <v>30</v>
      </c>
      <c r="F49" s="273">
        <f t="shared" ref="F49" si="13">D49+E49</f>
        <v>45449</v>
      </c>
      <c r="G49" s="271">
        <f t="shared" si="10"/>
        <v>24</v>
      </c>
      <c r="H49" s="271"/>
      <c r="I49" s="277">
        <f>B49</f>
        <v>27000000</v>
      </c>
      <c r="J49" s="271"/>
      <c r="K49" s="271"/>
      <c r="L49" s="271"/>
    </row>
    <row r="50" spans="1:12">
      <c r="A50" s="298"/>
      <c r="B50" s="272"/>
      <c r="C50" s="271"/>
      <c r="D50" s="305"/>
      <c r="E50" s="271"/>
      <c r="F50" s="271"/>
      <c r="G50" s="271"/>
      <c r="H50" s="271"/>
      <c r="I50" s="271"/>
      <c r="J50" s="271"/>
      <c r="K50" s="271"/>
      <c r="L50" s="271"/>
    </row>
    <row r="51" spans="1:12">
      <c r="A51" s="298" t="s">
        <v>22</v>
      </c>
      <c r="B51" s="272">
        <v>22477722</v>
      </c>
      <c r="C51" s="271">
        <v>196</v>
      </c>
      <c r="D51" s="306">
        <v>45462</v>
      </c>
      <c r="E51" s="271">
        <v>30</v>
      </c>
      <c r="F51" s="273">
        <f t="shared" ref="F51:F55" si="14">D51+E51</f>
        <v>45492</v>
      </c>
      <c r="G51" s="271">
        <f t="shared" si="10"/>
        <v>-19</v>
      </c>
      <c r="H51" s="277">
        <f t="shared" ref="H51:H55" si="15">B51</f>
        <v>22477722</v>
      </c>
      <c r="I51" s="271"/>
      <c r="J51" s="271"/>
      <c r="K51" s="271"/>
      <c r="L51" s="271"/>
    </row>
    <row r="52" spans="1:12">
      <c r="A52" s="298" t="s">
        <v>22</v>
      </c>
      <c r="B52" s="272">
        <v>3707400</v>
      </c>
      <c r="C52" s="271">
        <v>212</v>
      </c>
      <c r="D52" s="306">
        <v>45471</v>
      </c>
      <c r="E52" s="271">
        <v>30</v>
      </c>
      <c r="F52" s="273">
        <f t="shared" si="14"/>
        <v>45501</v>
      </c>
      <c r="G52" s="271">
        <f t="shared" si="10"/>
        <v>-28</v>
      </c>
      <c r="H52" s="277">
        <f t="shared" si="15"/>
        <v>3707400</v>
      </c>
      <c r="I52" s="271"/>
      <c r="J52" s="271"/>
      <c r="K52" s="271"/>
      <c r="L52" s="271"/>
    </row>
    <row r="53" spans="1:12">
      <c r="A53" s="298" t="s">
        <v>22</v>
      </c>
      <c r="B53" s="272">
        <v>6482400</v>
      </c>
      <c r="C53" s="271">
        <v>213</v>
      </c>
      <c r="D53" s="306">
        <v>45471</v>
      </c>
      <c r="E53" s="271">
        <v>30</v>
      </c>
      <c r="F53" s="273">
        <f t="shared" si="14"/>
        <v>45501</v>
      </c>
      <c r="G53" s="271">
        <f t="shared" si="10"/>
        <v>-28</v>
      </c>
      <c r="H53" s="277">
        <f t="shared" si="15"/>
        <v>6482400</v>
      </c>
      <c r="I53" s="271"/>
      <c r="J53" s="271"/>
      <c r="K53" s="271"/>
      <c r="L53" s="271"/>
    </row>
    <row r="54" spans="1:12">
      <c r="A54" s="298" t="s">
        <v>22</v>
      </c>
      <c r="B54" s="272">
        <v>25256662</v>
      </c>
      <c r="C54" s="271">
        <v>214</v>
      </c>
      <c r="D54" s="306">
        <v>45471</v>
      </c>
      <c r="E54" s="271">
        <v>30</v>
      </c>
      <c r="F54" s="273">
        <f t="shared" si="14"/>
        <v>45501</v>
      </c>
      <c r="G54" s="271">
        <f t="shared" si="10"/>
        <v>-28</v>
      </c>
      <c r="H54" s="277">
        <f t="shared" si="15"/>
        <v>25256662</v>
      </c>
      <c r="I54" s="271"/>
      <c r="J54" s="271"/>
      <c r="K54" s="271"/>
      <c r="L54" s="271"/>
    </row>
    <row r="55" spans="1:12">
      <c r="A55" s="298" t="s">
        <v>22</v>
      </c>
      <c r="B55" s="272">
        <v>33836796</v>
      </c>
      <c r="C55" s="271">
        <v>215</v>
      </c>
      <c r="D55" s="306">
        <v>45471</v>
      </c>
      <c r="E55" s="271">
        <v>30</v>
      </c>
      <c r="F55" s="273">
        <f t="shared" si="14"/>
        <v>45501</v>
      </c>
      <c r="G55" s="271">
        <f t="shared" si="10"/>
        <v>-28</v>
      </c>
      <c r="H55" s="277">
        <f t="shared" si="15"/>
        <v>33836796</v>
      </c>
      <c r="I55" s="271"/>
      <c r="J55" s="271"/>
      <c r="K55" s="271"/>
      <c r="L55" s="271"/>
    </row>
    <row r="56" spans="1:12">
      <c r="A56" s="298"/>
      <c r="B56" s="272"/>
      <c r="C56" s="271"/>
      <c r="D56" s="305"/>
      <c r="E56" s="271"/>
      <c r="F56" s="271"/>
      <c r="G56" s="271"/>
      <c r="H56" s="271"/>
      <c r="I56" s="271"/>
      <c r="J56" s="271"/>
      <c r="K56" s="271"/>
      <c r="L56" s="271"/>
    </row>
    <row r="57" spans="1:12">
      <c r="A57" s="300" t="s">
        <v>27</v>
      </c>
      <c r="B57" s="272">
        <v>79500000</v>
      </c>
      <c r="C57" s="301" t="s">
        <v>718</v>
      </c>
      <c r="D57" s="302">
        <v>45425</v>
      </c>
      <c r="E57" s="271">
        <v>30</v>
      </c>
      <c r="F57" s="273">
        <f t="shared" ref="F57:F90" si="16">D57+E57</f>
        <v>45455</v>
      </c>
      <c r="G57" s="271">
        <f t="shared" si="10"/>
        <v>18</v>
      </c>
      <c r="H57" s="271"/>
      <c r="I57" s="277">
        <f t="shared" ref="I57:I73" si="17">B57</f>
        <v>79500000</v>
      </c>
      <c r="J57" s="271"/>
      <c r="K57" s="271"/>
      <c r="L57" s="271"/>
    </row>
    <row r="58" spans="1:12">
      <c r="A58" s="300" t="s">
        <v>27</v>
      </c>
      <c r="B58" s="272">
        <v>79500000</v>
      </c>
      <c r="C58" s="301" t="s">
        <v>719</v>
      </c>
      <c r="D58" s="302">
        <v>45425</v>
      </c>
      <c r="E58" s="271">
        <v>30</v>
      </c>
      <c r="F58" s="273">
        <f t="shared" si="16"/>
        <v>45455</v>
      </c>
      <c r="G58" s="271">
        <f t="shared" si="10"/>
        <v>18</v>
      </c>
      <c r="H58" s="271"/>
      <c r="I58" s="277">
        <f t="shared" si="17"/>
        <v>79500000</v>
      </c>
      <c r="J58" s="271"/>
      <c r="K58" s="271"/>
      <c r="L58" s="271"/>
    </row>
    <row r="59" spans="1:12">
      <c r="A59" s="300" t="s">
        <v>27</v>
      </c>
      <c r="B59" s="272">
        <v>16300000</v>
      </c>
      <c r="C59" s="301" t="s">
        <v>720</v>
      </c>
      <c r="D59" s="302">
        <v>45427</v>
      </c>
      <c r="E59" s="271">
        <v>30</v>
      </c>
      <c r="F59" s="273">
        <f t="shared" si="16"/>
        <v>45457</v>
      </c>
      <c r="G59" s="271">
        <f t="shared" si="10"/>
        <v>16</v>
      </c>
      <c r="H59" s="271"/>
      <c r="I59" s="277">
        <f t="shared" si="17"/>
        <v>16300000</v>
      </c>
      <c r="J59" s="271"/>
      <c r="K59" s="271"/>
      <c r="L59" s="271"/>
    </row>
    <row r="60" spans="1:12">
      <c r="A60" s="300" t="s">
        <v>27</v>
      </c>
      <c r="B60" s="272">
        <v>23850000</v>
      </c>
      <c r="C60" s="301" t="s">
        <v>721</v>
      </c>
      <c r="D60" s="302">
        <v>45427</v>
      </c>
      <c r="E60" s="271">
        <v>30</v>
      </c>
      <c r="F60" s="273">
        <f t="shared" si="16"/>
        <v>45457</v>
      </c>
      <c r="G60" s="271">
        <f t="shared" si="10"/>
        <v>16</v>
      </c>
      <c r="H60" s="271"/>
      <c r="I60" s="277">
        <f t="shared" si="17"/>
        <v>23850000</v>
      </c>
      <c r="J60" s="271"/>
      <c r="K60" s="271"/>
      <c r="L60" s="271"/>
    </row>
    <row r="61" spans="1:12">
      <c r="A61" s="300" t="s">
        <v>27</v>
      </c>
      <c r="B61" s="272">
        <v>23850000</v>
      </c>
      <c r="C61" s="301" t="s">
        <v>722</v>
      </c>
      <c r="D61" s="302">
        <v>45427</v>
      </c>
      <c r="E61" s="271">
        <v>30</v>
      </c>
      <c r="F61" s="273">
        <f t="shared" si="16"/>
        <v>45457</v>
      </c>
      <c r="G61" s="271">
        <f t="shared" si="10"/>
        <v>16</v>
      </c>
      <c r="H61" s="271"/>
      <c r="I61" s="277">
        <f t="shared" si="17"/>
        <v>23850000</v>
      </c>
      <c r="J61" s="271"/>
      <c r="K61" s="271"/>
      <c r="L61" s="271"/>
    </row>
    <row r="62" spans="1:12">
      <c r="A62" s="300" t="s">
        <v>27</v>
      </c>
      <c r="B62" s="272">
        <v>16300000</v>
      </c>
      <c r="C62" s="301" t="s">
        <v>723</v>
      </c>
      <c r="D62" s="302">
        <v>45432</v>
      </c>
      <c r="E62" s="271">
        <v>30</v>
      </c>
      <c r="F62" s="273">
        <f t="shared" si="16"/>
        <v>45462</v>
      </c>
      <c r="G62" s="271">
        <f t="shared" si="10"/>
        <v>11</v>
      </c>
      <c r="H62" s="271"/>
      <c r="I62" s="277">
        <f t="shared" si="17"/>
        <v>16300000</v>
      </c>
      <c r="J62" s="271"/>
      <c r="K62" s="271"/>
      <c r="L62" s="271"/>
    </row>
    <row r="63" spans="1:12">
      <c r="A63" s="300" t="s">
        <v>27</v>
      </c>
      <c r="B63" s="272">
        <v>15900000</v>
      </c>
      <c r="C63" s="301" t="s">
        <v>724</v>
      </c>
      <c r="D63" s="302">
        <v>45432</v>
      </c>
      <c r="E63" s="271">
        <v>30</v>
      </c>
      <c r="F63" s="273">
        <f t="shared" si="16"/>
        <v>45462</v>
      </c>
      <c r="G63" s="271">
        <f t="shared" si="10"/>
        <v>11</v>
      </c>
      <c r="H63" s="271"/>
      <c r="I63" s="277">
        <f t="shared" si="17"/>
        <v>15900000</v>
      </c>
      <c r="J63" s="271"/>
      <c r="K63" s="271"/>
      <c r="L63" s="271"/>
    </row>
    <row r="64" spans="1:12">
      <c r="A64" s="300" t="s">
        <v>27</v>
      </c>
      <c r="B64" s="272">
        <v>15900000</v>
      </c>
      <c r="C64" s="301" t="s">
        <v>725</v>
      </c>
      <c r="D64" s="302">
        <v>45432</v>
      </c>
      <c r="E64" s="271">
        <v>30</v>
      </c>
      <c r="F64" s="273">
        <f t="shared" si="16"/>
        <v>45462</v>
      </c>
      <c r="G64" s="271">
        <f t="shared" si="10"/>
        <v>11</v>
      </c>
      <c r="H64" s="271"/>
      <c r="I64" s="277">
        <f t="shared" si="17"/>
        <v>15900000</v>
      </c>
      <c r="J64" s="271"/>
      <c r="K64" s="271"/>
      <c r="L64" s="271"/>
    </row>
    <row r="65" spans="1:12">
      <c r="A65" s="300" t="s">
        <v>27</v>
      </c>
      <c r="B65" s="272">
        <v>55650000</v>
      </c>
      <c r="C65" s="301" t="s">
        <v>726</v>
      </c>
      <c r="D65" s="302">
        <v>45432</v>
      </c>
      <c r="E65" s="271">
        <v>30</v>
      </c>
      <c r="F65" s="273">
        <f t="shared" si="16"/>
        <v>45462</v>
      </c>
      <c r="G65" s="271">
        <f t="shared" si="10"/>
        <v>11</v>
      </c>
      <c r="H65" s="271"/>
      <c r="I65" s="277">
        <f t="shared" si="17"/>
        <v>55650000</v>
      </c>
      <c r="J65" s="271"/>
      <c r="K65" s="271"/>
      <c r="L65" s="271"/>
    </row>
    <row r="66" spans="1:12">
      <c r="A66" s="300" t="s">
        <v>27</v>
      </c>
      <c r="B66" s="272">
        <v>55650000</v>
      </c>
      <c r="C66" s="301" t="s">
        <v>727</v>
      </c>
      <c r="D66" s="302">
        <v>45432</v>
      </c>
      <c r="E66" s="271">
        <v>30</v>
      </c>
      <c r="F66" s="273">
        <f t="shared" si="16"/>
        <v>45462</v>
      </c>
      <c r="G66" s="271">
        <f t="shared" si="10"/>
        <v>11</v>
      </c>
      <c r="H66" s="271"/>
      <c r="I66" s="277">
        <f t="shared" si="17"/>
        <v>55650000</v>
      </c>
      <c r="J66" s="271"/>
      <c r="K66" s="271"/>
      <c r="L66" s="271"/>
    </row>
    <row r="67" spans="1:12">
      <c r="A67" s="300" t="s">
        <v>27</v>
      </c>
      <c r="B67" s="272">
        <v>65400000</v>
      </c>
      <c r="C67" s="301" t="s">
        <v>728</v>
      </c>
      <c r="D67" s="302">
        <v>45432</v>
      </c>
      <c r="E67" s="271">
        <v>30</v>
      </c>
      <c r="F67" s="273">
        <f t="shared" si="16"/>
        <v>45462</v>
      </c>
      <c r="G67" s="271">
        <f t="shared" si="10"/>
        <v>11</v>
      </c>
      <c r="H67" s="271"/>
      <c r="I67" s="277">
        <f t="shared" si="17"/>
        <v>65400000</v>
      </c>
      <c r="J67" s="271"/>
      <c r="K67" s="271"/>
      <c r="L67" s="271"/>
    </row>
    <row r="68" spans="1:12">
      <c r="A68" s="300" t="s">
        <v>27</v>
      </c>
      <c r="B68" s="272">
        <v>63600000</v>
      </c>
      <c r="C68" s="301" t="s">
        <v>729</v>
      </c>
      <c r="D68" s="302">
        <v>45440</v>
      </c>
      <c r="E68" s="271">
        <v>30</v>
      </c>
      <c r="F68" s="273">
        <f t="shared" si="16"/>
        <v>45470</v>
      </c>
      <c r="G68" s="271">
        <f t="shared" si="10"/>
        <v>3</v>
      </c>
      <c r="H68" s="271"/>
      <c r="I68" s="277">
        <f t="shared" si="17"/>
        <v>63600000</v>
      </c>
      <c r="J68" s="271"/>
      <c r="K68" s="271"/>
      <c r="L68" s="271"/>
    </row>
    <row r="69" spans="1:12">
      <c r="A69" s="300" t="s">
        <v>27</v>
      </c>
      <c r="B69" s="272">
        <v>31800000</v>
      </c>
      <c r="C69" s="301" t="s">
        <v>730</v>
      </c>
      <c r="D69" s="302">
        <v>45440</v>
      </c>
      <c r="E69" s="271">
        <v>30</v>
      </c>
      <c r="F69" s="273">
        <f t="shared" si="16"/>
        <v>45470</v>
      </c>
      <c r="G69" s="271">
        <f t="shared" si="10"/>
        <v>3</v>
      </c>
      <c r="H69" s="271"/>
      <c r="I69" s="277">
        <f t="shared" si="17"/>
        <v>31800000</v>
      </c>
      <c r="J69" s="271"/>
      <c r="K69" s="271"/>
      <c r="L69" s="271"/>
    </row>
    <row r="70" spans="1:12">
      <c r="A70" s="300" t="s">
        <v>27</v>
      </c>
      <c r="B70" s="272">
        <v>95400000</v>
      </c>
      <c r="C70" s="301" t="s">
        <v>731</v>
      </c>
      <c r="D70" s="302">
        <v>45440</v>
      </c>
      <c r="E70" s="271">
        <v>30</v>
      </c>
      <c r="F70" s="273">
        <f t="shared" si="16"/>
        <v>45470</v>
      </c>
      <c r="G70" s="271">
        <f t="shared" si="10"/>
        <v>3</v>
      </c>
      <c r="H70" s="271"/>
      <c r="I70" s="277">
        <f t="shared" si="17"/>
        <v>95400000</v>
      </c>
      <c r="J70" s="271"/>
      <c r="K70" s="271"/>
      <c r="L70" s="271"/>
    </row>
    <row r="71" spans="1:12">
      <c r="A71" s="300" t="s">
        <v>27</v>
      </c>
      <c r="B71" s="272">
        <v>63600000</v>
      </c>
      <c r="C71" s="301" t="s">
        <v>732</v>
      </c>
      <c r="D71" s="302">
        <v>45440</v>
      </c>
      <c r="E71" s="271">
        <v>30</v>
      </c>
      <c r="F71" s="273">
        <f t="shared" si="16"/>
        <v>45470</v>
      </c>
      <c r="G71" s="271">
        <f t="shared" si="10"/>
        <v>3</v>
      </c>
      <c r="H71" s="271"/>
      <c r="I71" s="277">
        <f t="shared" si="17"/>
        <v>63600000</v>
      </c>
      <c r="J71" s="271"/>
      <c r="K71" s="271"/>
      <c r="L71" s="271"/>
    </row>
    <row r="72" spans="1:12">
      <c r="A72" s="300" t="s">
        <v>27</v>
      </c>
      <c r="B72" s="272">
        <v>57225000</v>
      </c>
      <c r="C72" s="301" t="s">
        <v>733</v>
      </c>
      <c r="D72" s="302">
        <v>45442</v>
      </c>
      <c r="E72" s="271">
        <v>30</v>
      </c>
      <c r="F72" s="273">
        <f t="shared" si="16"/>
        <v>45472</v>
      </c>
      <c r="G72" s="271">
        <f t="shared" si="10"/>
        <v>1</v>
      </c>
      <c r="H72" s="271"/>
      <c r="I72" s="277">
        <f t="shared" si="17"/>
        <v>57225000</v>
      </c>
      <c r="J72" s="271"/>
      <c r="K72" s="271"/>
      <c r="L72" s="271"/>
    </row>
    <row r="73" spans="1:12">
      <c r="A73" s="300" t="s">
        <v>27</v>
      </c>
      <c r="B73" s="272">
        <v>63600000</v>
      </c>
      <c r="C73" s="301" t="s">
        <v>734</v>
      </c>
      <c r="D73" s="302">
        <v>45442</v>
      </c>
      <c r="E73" s="271">
        <v>30</v>
      </c>
      <c r="F73" s="273">
        <f t="shared" si="16"/>
        <v>45472</v>
      </c>
      <c r="G73" s="271">
        <f t="shared" si="10"/>
        <v>1</v>
      </c>
      <c r="H73" s="271"/>
      <c r="I73" s="277">
        <f t="shared" si="17"/>
        <v>63600000</v>
      </c>
      <c r="J73" s="271"/>
      <c r="K73" s="271"/>
      <c r="L73" s="271"/>
    </row>
    <row r="74" spans="1:12">
      <c r="A74" s="300" t="s">
        <v>27</v>
      </c>
      <c r="B74" s="272">
        <v>15900000</v>
      </c>
      <c r="C74" s="301" t="s">
        <v>735</v>
      </c>
      <c r="D74" s="302">
        <v>45454</v>
      </c>
      <c r="E74" s="271">
        <v>30</v>
      </c>
      <c r="F74" s="273">
        <f t="shared" si="16"/>
        <v>45484</v>
      </c>
      <c r="G74" s="271">
        <f t="shared" si="10"/>
        <v>-11</v>
      </c>
      <c r="H74" s="277">
        <f t="shared" ref="H74:H90" si="18">B74</f>
        <v>15900000</v>
      </c>
      <c r="I74" s="271"/>
      <c r="J74" s="271"/>
      <c r="K74" s="271"/>
      <c r="L74" s="271"/>
    </row>
    <row r="75" spans="1:12">
      <c r="A75" s="300" t="s">
        <v>27</v>
      </c>
      <c r="B75" s="272">
        <v>16300000</v>
      </c>
      <c r="C75" s="301" t="s">
        <v>736</v>
      </c>
      <c r="D75" s="302">
        <v>45454</v>
      </c>
      <c r="E75" s="271">
        <v>30</v>
      </c>
      <c r="F75" s="273">
        <f t="shared" si="16"/>
        <v>45484</v>
      </c>
      <c r="G75" s="271">
        <f t="shared" si="10"/>
        <v>-11</v>
      </c>
      <c r="H75" s="277">
        <f t="shared" si="18"/>
        <v>16300000</v>
      </c>
      <c r="I75" s="271"/>
      <c r="J75" s="271"/>
      <c r="K75" s="271"/>
      <c r="L75" s="271"/>
    </row>
    <row r="76" spans="1:12">
      <c r="A76" s="300" t="s">
        <v>27</v>
      </c>
      <c r="B76" s="272">
        <v>32700000</v>
      </c>
      <c r="C76" s="301" t="s">
        <v>737</v>
      </c>
      <c r="D76" s="302">
        <v>45454</v>
      </c>
      <c r="E76" s="271">
        <v>30</v>
      </c>
      <c r="F76" s="273">
        <f t="shared" si="16"/>
        <v>45484</v>
      </c>
      <c r="G76" s="271">
        <f t="shared" si="10"/>
        <v>-11</v>
      </c>
      <c r="H76" s="277">
        <f t="shared" si="18"/>
        <v>32700000</v>
      </c>
      <c r="I76" s="271"/>
      <c r="J76" s="271"/>
      <c r="K76" s="271"/>
      <c r="L76" s="271"/>
    </row>
    <row r="77" spans="1:12">
      <c r="A77" s="300" t="s">
        <v>27</v>
      </c>
      <c r="B77" s="272">
        <v>81500000</v>
      </c>
      <c r="C77" s="301" t="s">
        <v>738</v>
      </c>
      <c r="D77" s="302">
        <v>45454</v>
      </c>
      <c r="E77" s="271">
        <v>30</v>
      </c>
      <c r="F77" s="273">
        <f t="shared" si="16"/>
        <v>45484</v>
      </c>
      <c r="G77" s="271">
        <f t="shared" si="10"/>
        <v>-11</v>
      </c>
      <c r="H77" s="277">
        <f t="shared" si="18"/>
        <v>81500000</v>
      </c>
      <c r="I77" s="271"/>
      <c r="J77" s="271"/>
      <c r="K77" s="271"/>
      <c r="L77" s="271"/>
    </row>
    <row r="78" spans="1:12">
      <c r="A78" s="300" t="s">
        <v>27</v>
      </c>
      <c r="B78" s="272">
        <v>92800000</v>
      </c>
      <c r="C78" s="301" t="s">
        <v>739</v>
      </c>
      <c r="D78" s="302">
        <v>45454</v>
      </c>
      <c r="E78" s="271">
        <v>30</v>
      </c>
      <c r="F78" s="273">
        <f t="shared" si="16"/>
        <v>45484</v>
      </c>
      <c r="G78" s="271">
        <f t="shared" si="10"/>
        <v>-11</v>
      </c>
      <c r="H78" s="277">
        <f t="shared" si="18"/>
        <v>92800000</v>
      </c>
      <c r="I78" s="271"/>
      <c r="J78" s="271"/>
      <c r="K78" s="271"/>
      <c r="L78" s="271"/>
    </row>
    <row r="79" spans="1:12">
      <c r="A79" s="300" t="s">
        <v>27</v>
      </c>
      <c r="B79" s="272">
        <v>65300000</v>
      </c>
      <c r="C79" s="301" t="s">
        <v>740</v>
      </c>
      <c r="D79" s="302">
        <v>45454</v>
      </c>
      <c r="E79" s="271">
        <v>30</v>
      </c>
      <c r="F79" s="273">
        <f t="shared" si="16"/>
        <v>45484</v>
      </c>
      <c r="G79" s="271">
        <f t="shared" si="10"/>
        <v>-11</v>
      </c>
      <c r="H79" s="277">
        <f t="shared" si="18"/>
        <v>65300000</v>
      </c>
      <c r="I79" s="271"/>
      <c r="J79" s="271"/>
      <c r="K79" s="271"/>
      <c r="L79" s="271"/>
    </row>
    <row r="80" spans="1:12">
      <c r="A80" s="300" t="s">
        <v>27</v>
      </c>
      <c r="B80" s="272">
        <v>79500000</v>
      </c>
      <c r="C80" s="301" t="s">
        <v>741</v>
      </c>
      <c r="D80" s="302">
        <v>45457</v>
      </c>
      <c r="E80" s="271">
        <v>30</v>
      </c>
      <c r="F80" s="273">
        <f t="shared" si="16"/>
        <v>45487</v>
      </c>
      <c r="G80" s="271">
        <f t="shared" si="10"/>
        <v>-14</v>
      </c>
      <c r="H80" s="277">
        <f t="shared" si="18"/>
        <v>79500000</v>
      </c>
      <c r="I80" s="271"/>
      <c r="J80" s="271"/>
      <c r="K80" s="271"/>
      <c r="L80" s="271"/>
    </row>
    <row r="81" spans="1:12">
      <c r="A81" s="300" t="s">
        <v>27</v>
      </c>
      <c r="B81" s="272">
        <v>23850000</v>
      </c>
      <c r="C81" s="301" t="s">
        <v>742</v>
      </c>
      <c r="D81" s="302">
        <v>45464</v>
      </c>
      <c r="E81" s="271">
        <v>30</v>
      </c>
      <c r="F81" s="273">
        <f t="shared" si="16"/>
        <v>45494</v>
      </c>
      <c r="G81" s="271">
        <f t="shared" si="10"/>
        <v>-21</v>
      </c>
      <c r="H81" s="277">
        <f t="shared" si="18"/>
        <v>23850000</v>
      </c>
      <c r="I81" s="271"/>
      <c r="J81" s="271"/>
      <c r="K81" s="271"/>
      <c r="L81" s="271"/>
    </row>
    <row r="82" spans="1:12">
      <c r="A82" s="300" t="s">
        <v>27</v>
      </c>
      <c r="B82" s="272">
        <v>47700000</v>
      </c>
      <c r="C82" s="301" t="s">
        <v>743</v>
      </c>
      <c r="D82" s="302">
        <v>45464</v>
      </c>
      <c r="E82" s="271">
        <v>30</v>
      </c>
      <c r="F82" s="273">
        <f t="shared" si="16"/>
        <v>45494</v>
      </c>
      <c r="G82" s="271">
        <f t="shared" si="10"/>
        <v>-21</v>
      </c>
      <c r="H82" s="277">
        <f t="shared" si="18"/>
        <v>47700000</v>
      </c>
      <c r="I82" s="271"/>
      <c r="J82" s="271"/>
      <c r="K82" s="271"/>
      <c r="L82" s="271"/>
    </row>
    <row r="83" spans="1:12">
      <c r="A83" s="300" t="s">
        <v>27</v>
      </c>
      <c r="B83" s="272">
        <v>47700000</v>
      </c>
      <c r="C83" s="301" t="s">
        <v>744</v>
      </c>
      <c r="D83" s="302">
        <v>45464</v>
      </c>
      <c r="E83" s="271">
        <v>30</v>
      </c>
      <c r="F83" s="273">
        <f t="shared" si="16"/>
        <v>45494</v>
      </c>
      <c r="G83" s="271">
        <f t="shared" si="10"/>
        <v>-21</v>
      </c>
      <c r="H83" s="277">
        <f t="shared" si="18"/>
        <v>47700000</v>
      </c>
      <c r="I83" s="271"/>
      <c r="J83" s="271"/>
      <c r="K83" s="271"/>
      <c r="L83" s="271"/>
    </row>
    <row r="84" spans="1:12">
      <c r="A84" s="300" t="s">
        <v>27</v>
      </c>
      <c r="B84" s="272">
        <v>31800000</v>
      </c>
      <c r="C84" s="301" t="s">
        <v>745</v>
      </c>
      <c r="D84" s="302">
        <v>45464</v>
      </c>
      <c r="E84" s="271">
        <v>30</v>
      </c>
      <c r="F84" s="273">
        <f t="shared" si="16"/>
        <v>45494</v>
      </c>
      <c r="G84" s="271">
        <f t="shared" si="10"/>
        <v>-21</v>
      </c>
      <c r="H84" s="277">
        <f t="shared" si="18"/>
        <v>31800000</v>
      </c>
      <c r="I84" s="271"/>
      <c r="J84" s="271"/>
      <c r="K84" s="271"/>
      <c r="L84" s="271"/>
    </row>
    <row r="85" spans="1:12">
      <c r="A85" s="300" t="s">
        <v>27</v>
      </c>
      <c r="B85" s="272">
        <v>49050000</v>
      </c>
      <c r="C85" s="301" t="s">
        <v>746</v>
      </c>
      <c r="D85" s="302">
        <v>45468</v>
      </c>
      <c r="E85" s="271">
        <v>30</v>
      </c>
      <c r="F85" s="273">
        <f t="shared" si="16"/>
        <v>45498</v>
      </c>
      <c r="G85" s="271">
        <f t="shared" si="10"/>
        <v>-25</v>
      </c>
      <c r="H85" s="277">
        <f t="shared" si="18"/>
        <v>49050000</v>
      </c>
      <c r="I85" s="271"/>
      <c r="J85" s="271"/>
      <c r="K85" s="271"/>
      <c r="L85" s="271"/>
    </row>
    <row r="86" spans="1:12">
      <c r="A86" s="300" t="s">
        <v>27</v>
      </c>
      <c r="B86" s="272">
        <v>65300000</v>
      </c>
      <c r="C86" s="301" t="s">
        <v>747</v>
      </c>
      <c r="D86" s="302">
        <v>45468</v>
      </c>
      <c r="E86" s="271">
        <v>30</v>
      </c>
      <c r="F86" s="273">
        <f t="shared" si="16"/>
        <v>45498</v>
      </c>
      <c r="G86" s="271">
        <f t="shared" si="10"/>
        <v>-25</v>
      </c>
      <c r="H86" s="277">
        <f t="shared" si="18"/>
        <v>65300000</v>
      </c>
      <c r="I86" s="271"/>
      <c r="J86" s="271"/>
      <c r="K86" s="271"/>
      <c r="L86" s="271"/>
    </row>
    <row r="87" spans="1:12">
      <c r="A87" s="300" t="s">
        <v>27</v>
      </c>
      <c r="B87" s="272">
        <v>48900000</v>
      </c>
      <c r="C87" s="301" t="s">
        <v>748</v>
      </c>
      <c r="D87" s="302">
        <v>45469</v>
      </c>
      <c r="E87" s="271">
        <v>30</v>
      </c>
      <c r="F87" s="273">
        <f t="shared" si="16"/>
        <v>45499</v>
      </c>
      <c r="G87" s="271">
        <f t="shared" si="10"/>
        <v>-26</v>
      </c>
      <c r="H87" s="277">
        <f t="shared" si="18"/>
        <v>48900000</v>
      </c>
      <c r="I87" s="271"/>
      <c r="J87" s="271"/>
      <c r="K87" s="271"/>
      <c r="L87" s="271"/>
    </row>
    <row r="88" spans="1:12">
      <c r="A88" s="300" t="s">
        <v>27</v>
      </c>
      <c r="B88" s="272">
        <v>81500000</v>
      </c>
      <c r="C88" s="301" t="s">
        <v>749</v>
      </c>
      <c r="D88" s="302">
        <v>45469</v>
      </c>
      <c r="E88" s="271">
        <v>30</v>
      </c>
      <c r="F88" s="273">
        <f t="shared" si="16"/>
        <v>45499</v>
      </c>
      <c r="G88" s="271">
        <f t="shared" si="10"/>
        <v>-26</v>
      </c>
      <c r="H88" s="277">
        <f t="shared" si="18"/>
        <v>81500000</v>
      </c>
      <c r="I88" s="271"/>
      <c r="J88" s="271"/>
      <c r="K88" s="271"/>
      <c r="L88" s="271"/>
    </row>
    <row r="89" spans="1:12">
      <c r="A89" s="300" t="s">
        <v>27</v>
      </c>
      <c r="B89" s="272">
        <v>31800000</v>
      </c>
      <c r="C89" s="301" t="s">
        <v>750</v>
      </c>
      <c r="D89" s="302">
        <v>45470</v>
      </c>
      <c r="E89" s="271">
        <v>30</v>
      </c>
      <c r="F89" s="273">
        <f t="shared" si="16"/>
        <v>45500</v>
      </c>
      <c r="G89" s="271">
        <f t="shared" si="10"/>
        <v>-27</v>
      </c>
      <c r="H89" s="277">
        <f t="shared" si="18"/>
        <v>31800000</v>
      </c>
      <c r="I89" s="271"/>
      <c r="J89" s="271"/>
      <c r="K89" s="271"/>
      <c r="L89" s="271"/>
    </row>
    <row r="90" spans="1:12">
      <c r="A90" s="300" t="s">
        <v>27</v>
      </c>
      <c r="B90" s="272">
        <v>32600000</v>
      </c>
      <c r="C90" s="301" t="s">
        <v>751</v>
      </c>
      <c r="D90" s="302">
        <v>45471</v>
      </c>
      <c r="E90" s="271">
        <v>30</v>
      </c>
      <c r="F90" s="273">
        <f t="shared" si="16"/>
        <v>45501</v>
      </c>
      <c r="G90" s="271">
        <f t="shared" si="10"/>
        <v>-28</v>
      </c>
      <c r="H90" s="277">
        <f t="shared" si="18"/>
        <v>32600000</v>
      </c>
      <c r="I90" s="271"/>
      <c r="J90" s="271"/>
      <c r="K90" s="271"/>
      <c r="L90" s="271"/>
    </row>
    <row r="91" spans="1:12">
      <c r="A91" s="300"/>
      <c r="B91" s="272"/>
      <c r="C91" s="271"/>
      <c r="D91" s="305"/>
      <c r="E91" s="271"/>
      <c r="F91" s="271"/>
      <c r="G91" s="271"/>
      <c r="H91" s="271"/>
      <c r="I91" s="271"/>
      <c r="J91" s="271"/>
      <c r="K91" s="271"/>
      <c r="L91" s="271"/>
    </row>
    <row r="92" spans="1:12">
      <c r="A92" s="272" t="s">
        <v>32</v>
      </c>
      <c r="B92" s="272">
        <v>5025000</v>
      </c>
      <c r="C92" s="271"/>
      <c r="D92" s="306">
        <v>45473</v>
      </c>
      <c r="E92" s="271">
        <v>30</v>
      </c>
      <c r="F92" s="273">
        <f t="shared" ref="F92" si="19">D92+E92</f>
        <v>45503</v>
      </c>
      <c r="G92" s="271">
        <f t="shared" si="10"/>
        <v>-30</v>
      </c>
      <c r="H92" s="277">
        <f>B92</f>
        <v>5025000</v>
      </c>
      <c r="I92" s="271"/>
      <c r="J92" s="271"/>
      <c r="K92" s="271"/>
      <c r="L92" s="271"/>
    </row>
    <row r="93" spans="1:12">
      <c r="A93" s="272"/>
      <c r="B93" s="272"/>
      <c r="C93" s="271"/>
      <c r="D93" s="306"/>
      <c r="E93" s="271"/>
      <c r="F93" s="273"/>
      <c r="G93" s="271"/>
      <c r="H93" s="271"/>
      <c r="I93" s="271"/>
      <c r="J93" s="271"/>
      <c r="K93" s="271"/>
      <c r="L93" s="271"/>
    </row>
    <row r="94" spans="1:12">
      <c r="A94" s="271" t="s">
        <v>35</v>
      </c>
      <c r="B94" s="272">
        <v>35571177</v>
      </c>
      <c r="C94" s="271"/>
      <c r="D94" s="306">
        <v>45387</v>
      </c>
      <c r="E94" s="271">
        <v>30</v>
      </c>
      <c r="F94" s="273">
        <f t="shared" ref="F94" si="20">D94+E94</f>
        <v>45417</v>
      </c>
      <c r="G94" s="271">
        <f t="shared" si="10"/>
        <v>56</v>
      </c>
      <c r="H94" s="271"/>
      <c r="I94" s="271"/>
      <c r="J94" s="277">
        <f>B94</f>
        <v>35571177</v>
      </c>
      <c r="K94" s="271"/>
      <c r="L94" s="271"/>
    </row>
    <row r="95" spans="1:12">
      <c r="A95" s="271"/>
      <c r="B95" s="272"/>
      <c r="C95" s="271"/>
      <c r="D95" s="305"/>
      <c r="E95" s="271"/>
      <c r="F95" s="271"/>
      <c r="G95" s="271"/>
      <c r="H95" s="271"/>
      <c r="I95" s="271"/>
      <c r="J95" s="271"/>
      <c r="K95" s="271"/>
      <c r="L95" s="271"/>
    </row>
    <row r="96" spans="1:12">
      <c r="A96" s="271" t="s">
        <v>36</v>
      </c>
      <c r="B96" s="272">
        <v>971250</v>
      </c>
      <c r="C96" s="271" t="s">
        <v>548</v>
      </c>
      <c r="D96" s="306">
        <v>44802</v>
      </c>
      <c r="E96" s="271">
        <v>30</v>
      </c>
      <c r="F96" s="273">
        <f t="shared" ref="F96" si="21">D96+E96</f>
        <v>44832</v>
      </c>
      <c r="G96" s="271">
        <f t="shared" si="10"/>
        <v>641</v>
      </c>
      <c r="H96" s="271"/>
      <c r="I96" s="271"/>
      <c r="J96" s="271"/>
      <c r="K96" s="271"/>
      <c r="L96" s="277">
        <f>B96</f>
        <v>971250</v>
      </c>
    </row>
    <row r="97" spans="1:12">
      <c r="A97" s="271"/>
      <c r="B97" s="272"/>
      <c r="C97" s="271"/>
      <c r="D97" s="306"/>
      <c r="E97" s="271"/>
      <c r="F97" s="273"/>
      <c r="G97" s="271"/>
      <c r="H97" s="271"/>
      <c r="I97" s="271"/>
      <c r="J97" s="271"/>
      <c r="K97" s="271"/>
      <c r="L97" s="271"/>
    </row>
    <row r="98" spans="1:12">
      <c r="A98" s="271" t="s">
        <v>90</v>
      </c>
      <c r="B98" s="272">
        <v>26000000</v>
      </c>
      <c r="C98" s="271">
        <v>161</v>
      </c>
      <c r="D98" s="306">
        <v>45418</v>
      </c>
      <c r="E98" s="271">
        <v>30</v>
      </c>
      <c r="F98" s="273">
        <f t="shared" ref="F98" si="22">D98+E98</f>
        <v>45448</v>
      </c>
      <c r="G98" s="271">
        <f t="shared" si="10"/>
        <v>25</v>
      </c>
      <c r="H98" s="271"/>
      <c r="I98" s="277">
        <f>B98</f>
        <v>26000000</v>
      </c>
      <c r="J98" s="271"/>
      <c r="K98" s="271"/>
      <c r="L98" s="271"/>
    </row>
    <row r="99" spans="1:12">
      <c r="A99" s="271"/>
      <c r="B99" s="272"/>
      <c r="C99" s="271"/>
      <c r="D99" s="305"/>
      <c r="E99" s="271"/>
      <c r="F99" s="271"/>
      <c r="G99" s="271"/>
      <c r="H99" s="271"/>
      <c r="I99" s="271"/>
      <c r="J99" s="271"/>
      <c r="K99" s="271"/>
      <c r="L99" s="271"/>
    </row>
    <row r="100" spans="1:12">
      <c r="A100" s="271" t="s">
        <v>235</v>
      </c>
      <c r="B100" s="272">
        <v>37808924</v>
      </c>
      <c r="C100" s="271">
        <v>168</v>
      </c>
      <c r="D100" s="306">
        <v>45420</v>
      </c>
      <c r="E100" s="271">
        <v>30</v>
      </c>
      <c r="F100" s="273">
        <f t="shared" ref="F100:F102" si="23">D100+E100</f>
        <v>45450</v>
      </c>
      <c r="G100" s="271">
        <f t="shared" si="10"/>
        <v>23</v>
      </c>
      <c r="H100" s="271"/>
      <c r="I100" s="277">
        <f>B100</f>
        <v>37808924</v>
      </c>
      <c r="J100" s="271"/>
      <c r="K100" s="271"/>
      <c r="L100" s="271"/>
    </row>
    <row r="101" spans="1:12">
      <c r="A101" s="271" t="s">
        <v>235</v>
      </c>
      <c r="B101" s="272">
        <v>49500000</v>
      </c>
      <c r="C101" s="271">
        <v>224</v>
      </c>
      <c r="D101" s="306">
        <v>45444</v>
      </c>
      <c r="E101" s="271">
        <v>30</v>
      </c>
      <c r="F101" s="273">
        <f t="shared" si="23"/>
        <v>45474</v>
      </c>
      <c r="G101" s="271">
        <f t="shared" si="10"/>
        <v>-1</v>
      </c>
      <c r="H101" s="277">
        <f t="shared" ref="H101:H102" si="24">B101</f>
        <v>49500000</v>
      </c>
      <c r="I101" s="271"/>
      <c r="J101" s="271"/>
      <c r="K101" s="271"/>
      <c r="L101" s="271"/>
    </row>
    <row r="102" spans="1:12">
      <c r="A102" s="271" t="s">
        <v>235</v>
      </c>
      <c r="B102" s="272">
        <v>8880000</v>
      </c>
      <c r="C102" s="271">
        <v>245</v>
      </c>
      <c r="D102" s="306">
        <v>45457</v>
      </c>
      <c r="E102" s="271">
        <v>30</v>
      </c>
      <c r="F102" s="273">
        <f t="shared" si="23"/>
        <v>45487</v>
      </c>
      <c r="G102" s="271">
        <f t="shared" si="10"/>
        <v>-14</v>
      </c>
      <c r="H102" s="277">
        <f t="shared" si="24"/>
        <v>8880000</v>
      </c>
      <c r="I102" s="271"/>
      <c r="J102" s="271"/>
      <c r="K102" s="271"/>
      <c r="L102" s="271"/>
    </row>
    <row r="103" spans="1:12">
      <c r="A103" s="271"/>
      <c r="B103" s="272"/>
      <c r="C103" s="271"/>
      <c r="D103" s="305"/>
      <c r="E103" s="271"/>
      <c r="F103" s="271"/>
      <c r="G103" s="271"/>
      <c r="H103" s="271"/>
      <c r="I103" s="271"/>
      <c r="J103" s="271"/>
      <c r="K103" s="271"/>
      <c r="L103" s="271"/>
    </row>
    <row r="104" spans="1:12">
      <c r="A104" s="271" t="s">
        <v>250</v>
      </c>
      <c r="B104" s="272">
        <v>29249998.489999771</v>
      </c>
      <c r="C104" s="271" t="s">
        <v>550</v>
      </c>
      <c r="D104" s="306">
        <v>45280</v>
      </c>
      <c r="E104" s="271">
        <v>30</v>
      </c>
      <c r="F104" s="273">
        <f t="shared" ref="F104" si="25">D104+E104</f>
        <v>45310</v>
      </c>
      <c r="G104" s="271">
        <f t="shared" si="10"/>
        <v>163</v>
      </c>
      <c r="H104" s="271"/>
      <c r="I104" s="271"/>
      <c r="J104" s="271"/>
      <c r="K104" s="271"/>
      <c r="L104" s="277">
        <f>B104</f>
        <v>29249998.489999771</v>
      </c>
    </row>
    <row r="105" spans="1:12">
      <c r="A105" s="271"/>
      <c r="B105" s="272"/>
      <c r="C105" s="271"/>
      <c r="D105" s="305"/>
      <c r="E105" s="271"/>
      <c r="F105" s="271"/>
      <c r="G105" s="271"/>
      <c r="H105" s="271"/>
      <c r="I105" s="271"/>
      <c r="J105" s="271"/>
      <c r="K105" s="271"/>
      <c r="L105" s="271"/>
    </row>
    <row r="106" spans="1:12">
      <c r="A106" s="271" t="s">
        <v>240</v>
      </c>
      <c r="B106" s="272">
        <v>20171919</v>
      </c>
      <c r="C106" s="271">
        <v>195</v>
      </c>
      <c r="D106" s="306">
        <v>45432</v>
      </c>
      <c r="E106" s="271">
        <v>30</v>
      </c>
      <c r="F106" s="273">
        <f t="shared" ref="F106:F107" si="26">D106+E106</f>
        <v>45462</v>
      </c>
      <c r="G106" s="271">
        <f t="shared" si="10"/>
        <v>11</v>
      </c>
      <c r="H106" s="271"/>
      <c r="I106" s="277">
        <f>B106</f>
        <v>20171919</v>
      </c>
      <c r="J106" s="271"/>
      <c r="K106" s="271"/>
      <c r="L106" s="271"/>
    </row>
    <row r="107" spans="1:12">
      <c r="A107" s="271" t="s">
        <v>240</v>
      </c>
      <c r="B107" s="272">
        <v>21846690</v>
      </c>
      <c r="C107" s="271">
        <v>238</v>
      </c>
      <c r="D107" s="306">
        <v>45454</v>
      </c>
      <c r="E107" s="271">
        <v>30</v>
      </c>
      <c r="F107" s="273">
        <f t="shared" si="26"/>
        <v>45484</v>
      </c>
      <c r="G107" s="271">
        <f t="shared" si="10"/>
        <v>-11</v>
      </c>
      <c r="H107" s="277">
        <f>B107</f>
        <v>21846690</v>
      </c>
      <c r="I107" s="271"/>
      <c r="J107" s="271"/>
      <c r="K107" s="271"/>
      <c r="L107" s="271"/>
    </row>
    <row r="108" spans="1:12">
      <c r="A108" s="271"/>
      <c r="B108" s="272"/>
      <c r="C108" s="271"/>
      <c r="D108" s="305"/>
      <c r="E108" s="271"/>
      <c r="F108" s="271"/>
      <c r="G108" s="271"/>
      <c r="H108" s="271"/>
      <c r="I108" s="271"/>
      <c r="J108" s="271"/>
      <c r="K108" s="271"/>
      <c r="L108" s="271"/>
    </row>
    <row r="109" spans="1:12">
      <c r="A109" s="271" t="s">
        <v>279</v>
      </c>
      <c r="B109" s="272">
        <v>49110000</v>
      </c>
      <c r="C109" s="291" t="s">
        <v>752</v>
      </c>
      <c r="D109" s="76">
        <v>45343</v>
      </c>
      <c r="E109" s="271">
        <v>30</v>
      </c>
      <c r="F109" s="273">
        <f t="shared" ref="F109:F119" si="27">D109+E109</f>
        <v>45373</v>
      </c>
      <c r="G109" s="271">
        <f t="shared" si="10"/>
        <v>100</v>
      </c>
      <c r="H109" s="271"/>
      <c r="I109" s="271"/>
      <c r="J109" s="271"/>
      <c r="K109" s="271"/>
      <c r="L109" s="277">
        <f>B109</f>
        <v>49110000</v>
      </c>
    </row>
    <row r="110" spans="1:12">
      <c r="A110" s="271" t="s">
        <v>279</v>
      </c>
      <c r="B110" s="272">
        <v>49110000</v>
      </c>
      <c r="C110" s="291" t="s">
        <v>753</v>
      </c>
      <c r="D110" s="76">
        <v>45359</v>
      </c>
      <c r="E110" s="271">
        <v>30</v>
      </c>
      <c r="F110" s="273">
        <f t="shared" si="27"/>
        <v>45389</v>
      </c>
      <c r="G110" s="271">
        <f t="shared" ref="G110:G174" si="28">$A$3-F110</f>
        <v>84</v>
      </c>
      <c r="H110" s="271"/>
      <c r="I110" s="271"/>
      <c r="J110" s="271"/>
      <c r="K110" s="277">
        <f>B110</f>
        <v>49110000</v>
      </c>
      <c r="L110" s="271"/>
    </row>
    <row r="111" spans="1:12">
      <c r="A111" s="271" t="s">
        <v>279</v>
      </c>
      <c r="B111" s="272">
        <v>12270000</v>
      </c>
      <c r="C111" s="291" t="s">
        <v>754</v>
      </c>
      <c r="D111" s="76">
        <v>45359</v>
      </c>
      <c r="E111" s="271">
        <v>30</v>
      </c>
      <c r="F111" s="273">
        <f t="shared" si="27"/>
        <v>45389</v>
      </c>
      <c r="G111" s="271">
        <f t="shared" si="28"/>
        <v>84</v>
      </c>
      <c r="H111" s="271"/>
      <c r="I111" s="271"/>
      <c r="J111" s="271"/>
      <c r="K111" s="277">
        <f t="shared" ref="K111:K112" si="29">B111</f>
        <v>12270000</v>
      </c>
      <c r="L111" s="271"/>
    </row>
    <row r="112" spans="1:12">
      <c r="A112" s="271" t="s">
        <v>279</v>
      </c>
      <c r="B112" s="272">
        <v>49110000</v>
      </c>
      <c r="C112" s="291" t="s">
        <v>755</v>
      </c>
      <c r="D112" s="76">
        <v>45379</v>
      </c>
      <c r="E112" s="271">
        <v>30</v>
      </c>
      <c r="F112" s="273">
        <f t="shared" si="27"/>
        <v>45409</v>
      </c>
      <c r="G112" s="271">
        <f t="shared" si="28"/>
        <v>64</v>
      </c>
      <c r="H112" s="271"/>
      <c r="I112" s="271"/>
      <c r="J112" s="271"/>
      <c r="K112" s="277">
        <f t="shared" si="29"/>
        <v>49110000</v>
      </c>
      <c r="L112" s="271"/>
    </row>
    <row r="113" spans="1:12">
      <c r="A113" s="271" t="s">
        <v>279</v>
      </c>
      <c r="B113" s="272">
        <v>22150000</v>
      </c>
      <c r="C113" s="291" t="s">
        <v>756</v>
      </c>
      <c r="D113" s="76">
        <v>45387</v>
      </c>
      <c r="E113" s="271">
        <v>30</v>
      </c>
      <c r="F113" s="273">
        <f t="shared" si="27"/>
        <v>45417</v>
      </c>
      <c r="G113" s="271">
        <f t="shared" si="28"/>
        <v>56</v>
      </c>
      <c r="H113" s="271"/>
      <c r="I113" s="271"/>
      <c r="J113" s="277">
        <f t="shared" ref="J113:J114" si="30">B113</f>
        <v>22150000</v>
      </c>
      <c r="K113" s="271"/>
      <c r="L113" s="271"/>
    </row>
    <row r="114" spans="1:12">
      <c r="A114" s="271" t="s">
        <v>279</v>
      </c>
      <c r="B114" s="272">
        <v>22150000</v>
      </c>
      <c r="C114" s="291" t="s">
        <v>757</v>
      </c>
      <c r="D114" s="76">
        <v>45408</v>
      </c>
      <c r="E114" s="271">
        <v>30</v>
      </c>
      <c r="F114" s="273">
        <f t="shared" si="27"/>
        <v>45438</v>
      </c>
      <c r="G114" s="271">
        <f t="shared" si="28"/>
        <v>35</v>
      </c>
      <c r="H114" s="271"/>
      <c r="I114" s="271"/>
      <c r="J114" s="277">
        <f t="shared" si="30"/>
        <v>22150000</v>
      </c>
      <c r="K114" s="271"/>
      <c r="L114" s="271"/>
    </row>
    <row r="115" spans="1:12">
      <c r="A115" s="271" t="s">
        <v>279</v>
      </c>
      <c r="B115" s="272">
        <v>5530000</v>
      </c>
      <c r="C115" s="291" t="s">
        <v>664</v>
      </c>
      <c r="D115" s="76">
        <v>45418</v>
      </c>
      <c r="E115" s="271">
        <v>30</v>
      </c>
      <c r="F115" s="273">
        <f t="shared" si="27"/>
        <v>45448</v>
      </c>
      <c r="G115" s="271">
        <f t="shared" si="28"/>
        <v>25</v>
      </c>
      <c r="H115" s="271"/>
      <c r="I115" s="277">
        <f t="shared" ref="I115:I117" si="31">B115</f>
        <v>5530000</v>
      </c>
      <c r="J115" s="271"/>
      <c r="K115" s="271"/>
      <c r="L115" s="271"/>
    </row>
    <row r="116" spans="1:12">
      <c r="A116" s="271" t="s">
        <v>279</v>
      </c>
      <c r="B116" s="272">
        <v>22150000</v>
      </c>
      <c r="C116" s="291" t="s">
        <v>688</v>
      </c>
      <c r="D116" s="76">
        <v>45433</v>
      </c>
      <c r="E116" s="271">
        <v>30</v>
      </c>
      <c r="F116" s="273">
        <f t="shared" si="27"/>
        <v>45463</v>
      </c>
      <c r="G116" s="271">
        <f t="shared" si="28"/>
        <v>10</v>
      </c>
      <c r="H116" s="271"/>
      <c r="I116" s="277">
        <f t="shared" si="31"/>
        <v>22150000</v>
      </c>
      <c r="J116" s="271"/>
      <c r="K116" s="271"/>
      <c r="L116" s="271"/>
    </row>
    <row r="117" spans="1:12">
      <c r="A117" s="271" t="s">
        <v>279</v>
      </c>
      <c r="B117" s="272">
        <v>22150000</v>
      </c>
      <c r="C117" s="291" t="s">
        <v>685</v>
      </c>
      <c r="D117" s="76">
        <v>45441</v>
      </c>
      <c r="E117" s="271">
        <v>30</v>
      </c>
      <c r="F117" s="273">
        <f t="shared" si="27"/>
        <v>45471</v>
      </c>
      <c r="G117" s="271">
        <f t="shared" si="28"/>
        <v>2</v>
      </c>
      <c r="H117" s="271"/>
      <c r="I117" s="277">
        <f t="shared" si="31"/>
        <v>22150000</v>
      </c>
      <c r="J117" s="271"/>
      <c r="K117" s="271"/>
      <c r="L117" s="271"/>
    </row>
    <row r="118" spans="1:12">
      <c r="A118" s="271" t="s">
        <v>279</v>
      </c>
      <c r="B118" s="272">
        <v>22150000</v>
      </c>
      <c r="C118" s="291" t="s">
        <v>758</v>
      </c>
      <c r="D118" s="76">
        <v>45463</v>
      </c>
      <c r="E118" s="271">
        <v>30</v>
      </c>
      <c r="F118" s="273">
        <f t="shared" si="27"/>
        <v>45493</v>
      </c>
      <c r="G118" s="271">
        <f t="shared" si="28"/>
        <v>-20</v>
      </c>
      <c r="H118" s="277">
        <f t="shared" ref="H118:H119" si="32">B118</f>
        <v>22150000</v>
      </c>
      <c r="I118" s="271"/>
      <c r="J118" s="271"/>
      <c r="K118" s="271"/>
      <c r="L118" s="271"/>
    </row>
    <row r="119" spans="1:12">
      <c r="A119" s="271" t="s">
        <v>279</v>
      </c>
      <c r="B119" s="272">
        <v>49110000</v>
      </c>
      <c r="C119" s="291" t="s">
        <v>759</v>
      </c>
      <c r="D119" s="76">
        <v>45471</v>
      </c>
      <c r="E119" s="271">
        <v>30</v>
      </c>
      <c r="F119" s="273">
        <f t="shared" si="27"/>
        <v>45501</v>
      </c>
      <c r="G119" s="271">
        <f t="shared" si="28"/>
        <v>-28</v>
      </c>
      <c r="H119" s="277">
        <f t="shared" si="32"/>
        <v>49110000</v>
      </c>
      <c r="I119" s="271"/>
      <c r="J119" s="271"/>
      <c r="K119" s="271"/>
      <c r="L119" s="271"/>
    </row>
    <row r="120" spans="1:12">
      <c r="A120" s="271"/>
      <c r="B120" s="272"/>
      <c r="C120" s="271"/>
      <c r="D120" s="305"/>
      <c r="E120" s="271"/>
      <c r="F120" s="271"/>
      <c r="G120" s="271"/>
      <c r="H120" s="271"/>
      <c r="I120" s="271"/>
      <c r="J120" s="271"/>
      <c r="K120" s="271"/>
      <c r="L120" s="271"/>
    </row>
    <row r="121" spans="1:12">
      <c r="A121" s="271" t="s">
        <v>281</v>
      </c>
      <c r="B121" s="272">
        <v>23250000</v>
      </c>
      <c r="C121" s="271">
        <v>116</v>
      </c>
      <c r="D121" s="76">
        <v>45467</v>
      </c>
      <c r="E121" s="271">
        <v>30</v>
      </c>
      <c r="F121" s="273">
        <f t="shared" ref="F121:F123" si="33">D121+E121</f>
        <v>45497</v>
      </c>
      <c r="G121" s="271">
        <f t="shared" si="28"/>
        <v>-24</v>
      </c>
      <c r="H121" s="277">
        <f t="shared" ref="H121:H123" si="34">B121</f>
        <v>23250000</v>
      </c>
      <c r="I121" s="271"/>
      <c r="J121" s="271"/>
      <c r="K121" s="271"/>
      <c r="L121" s="271"/>
    </row>
    <row r="122" spans="1:12">
      <c r="A122" s="271" t="s">
        <v>281</v>
      </c>
      <c r="B122" s="272">
        <v>57500000</v>
      </c>
      <c r="C122" s="271">
        <v>229</v>
      </c>
      <c r="D122" s="76">
        <v>45448</v>
      </c>
      <c r="E122" s="271">
        <v>30</v>
      </c>
      <c r="F122" s="273">
        <f t="shared" si="33"/>
        <v>45478</v>
      </c>
      <c r="G122" s="271">
        <f t="shared" si="28"/>
        <v>-5</v>
      </c>
      <c r="H122" s="277">
        <f t="shared" si="34"/>
        <v>57500000</v>
      </c>
      <c r="I122" s="271"/>
      <c r="J122" s="271"/>
      <c r="K122" s="271"/>
      <c r="L122" s="271"/>
    </row>
    <row r="123" spans="1:12">
      <c r="A123" s="271" t="s">
        <v>281</v>
      </c>
      <c r="B123" s="272">
        <v>67500000</v>
      </c>
      <c r="C123" s="271">
        <v>235</v>
      </c>
      <c r="D123" s="76">
        <v>45452</v>
      </c>
      <c r="E123" s="271">
        <v>30</v>
      </c>
      <c r="F123" s="273">
        <f t="shared" si="33"/>
        <v>45482</v>
      </c>
      <c r="G123" s="271">
        <f t="shared" si="28"/>
        <v>-9</v>
      </c>
      <c r="H123" s="277">
        <f t="shared" si="34"/>
        <v>67500000</v>
      </c>
      <c r="I123" s="271"/>
      <c r="J123" s="271"/>
      <c r="K123" s="271"/>
      <c r="L123" s="271"/>
    </row>
    <row r="124" spans="1:12">
      <c r="A124" s="271"/>
      <c r="B124" s="272"/>
      <c r="C124" s="271"/>
      <c r="D124" s="305"/>
      <c r="E124" s="271"/>
      <c r="F124" s="271"/>
      <c r="G124" s="271"/>
      <c r="H124" s="271"/>
      <c r="I124" s="271"/>
      <c r="J124" s="271"/>
      <c r="K124" s="271"/>
      <c r="L124" s="271"/>
    </row>
    <row r="125" spans="1:12">
      <c r="A125" s="271" t="s">
        <v>282</v>
      </c>
      <c r="B125" s="272">
        <v>775698</v>
      </c>
      <c r="C125" s="271"/>
      <c r="D125" s="306">
        <v>45291</v>
      </c>
      <c r="E125" s="271">
        <v>30</v>
      </c>
      <c r="F125" s="273">
        <f t="shared" ref="F125:F131" si="35">D125+E125</f>
        <v>45321</v>
      </c>
      <c r="G125" s="271">
        <f t="shared" si="28"/>
        <v>152</v>
      </c>
      <c r="H125" s="271"/>
      <c r="I125" s="271"/>
      <c r="J125" s="271"/>
      <c r="K125" s="271"/>
      <c r="L125" s="277">
        <f t="shared" ref="L125:L128" si="36">B125</f>
        <v>775698</v>
      </c>
    </row>
    <row r="126" spans="1:12">
      <c r="A126" s="271" t="s">
        <v>282</v>
      </c>
      <c r="B126" s="272">
        <v>11094849</v>
      </c>
      <c r="C126" s="271">
        <v>537</v>
      </c>
      <c r="D126" s="306">
        <v>45247</v>
      </c>
      <c r="E126" s="271">
        <v>30</v>
      </c>
      <c r="F126" s="273">
        <f t="shared" si="35"/>
        <v>45277</v>
      </c>
      <c r="G126" s="271">
        <f t="shared" si="28"/>
        <v>196</v>
      </c>
      <c r="H126" s="271"/>
      <c r="I126" s="271"/>
      <c r="J126" s="271"/>
      <c r="K126" s="271"/>
      <c r="L126" s="277">
        <f t="shared" si="36"/>
        <v>11094849</v>
      </c>
    </row>
    <row r="127" spans="1:12">
      <c r="A127" s="271" t="s">
        <v>282</v>
      </c>
      <c r="B127" s="272">
        <v>11094849</v>
      </c>
      <c r="C127" s="271">
        <v>589</v>
      </c>
      <c r="D127" s="306">
        <v>45282</v>
      </c>
      <c r="E127" s="271">
        <v>30</v>
      </c>
      <c r="F127" s="273">
        <f t="shared" si="35"/>
        <v>45312</v>
      </c>
      <c r="G127" s="271">
        <f t="shared" si="28"/>
        <v>161</v>
      </c>
      <c r="H127" s="271"/>
      <c r="I127" s="271"/>
      <c r="J127" s="271"/>
      <c r="K127" s="271"/>
      <c r="L127" s="277">
        <f t="shared" si="36"/>
        <v>11094849</v>
      </c>
    </row>
    <row r="128" spans="1:12">
      <c r="A128" s="271" t="s">
        <v>282</v>
      </c>
      <c r="B128" s="272">
        <v>7051801</v>
      </c>
      <c r="C128" s="271">
        <v>389</v>
      </c>
      <c r="D128" s="306">
        <v>45273</v>
      </c>
      <c r="E128" s="271">
        <v>30</v>
      </c>
      <c r="F128" s="273">
        <f t="shared" si="35"/>
        <v>45303</v>
      </c>
      <c r="G128" s="271">
        <f t="shared" si="28"/>
        <v>170</v>
      </c>
      <c r="H128" s="271"/>
      <c r="I128" s="271"/>
      <c r="J128" s="271"/>
      <c r="K128" s="271"/>
      <c r="L128" s="277">
        <f t="shared" si="36"/>
        <v>7051801</v>
      </c>
    </row>
    <row r="129" spans="1:12">
      <c r="A129" s="271" t="s">
        <v>282</v>
      </c>
      <c r="B129" s="272">
        <v>11094849</v>
      </c>
      <c r="C129" s="271">
        <v>182</v>
      </c>
      <c r="D129" s="306">
        <v>45453</v>
      </c>
      <c r="E129" s="271">
        <v>30</v>
      </c>
      <c r="F129" s="273">
        <f t="shared" si="35"/>
        <v>45483</v>
      </c>
      <c r="G129" s="271">
        <f t="shared" si="28"/>
        <v>-10</v>
      </c>
      <c r="H129" s="277">
        <f t="shared" ref="H129:H130" si="37">B129</f>
        <v>11094849</v>
      </c>
      <c r="I129" s="271"/>
      <c r="J129" s="271"/>
      <c r="K129" s="271"/>
      <c r="L129" s="271"/>
    </row>
    <row r="130" spans="1:12">
      <c r="A130" s="271" t="s">
        <v>282</v>
      </c>
      <c r="B130" s="272">
        <v>11094849</v>
      </c>
      <c r="C130" s="271">
        <v>12</v>
      </c>
      <c r="D130" s="306">
        <v>45454</v>
      </c>
      <c r="E130" s="271">
        <v>30</v>
      </c>
      <c r="F130" s="273">
        <f t="shared" si="35"/>
        <v>45484</v>
      </c>
      <c r="G130" s="271">
        <f t="shared" si="28"/>
        <v>-11</v>
      </c>
      <c r="H130" s="277">
        <f t="shared" si="37"/>
        <v>11094849</v>
      </c>
      <c r="I130" s="271"/>
      <c r="J130" s="271"/>
      <c r="K130" s="271"/>
      <c r="L130" s="271"/>
    </row>
    <row r="131" spans="1:12">
      <c r="A131" s="271" t="s">
        <v>282</v>
      </c>
      <c r="B131" s="272">
        <v>7827500</v>
      </c>
      <c r="C131" s="271">
        <v>143</v>
      </c>
      <c r="D131" s="306">
        <v>45407</v>
      </c>
      <c r="E131" s="271">
        <v>30</v>
      </c>
      <c r="F131" s="273">
        <f t="shared" si="35"/>
        <v>45437</v>
      </c>
      <c r="G131" s="271">
        <f t="shared" si="28"/>
        <v>36</v>
      </c>
      <c r="H131" s="271"/>
      <c r="I131" s="271"/>
      <c r="J131" s="277">
        <f>B131</f>
        <v>7827500</v>
      </c>
      <c r="K131" s="271"/>
      <c r="L131" s="271"/>
    </row>
    <row r="132" spans="1:12">
      <c r="A132" s="271"/>
      <c r="B132" s="272"/>
      <c r="C132" s="271"/>
      <c r="D132" s="305"/>
      <c r="E132" s="271"/>
      <c r="F132" s="271"/>
      <c r="G132" s="271"/>
      <c r="H132" s="271"/>
      <c r="I132" s="271"/>
      <c r="J132" s="271"/>
      <c r="K132" s="271"/>
      <c r="L132" s="271"/>
    </row>
    <row r="133" spans="1:12">
      <c r="A133" s="271" t="s">
        <v>283</v>
      </c>
      <c r="B133" s="272">
        <v>450000</v>
      </c>
      <c r="C133" s="308" t="s">
        <v>569</v>
      </c>
      <c r="D133" s="309">
        <v>45120</v>
      </c>
      <c r="E133" s="271">
        <v>30</v>
      </c>
      <c r="F133" s="273">
        <f t="shared" ref="F133:F172" si="38">D133+E133</f>
        <v>45150</v>
      </c>
      <c r="G133" s="271">
        <f t="shared" si="28"/>
        <v>323</v>
      </c>
      <c r="H133" s="271"/>
      <c r="I133" s="271"/>
      <c r="J133" s="271"/>
      <c r="K133" s="271"/>
      <c r="L133" s="277">
        <f t="shared" ref="L133:L160" si="39">B133</f>
        <v>450000</v>
      </c>
    </row>
    <row r="134" spans="1:12">
      <c r="A134" s="271" t="s">
        <v>283</v>
      </c>
      <c r="B134" s="272">
        <v>450000</v>
      </c>
      <c r="C134" s="308" t="s">
        <v>570</v>
      </c>
      <c r="D134" s="309">
        <v>45124</v>
      </c>
      <c r="E134" s="271">
        <v>30</v>
      </c>
      <c r="F134" s="273">
        <f t="shared" si="38"/>
        <v>45154</v>
      </c>
      <c r="G134" s="271">
        <f t="shared" si="28"/>
        <v>319</v>
      </c>
      <c r="H134" s="271"/>
      <c r="I134" s="271"/>
      <c r="J134" s="271"/>
      <c r="K134" s="271"/>
      <c r="L134" s="277">
        <f t="shared" si="39"/>
        <v>450000</v>
      </c>
    </row>
    <row r="135" spans="1:12">
      <c r="A135" s="271" t="s">
        <v>283</v>
      </c>
      <c r="B135" s="272">
        <v>500000</v>
      </c>
      <c r="C135" s="308" t="s">
        <v>571</v>
      </c>
      <c r="D135" s="309">
        <v>45125</v>
      </c>
      <c r="E135" s="271">
        <v>30</v>
      </c>
      <c r="F135" s="273">
        <f t="shared" si="38"/>
        <v>45155</v>
      </c>
      <c r="G135" s="271">
        <f t="shared" si="28"/>
        <v>318</v>
      </c>
      <c r="H135" s="271"/>
      <c r="I135" s="271"/>
      <c r="J135" s="271"/>
      <c r="K135" s="271"/>
      <c r="L135" s="277">
        <f t="shared" si="39"/>
        <v>500000</v>
      </c>
    </row>
    <row r="136" spans="1:12">
      <c r="A136" s="271" t="s">
        <v>283</v>
      </c>
      <c r="B136" s="272">
        <v>840000</v>
      </c>
      <c r="C136" s="308" t="s">
        <v>572</v>
      </c>
      <c r="D136" s="309">
        <v>45133</v>
      </c>
      <c r="E136" s="271">
        <v>30</v>
      </c>
      <c r="F136" s="273">
        <f t="shared" si="38"/>
        <v>45163</v>
      </c>
      <c r="G136" s="271">
        <f t="shared" si="28"/>
        <v>310</v>
      </c>
      <c r="H136" s="271"/>
      <c r="I136" s="271"/>
      <c r="J136" s="271"/>
      <c r="K136" s="271"/>
      <c r="L136" s="277">
        <f t="shared" si="39"/>
        <v>840000</v>
      </c>
    </row>
    <row r="137" spans="1:12">
      <c r="A137" s="271" t="s">
        <v>283</v>
      </c>
      <c r="B137" s="272">
        <v>325000</v>
      </c>
      <c r="C137" s="308" t="s">
        <v>575</v>
      </c>
      <c r="D137" s="309">
        <v>45149</v>
      </c>
      <c r="E137" s="271">
        <v>30</v>
      </c>
      <c r="F137" s="273">
        <f t="shared" si="38"/>
        <v>45179</v>
      </c>
      <c r="G137" s="271">
        <f t="shared" si="28"/>
        <v>294</v>
      </c>
      <c r="H137" s="271"/>
      <c r="I137" s="271"/>
      <c r="J137" s="271"/>
      <c r="K137" s="271"/>
      <c r="L137" s="277">
        <f t="shared" si="39"/>
        <v>325000</v>
      </c>
    </row>
    <row r="138" spans="1:12">
      <c r="A138" s="271" t="s">
        <v>283</v>
      </c>
      <c r="B138" s="272">
        <v>3056000</v>
      </c>
      <c r="C138" s="308" t="s">
        <v>574</v>
      </c>
      <c r="D138" s="309">
        <v>45149</v>
      </c>
      <c r="E138" s="271">
        <v>30</v>
      </c>
      <c r="F138" s="273">
        <f t="shared" si="38"/>
        <v>45179</v>
      </c>
      <c r="G138" s="271">
        <f t="shared" si="28"/>
        <v>294</v>
      </c>
      <c r="H138" s="271"/>
      <c r="I138" s="271"/>
      <c r="J138" s="271"/>
      <c r="K138" s="271"/>
      <c r="L138" s="277">
        <f t="shared" si="39"/>
        <v>3056000</v>
      </c>
    </row>
    <row r="139" spans="1:12">
      <c r="A139" s="271" t="s">
        <v>283</v>
      </c>
      <c r="B139" s="272">
        <v>300000</v>
      </c>
      <c r="C139" s="308" t="s">
        <v>576</v>
      </c>
      <c r="D139" s="309">
        <v>45153</v>
      </c>
      <c r="E139" s="271">
        <v>30</v>
      </c>
      <c r="F139" s="273">
        <f t="shared" si="38"/>
        <v>45183</v>
      </c>
      <c r="G139" s="271">
        <f t="shared" si="28"/>
        <v>290</v>
      </c>
      <c r="H139" s="271"/>
      <c r="I139" s="271"/>
      <c r="J139" s="271"/>
      <c r="K139" s="271"/>
      <c r="L139" s="277">
        <f t="shared" si="39"/>
        <v>300000</v>
      </c>
    </row>
    <row r="140" spans="1:12">
      <c r="A140" s="271" t="s">
        <v>283</v>
      </c>
      <c r="B140" s="272">
        <v>1200000</v>
      </c>
      <c r="C140" s="308" t="s">
        <v>577</v>
      </c>
      <c r="D140" s="309">
        <v>45166</v>
      </c>
      <c r="E140" s="271">
        <v>30</v>
      </c>
      <c r="F140" s="273">
        <f t="shared" si="38"/>
        <v>45196</v>
      </c>
      <c r="G140" s="271">
        <f t="shared" si="28"/>
        <v>277</v>
      </c>
      <c r="H140" s="271"/>
      <c r="I140" s="271"/>
      <c r="J140" s="271"/>
      <c r="K140" s="271"/>
      <c r="L140" s="277">
        <f t="shared" si="39"/>
        <v>1200000</v>
      </c>
    </row>
    <row r="141" spans="1:12">
      <c r="A141" s="271" t="s">
        <v>283</v>
      </c>
      <c r="B141" s="272">
        <v>175000</v>
      </c>
      <c r="C141" s="308" t="s">
        <v>578</v>
      </c>
      <c r="D141" s="309">
        <v>45177</v>
      </c>
      <c r="E141" s="271">
        <v>30</v>
      </c>
      <c r="F141" s="273">
        <f t="shared" si="38"/>
        <v>45207</v>
      </c>
      <c r="G141" s="271">
        <f t="shared" si="28"/>
        <v>266</v>
      </c>
      <c r="H141" s="271"/>
      <c r="I141" s="271"/>
      <c r="J141" s="271"/>
      <c r="K141" s="271"/>
      <c r="L141" s="277">
        <f t="shared" si="39"/>
        <v>175000</v>
      </c>
    </row>
    <row r="142" spans="1:12">
      <c r="A142" s="271" t="s">
        <v>283</v>
      </c>
      <c r="B142" s="272">
        <v>800000</v>
      </c>
      <c r="C142" s="308" t="s">
        <v>579</v>
      </c>
      <c r="D142" s="309">
        <v>45181</v>
      </c>
      <c r="E142" s="271">
        <v>30</v>
      </c>
      <c r="F142" s="273">
        <f t="shared" si="38"/>
        <v>45211</v>
      </c>
      <c r="G142" s="271">
        <f t="shared" si="28"/>
        <v>262</v>
      </c>
      <c r="H142" s="271"/>
      <c r="I142" s="271"/>
      <c r="J142" s="271"/>
      <c r="K142" s="271"/>
      <c r="L142" s="277">
        <f t="shared" si="39"/>
        <v>800000</v>
      </c>
    </row>
    <row r="143" spans="1:12">
      <c r="A143" s="271" t="s">
        <v>283</v>
      </c>
      <c r="B143" s="272">
        <v>325000</v>
      </c>
      <c r="C143" s="308" t="s">
        <v>580</v>
      </c>
      <c r="D143" s="309">
        <v>45183</v>
      </c>
      <c r="E143" s="271">
        <v>30</v>
      </c>
      <c r="F143" s="273">
        <f t="shared" si="38"/>
        <v>45213</v>
      </c>
      <c r="G143" s="271">
        <f t="shared" si="28"/>
        <v>260</v>
      </c>
      <c r="H143" s="271"/>
      <c r="I143" s="271"/>
      <c r="J143" s="271"/>
      <c r="K143" s="271"/>
      <c r="L143" s="277">
        <f t="shared" si="39"/>
        <v>325000</v>
      </c>
    </row>
    <row r="144" spans="1:12">
      <c r="A144" s="271" t="s">
        <v>283</v>
      </c>
      <c r="B144" s="272">
        <v>400000</v>
      </c>
      <c r="C144" s="308" t="s">
        <v>581</v>
      </c>
      <c r="D144" s="309">
        <v>45215</v>
      </c>
      <c r="E144" s="271">
        <v>30</v>
      </c>
      <c r="F144" s="273">
        <f t="shared" si="38"/>
        <v>45245</v>
      </c>
      <c r="G144" s="271">
        <f t="shared" si="28"/>
        <v>228</v>
      </c>
      <c r="H144" s="271"/>
      <c r="I144" s="271"/>
      <c r="J144" s="271"/>
      <c r="K144" s="271"/>
      <c r="L144" s="277">
        <f t="shared" si="39"/>
        <v>400000</v>
      </c>
    </row>
    <row r="145" spans="1:12">
      <c r="A145" s="271" t="s">
        <v>283</v>
      </c>
      <c r="B145" s="272">
        <v>410000</v>
      </c>
      <c r="C145" s="308" t="s">
        <v>582</v>
      </c>
      <c r="D145" s="309">
        <v>45222</v>
      </c>
      <c r="E145" s="271">
        <v>30</v>
      </c>
      <c r="F145" s="273">
        <f t="shared" si="38"/>
        <v>45252</v>
      </c>
      <c r="G145" s="271">
        <f t="shared" si="28"/>
        <v>221</v>
      </c>
      <c r="H145" s="271"/>
      <c r="I145" s="271"/>
      <c r="J145" s="271"/>
      <c r="K145" s="271"/>
      <c r="L145" s="277">
        <f t="shared" si="39"/>
        <v>410000</v>
      </c>
    </row>
    <row r="146" spans="1:12">
      <c r="A146" s="271" t="s">
        <v>283</v>
      </c>
      <c r="B146" s="272">
        <v>240000</v>
      </c>
      <c r="C146" s="308" t="s">
        <v>583</v>
      </c>
      <c r="D146" s="309">
        <v>45226</v>
      </c>
      <c r="E146" s="271">
        <v>30</v>
      </c>
      <c r="F146" s="273">
        <f t="shared" si="38"/>
        <v>45256</v>
      </c>
      <c r="G146" s="271">
        <f t="shared" si="28"/>
        <v>217</v>
      </c>
      <c r="H146" s="271"/>
      <c r="I146" s="271"/>
      <c r="J146" s="271"/>
      <c r="K146" s="271"/>
      <c r="L146" s="277">
        <f t="shared" si="39"/>
        <v>240000</v>
      </c>
    </row>
    <row r="147" spans="1:12">
      <c r="A147" s="271" t="s">
        <v>283</v>
      </c>
      <c r="B147" s="272">
        <v>430000</v>
      </c>
      <c r="C147" s="308" t="s">
        <v>584</v>
      </c>
      <c r="D147" s="309">
        <v>45246</v>
      </c>
      <c r="E147" s="271">
        <v>30</v>
      </c>
      <c r="F147" s="273">
        <f t="shared" si="38"/>
        <v>45276</v>
      </c>
      <c r="G147" s="271">
        <f t="shared" si="28"/>
        <v>197</v>
      </c>
      <c r="H147" s="271"/>
      <c r="I147" s="271"/>
      <c r="J147" s="271"/>
      <c r="K147" s="271"/>
      <c r="L147" s="277">
        <f t="shared" si="39"/>
        <v>430000</v>
      </c>
    </row>
    <row r="148" spans="1:12">
      <c r="A148" s="271" t="s">
        <v>283</v>
      </c>
      <c r="B148" s="272">
        <v>1210000</v>
      </c>
      <c r="C148" s="308" t="s">
        <v>585</v>
      </c>
      <c r="D148" s="309">
        <v>45260</v>
      </c>
      <c r="E148" s="271">
        <v>30</v>
      </c>
      <c r="F148" s="273">
        <f t="shared" si="38"/>
        <v>45290</v>
      </c>
      <c r="G148" s="271">
        <f t="shared" si="28"/>
        <v>183</v>
      </c>
      <c r="H148" s="271"/>
      <c r="I148" s="271"/>
      <c r="J148" s="271"/>
      <c r="K148" s="271"/>
      <c r="L148" s="277">
        <f t="shared" si="39"/>
        <v>1210000</v>
      </c>
    </row>
    <row r="149" spans="1:12">
      <c r="A149" s="271" t="s">
        <v>283</v>
      </c>
      <c r="B149" s="272">
        <v>3120000</v>
      </c>
      <c r="C149" s="308" t="s">
        <v>284</v>
      </c>
      <c r="D149" s="309">
        <v>45258</v>
      </c>
      <c r="E149" s="271">
        <v>30</v>
      </c>
      <c r="F149" s="273">
        <f t="shared" si="38"/>
        <v>45288</v>
      </c>
      <c r="G149" s="271">
        <f t="shared" si="28"/>
        <v>185</v>
      </c>
      <c r="H149" s="271"/>
      <c r="I149" s="271"/>
      <c r="J149" s="271"/>
      <c r="K149" s="271"/>
      <c r="L149" s="277">
        <f t="shared" si="39"/>
        <v>3120000</v>
      </c>
    </row>
    <row r="150" spans="1:12">
      <c r="A150" s="271" t="s">
        <v>283</v>
      </c>
      <c r="B150" s="272">
        <v>280000</v>
      </c>
      <c r="C150" s="308" t="s">
        <v>285</v>
      </c>
      <c r="D150" s="309">
        <v>45260</v>
      </c>
      <c r="E150" s="271">
        <v>30</v>
      </c>
      <c r="F150" s="273">
        <f t="shared" si="38"/>
        <v>45290</v>
      </c>
      <c r="G150" s="271">
        <f t="shared" si="28"/>
        <v>183</v>
      </c>
      <c r="H150" s="271"/>
      <c r="I150" s="271"/>
      <c r="J150" s="271"/>
      <c r="K150" s="271"/>
      <c r="L150" s="277">
        <f t="shared" si="39"/>
        <v>280000</v>
      </c>
    </row>
    <row r="151" spans="1:12">
      <c r="A151" s="271" t="s">
        <v>283</v>
      </c>
      <c r="B151" s="272">
        <v>455000</v>
      </c>
      <c r="C151" s="308" t="s">
        <v>286</v>
      </c>
      <c r="D151" s="309">
        <v>45266</v>
      </c>
      <c r="E151" s="271">
        <v>30</v>
      </c>
      <c r="F151" s="273">
        <f t="shared" si="38"/>
        <v>45296</v>
      </c>
      <c r="G151" s="271">
        <f t="shared" si="28"/>
        <v>177</v>
      </c>
      <c r="H151" s="271"/>
      <c r="I151" s="271"/>
      <c r="J151" s="271"/>
      <c r="K151" s="271"/>
      <c r="L151" s="277">
        <f t="shared" si="39"/>
        <v>455000</v>
      </c>
    </row>
    <row r="152" spans="1:12">
      <c r="A152" s="271" t="s">
        <v>283</v>
      </c>
      <c r="B152" s="272">
        <v>2250000</v>
      </c>
      <c r="C152" s="308" t="s">
        <v>287</v>
      </c>
      <c r="D152" s="309">
        <v>45222</v>
      </c>
      <c r="E152" s="271">
        <v>30</v>
      </c>
      <c r="F152" s="273">
        <f t="shared" si="38"/>
        <v>45252</v>
      </c>
      <c r="G152" s="271">
        <f t="shared" si="28"/>
        <v>221</v>
      </c>
      <c r="H152" s="271"/>
      <c r="I152" s="271"/>
      <c r="J152" s="271"/>
      <c r="K152" s="271"/>
      <c r="L152" s="277">
        <f t="shared" si="39"/>
        <v>2250000</v>
      </c>
    </row>
    <row r="153" spans="1:12">
      <c r="A153" s="271" t="s">
        <v>283</v>
      </c>
      <c r="B153" s="272">
        <v>4500000</v>
      </c>
      <c r="C153" s="308" t="s">
        <v>288</v>
      </c>
      <c r="D153" s="309">
        <v>45226</v>
      </c>
      <c r="E153" s="271">
        <v>30</v>
      </c>
      <c r="F153" s="273">
        <f t="shared" si="38"/>
        <v>45256</v>
      </c>
      <c r="G153" s="271">
        <f t="shared" si="28"/>
        <v>217</v>
      </c>
      <c r="H153" s="271"/>
      <c r="I153" s="271"/>
      <c r="J153" s="271"/>
      <c r="K153" s="271"/>
      <c r="L153" s="277">
        <f t="shared" si="39"/>
        <v>4500000</v>
      </c>
    </row>
    <row r="154" spans="1:12">
      <c r="A154" s="271" t="s">
        <v>283</v>
      </c>
      <c r="B154" s="272">
        <v>770000</v>
      </c>
      <c r="C154" s="308" t="s">
        <v>289</v>
      </c>
      <c r="D154" s="309">
        <v>45252</v>
      </c>
      <c r="E154" s="271">
        <v>30</v>
      </c>
      <c r="F154" s="273">
        <f t="shared" si="38"/>
        <v>45282</v>
      </c>
      <c r="G154" s="271">
        <f t="shared" si="28"/>
        <v>191</v>
      </c>
      <c r="H154" s="271"/>
      <c r="I154" s="271"/>
      <c r="J154" s="271"/>
      <c r="K154" s="271"/>
      <c r="L154" s="277">
        <f t="shared" si="39"/>
        <v>770000</v>
      </c>
    </row>
    <row r="155" spans="1:12">
      <c r="A155" s="271" t="s">
        <v>283</v>
      </c>
      <c r="B155" s="272">
        <v>4277000</v>
      </c>
      <c r="C155" s="308" t="s">
        <v>290</v>
      </c>
      <c r="D155" s="309">
        <v>45252</v>
      </c>
      <c r="E155" s="271">
        <v>30</v>
      </c>
      <c r="F155" s="273">
        <f t="shared" si="38"/>
        <v>45282</v>
      </c>
      <c r="G155" s="271">
        <f t="shared" si="28"/>
        <v>191</v>
      </c>
      <c r="H155" s="271"/>
      <c r="I155" s="271"/>
      <c r="J155" s="271"/>
      <c r="K155" s="271"/>
      <c r="L155" s="277">
        <f t="shared" si="39"/>
        <v>4277000</v>
      </c>
    </row>
    <row r="156" spans="1:12">
      <c r="A156" s="271" t="s">
        <v>283</v>
      </c>
      <c r="B156" s="272">
        <v>2348000</v>
      </c>
      <c r="C156" s="308" t="s">
        <v>291</v>
      </c>
      <c r="D156" s="309">
        <v>45265</v>
      </c>
      <c r="E156" s="271">
        <v>30</v>
      </c>
      <c r="F156" s="273">
        <f t="shared" si="38"/>
        <v>45295</v>
      </c>
      <c r="G156" s="271">
        <f t="shared" si="28"/>
        <v>178</v>
      </c>
      <c r="H156" s="271"/>
      <c r="I156" s="271"/>
      <c r="J156" s="271"/>
      <c r="K156" s="271"/>
      <c r="L156" s="277">
        <f t="shared" si="39"/>
        <v>2348000</v>
      </c>
    </row>
    <row r="157" spans="1:12">
      <c r="A157" s="271" t="s">
        <v>283</v>
      </c>
      <c r="B157" s="272">
        <v>225000</v>
      </c>
      <c r="C157" s="308" t="s">
        <v>292</v>
      </c>
      <c r="D157" s="309">
        <v>45266</v>
      </c>
      <c r="E157" s="271">
        <v>30</v>
      </c>
      <c r="F157" s="273">
        <f t="shared" si="38"/>
        <v>45296</v>
      </c>
      <c r="G157" s="271">
        <f t="shared" si="28"/>
        <v>177</v>
      </c>
      <c r="H157" s="271"/>
      <c r="I157" s="271"/>
      <c r="J157" s="271"/>
      <c r="K157" s="271"/>
      <c r="L157" s="277">
        <f t="shared" si="39"/>
        <v>225000</v>
      </c>
    </row>
    <row r="158" spans="1:12">
      <c r="A158" s="271" t="s">
        <v>283</v>
      </c>
      <c r="B158" s="272">
        <v>460000</v>
      </c>
      <c r="C158" s="308" t="s">
        <v>293</v>
      </c>
      <c r="D158" s="309">
        <v>45272</v>
      </c>
      <c r="E158" s="271">
        <v>30</v>
      </c>
      <c r="F158" s="273">
        <f t="shared" si="38"/>
        <v>45302</v>
      </c>
      <c r="G158" s="271">
        <f t="shared" si="28"/>
        <v>171</v>
      </c>
      <c r="H158" s="271"/>
      <c r="I158" s="271"/>
      <c r="J158" s="271"/>
      <c r="K158" s="271"/>
      <c r="L158" s="277">
        <f t="shared" si="39"/>
        <v>460000</v>
      </c>
    </row>
    <row r="159" spans="1:12">
      <c r="A159" s="271" t="s">
        <v>283</v>
      </c>
      <c r="B159" s="272">
        <v>790000</v>
      </c>
      <c r="C159" s="308" t="s">
        <v>294</v>
      </c>
      <c r="D159" s="309">
        <v>45272</v>
      </c>
      <c r="E159" s="271">
        <v>30</v>
      </c>
      <c r="F159" s="273">
        <f t="shared" si="38"/>
        <v>45302</v>
      </c>
      <c r="G159" s="271">
        <f t="shared" si="28"/>
        <v>171</v>
      </c>
      <c r="H159" s="271"/>
      <c r="I159" s="271"/>
      <c r="J159" s="271"/>
      <c r="K159" s="271"/>
      <c r="L159" s="277">
        <f t="shared" si="39"/>
        <v>790000</v>
      </c>
    </row>
    <row r="160" spans="1:12">
      <c r="A160" s="271" t="s">
        <v>283</v>
      </c>
      <c r="B160" s="272">
        <v>320000</v>
      </c>
      <c r="C160" s="301" t="s">
        <v>760</v>
      </c>
      <c r="D160" s="76">
        <v>45350</v>
      </c>
      <c r="E160" s="271">
        <v>30</v>
      </c>
      <c r="F160" s="273">
        <f t="shared" si="38"/>
        <v>45380</v>
      </c>
      <c r="G160" s="271">
        <f t="shared" si="28"/>
        <v>93</v>
      </c>
      <c r="H160" s="271"/>
      <c r="I160" s="271"/>
      <c r="J160" s="271"/>
      <c r="K160" s="271"/>
      <c r="L160" s="277">
        <f t="shared" si="39"/>
        <v>320000</v>
      </c>
    </row>
    <row r="161" spans="1:12">
      <c r="A161" s="271" t="s">
        <v>283</v>
      </c>
      <c r="B161" s="272">
        <v>1780000</v>
      </c>
      <c r="C161" s="301" t="s">
        <v>753</v>
      </c>
      <c r="D161" s="76">
        <v>45358</v>
      </c>
      <c r="E161" s="271">
        <v>30</v>
      </c>
      <c r="F161" s="273">
        <f t="shared" si="38"/>
        <v>45388</v>
      </c>
      <c r="G161" s="271">
        <f t="shared" si="28"/>
        <v>85</v>
      </c>
      <c r="H161" s="271"/>
      <c r="I161" s="271"/>
      <c r="J161" s="271"/>
      <c r="K161" s="277">
        <f t="shared" ref="K161:K163" si="40">B161</f>
        <v>1780000</v>
      </c>
      <c r="L161" s="271"/>
    </row>
    <row r="162" spans="1:12">
      <c r="A162" s="271" t="s">
        <v>283</v>
      </c>
      <c r="B162" s="272">
        <v>305000</v>
      </c>
      <c r="C162" s="301" t="s">
        <v>761</v>
      </c>
      <c r="D162" s="76">
        <v>45360</v>
      </c>
      <c r="E162" s="271">
        <v>30</v>
      </c>
      <c r="F162" s="273">
        <f t="shared" si="38"/>
        <v>45390</v>
      </c>
      <c r="G162" s="271">
        <f t="shared" si="28"/>
        <v>83</v>
      </c>
      <c r="H162" s="271"/>
      <c r="I162" s="271"/>
      <c r="J162" s="271"/>
      <c r="K162" s="277">
        <f t="shared" si="40"/>
        <v>305000</v>
      </c>
      <c r="L162" s="271"/>
    </row>
    <row r="163" spans="1:12">
      <c r="A163" s="271" t="s">
        <v>283</v>
      </c>
      <c r="B163" s="272">
        <v>135000</v>
      </c>
      <c r="C163" s="301" t="s">
        <v>762</v>
      </c>
      <c r="D163" s="76">
        <v>45371</v>
      </c>
      <c r="E163" s="271">
        <v>30</v>
      </c>
      <c r="F163" s="273">
        <f t="shared" si="38"/>
        <v>45401</v>
      </c>
      <c r="G163" s="271">
        <f t="shared" si="28"/>
        <v>72</v>
      </c>
      <c r="H163" s="271"/>
      <c r="I163" s="271"/>
      <c r="J163" s="271"/>
      <c r="K163" s="277">
        <f t="shared" si="40"/>
        <v>135000</v>
      </c>
      <c r="L163" s="271"/>
    </row>
    <row r="164" spans="1:12">
      <c r="A164" s="271" t="s">
        <v>283</v>
      </c>
      <c r="B164" s="272">
        <v>1740000</v>
      </c>
      <c r="C164" s="301" t="s">
        <v>763</v>
      </c>
      <c r="D164" s="76">
        <v>45385</v>
      </c>
      <c r="E164" s="271">
        <v>30</v>
      </c>
      <c r="F164" s="273">
        <f t="shared" si="38"/>
        <v>45415</v>
      </c>
      <c r="G164" s="271">
        <f t="shared" si="28"/>
        <v>58</v>
      </c>
      <c r="H164" s="271"/>
      <c r="I164" s="271"/>
      <c r="J164" s="277">
        <f t="shared" ref="J164:J166" si="41">B164</f>
        <v>1740000</v>
      </c>
      <c r="K164" s="271"/>
      <c r="L164" s="271"/>
    </row>
    <row r="165" spans="1:12">
      <c r="A165" s="271" t="s">
        <v>283</v>
      </c>
      <c r="B165" s="272">
        <v>1710000</v>
      </c>
      <c r="C165" s="301" t="s">
        <v>755</v>
      </c>
      <c r="D165" s="76">
        <v>45401</v>
      </c>
      <c r="E165" s="271">
        <v>30</v>
      </c>
      <c r="F165" s="273">
        <f t="shared" si="38"/>
        <v>45431</v>
      </c>
      <c r="G165" s="271">
        <f t="shared" si="28"/>
        <v>42</v>
      </c>
      <c r="H165" s="271"/>
      <c r="I165" s="271"/>
      <c r="J165" s="277">
        <f t="shared" si="41"/>
        <v>1710000</v>
      </c>
      <c r="K165" s="271"/>
      <c r="L165" s="271"/>
    </row>
    <row r="166" spans="1:12">
      <c r="A166" s="271" t="s">
        <v>283</v>
      </c>
      <c r="B166" s="272">
        <v>1172500</v>
      </c>
      <c r="C166" s="301" t="s">
        <v>764</v>
      </c>
      <c r="D166" s="76">
        <v>45405</v>
      </c>
      <c r="E166" s="271">
        <v>30</v>
      </c>
      <c r="F166" s="273">
        <f t="shared" si="38"/>
        <v>45435</v>
      </c>
      <c r="G166" s="271">
        <f t="shared" si="28"/>
        <v>38</v>
      </c>
      <c r="H166" s="271"/>
      <c r="I166" s="271"/>
      <c r="J166" s="277">
        <f t="shared" si="41"/>
        <v>1172500</v>
      </c>
      <c r="K166" s="271"/>
      <c r="L166" s="271"/>
    </row>
    <row r="167" spans="1:12">
      <c r="A167" s="271" t="s">
        <v>283</v>
      </c>
      <c r="B167" s="272">
        <v>1980000</v>
      </c>
      <c r="C167" s="301" t="s">
        <v>305</v>
      </c>
      <c r="D167" s="76">
        <v>45426</v>
      </c>
      <c r="E167" s="271">
        <v>30</v>
      </c>
      <c r="F167" s="273">
        <f t="shared" si="38"/>
        <v>45456</v>
      </c>
      <c r="G167" s="271">
        <f t="shared" si="28"/>
        <v>17</v>
      </c>
      <c r="H167" s="271"/>
      <c r="I167" s="277">
        <f t="shared" ref="I167:I170" si="42">B167</f>
        <v>1980000</v>
      </c>
      <c r="J167" s="271"/>
      <c r="K167" s="271"/>
      <c r="L167" s="271"/>
    </row>
    <row r="168" spans="1:12">
      <c r="A168" s="271" t="s">
        <v>283</v>
      </c>
      <c r="B168" s="272">
        <v>1480000</v>
      </c>
      <c r="C168" s="301" t="s">
        <v>757</v>
      </c>
      <c r="D168" s="76">
        <v>45426</v>
      </c>
      <c r="E168" s="271">
        <v>30</v>
      </c>
      <c r="F168" s="273">
        <f t="shared" si="38"/>
        <v>45456</v>
      </c>
      <c r="G168" s="271">
        <f t="shared" si="28"/>
        <v>17</v>
      </c>
      <c r="H168" s="271"/>
      <c r="I168" s="277">
        <f t="shared" si="42"/>
        <v>1480000</v>
      </c>
      <c r="J168" s="271"/>
      <c r="K168" s="271"/>
      <c r="L168" s="271"/>
    </row>
    <row r="169" spans="1:12">
      <c r="A169" s="271" t="s">
        <v>283</v>
      </c>
      <c r="B169" s="272">
        <v>577500</v>
      </c>
      <c r="C169" s="301" t="s">
        <v>667</v>
      </c>
      <c r="D169" s="76">
        <v>45440</v>
      </c>
      <c r="E169" s="271">
        <v>30</v>
      </c>
      <c r="F169" s="273">
        <f t="shared" si="38"/>
        <v>45470</v>
      </c>
      <c r="G169" s="271">
        <f t="shared" si="28"/>
        <v>3</v>
      </c>
      <c r="H169" s="271"/>
      <c r="I169" s="277">
        <f t="shared" si="42"/>
        <v>577500</v>
      </c>
      <c r="J169" s="271"/>
      <c r="K169" s="271"/>
      <c r="L169" s="271"/>
    </row>
    <row r="170" spans="1:12">
      <c r="A170" s="271" t="s">
        <v>283</v>
      </c>
      <c r="B170" s="272">
        <v>200000</v>
      </c>
      <c r="C170" s="301" t="s">
        <v>765</v>
      </c>
      <c r="D170" s="76">
        <v>45440</v>
      </c>
      <c r="E170" s="271">
        <v>30</v>
      </c>
      <c r="F170" s="273">
        <f t="shared" si="38"/>
        <v>45470</v>
      </c>
      <c r="G170" s="271">
        <f t="shared" si="28"/>
        <v>3</v>
      </c>
      <c r="H170" s="271"/>
      <c r="I170" s="277">
        <f t="shared" si="42"/>
        <v>200000</v>
      </c>
      <c r="J170" s="271"/>
      <c r="K170" s="271"/>
      <c r="L170" s="271"/>
    </row>
    <row r="171" spans="1:12">
      <c r="A171" s="271" t="s">
        <v>283</v>
      </c>
      <c r="B171" s="272">
        <v>785000</v>
      </c>
      <c r="C171" s="301" t="s">
        <v>676</v>
      </c>
      <c r="D171" s="76">
        <v>45454</v>
      </c>
      <c r="E171" s="271">
        <v>30</v>
      </c>
      <c r="F171" s="273">
        <f t="shared" si="38"/>
        <v>45484</v>
      </c>
      <c r="G171" s="271">
        <f t="shared" si="28"/>
        <v>-11</v>
      </c>
      <c r="H171" s="277">
        <f t="shared" ref="H171:H172" si="43">B171</f>
        <v>785000</v>
      </c>
      <c r="I171" s="271"/>
      <c r="J171" s="271"/>
      <c r="K171" s="271"/>
      <c r="L171" s="271"/>
    </row>
    <row r="172" spans="1:12">
      <c r="A172" s="271" t="s">
        <v>283</v>
      </c>
      <c r="B172" s="272">
        <v>1370000</v>
      </c>
      <c r="C172" s="301" t="s">
        <v>766</v>
      </c>
      <c r="D172" s="76">
        <v>45465</v>
      </c>
      <c r="E172" s="271">
        <v>30</v>
      </c>
      <c r="F172" s="273">
        <f t="shared" si="38"/>
        <v>45495</v>
      </c>
      <c r="G172" s="271">
        <f t="shared" si="28"/>
        <v>-22</v>
      </c>
      <c r="H172" s="277">
        <f t="shared" si="43"/>
        <v>1370000</v>
      </c>
      <c r="I172" s="271"/>
      <c r="J172" s="271"/>
      <c r="K172" s="271"/>
      <c r="L172" s="271"/>
    </row>
    <row r="173" spans="1:12">
      <c r="A173" s="271"/>
      <c r="B173" s="272"/>
      <c r="C173" s="271"/>
      <c r="D173" s="305"/>
      <c r="E173" s="271"/>
      <c r="F173" s="271"/>
      <c r="G173" s="271"/>
      <c r="H173" s="271"/>
      <c r="I173" s="271"/>
      <c r="J173" s="271"/>
      <c r="K173" s="271"/>
      <c r="L173" s="271"/>
    </row>
    <row r="174" spans="1:12">
      <c r="A174" s="271" t="s">
        <v>709</v>
      </c>
      <c r="B174" s="272">
        <v>27990000</v>
      </c>
      <c r="C174" s="271">
        <v>109</v>
      </c>
      <c r="D174" s="306">
        <v>45370</v>
      </c>
      <c r="E174" s="271">
        <v>30</v>
      </c>
      <c r="F174" s="273">
        <f t="shared" ref="F174:F176" si="44">D174+E174</f>
        <v>45400</v>
      </c>
      <c r="G174" s="271">
        <f t="shared" si="28"/>
        <v>73</v>
      </c>
      <c r="H174" s="271"/>
      <c r="I174" s="271"/>
      <c r="J174" s="271"/>
      <c r="K174" s="277">
        <f>B174</f>
        <v>27990000</v>
      </c>
      <c r="L174" s="271"/>
    </row>
    <row r="175" spans="1:12">
      <c r="A175" s="271" t="s">
        <v>709</v>
      </c>
      <c r="B175" s="272">
        <v>6500000</v>
      </c>
      <c r="C175" s="271">
        <v>186</v>
      </c>
      <c r="D175" s="306">
        <v>45429</v>
      </c>
      <c r="E175" s="271">
        <v>30</v>
      </c>
      <c r="F175" s="273">
        <f t="shared" si="44"/>
        <v>45459</v>
      </c>
      <c r="G175" s="271">
        <f t="shared" ref="G175:G223" si="45">$A$3-F175</f>
        <v>14</v>
      </c>
      <c r="H175" s="271"/>
      <c r="I175" s="277">
        <f t="shared" ref="I175:I176" si="46">B175</f>
        <v>6500000</v>
      </c>
      <c r="J175" s="271"/>
      <c r="K175" s="271"/>
      <c r="L175" s="271"/>
    </row>
    <row r="176" spans="1:12">
      <c r="A176" s="271" t="s">
        <v>709</v>
      </c>
      <c r="B176" s="272">
        <v>18840000</v>
      </c>
      <c r="C176" s="271">
        <v>187</v>
      </c>
      <c r="D176" s="306">
        <v>45429</v>
      </c>
      <c r="E176" s="271">
        <v>30</v>
      </c>
      <c r="F176" s="273">
        <f t="shared" si="44"/>
        <v>45459</v>
      </c>
      <c r="G176" s="271">
        <f t="shared" si="45"/>
        <v>14</v>
      </c>
      <c r="H176" s="271"/>
      <c r="I176" s="277">
        <f t="shared" si="46"/>
        <v>18840000</v>
      </c>
      <c r="J176" s="271"/>
      <c r="K176" s="271"/>
      <c r="L176" s="271"/>
    </row>
    <row r="177" spans="1:12">
      <c r="A177" s="271"/>
      <c r="B177" s="272"/>
      <c r="C177" s="271"/>
      <c r="D177" s="305"/>
      <c r="E177" s="271"/>
      <c r="F177" s="271"/>
      <c r="G177" s="271"/>
      <c r="H177" s="271"/>
      <c r="I177" s="271"/>
      <c r="J177" s="271"/>
      <c r="K177" s="271"/>
      <c r="L177" s="271"/>
    </row>
    <row r="178" spans="1:12">
      <c r="A178" s="271" t="s">
        <v>710</v>
      </c>
      <c r="B178" s="272">
        <v>37670000</v>
      </c>
      <c r="C178" s="271">
        <v>159</v>
      </c>
      <c r="D178" s="306">
        <v>45414</v>
      </c>
      <c r="E178" s="271">
        <v>30</v>
      </c>
      <c r="F178" s="273">
        <f t="shared" ref="F178:F181" si="47">D178+E178</f>
        <v>45444</v>
      </c>
      <c r="G178" s="271">
        <f t="shared" si="45"/>
        <v>29</v>
      </c>
      <c r="H178" s="271"/>
      <c r="I178" s="277">
        <f>B178</f>
        <v>37670000</v>
      </c>
      <c r="J178" s="271"/>
      <c r="K178" s="271"/>
      <c r="L178" s="271"/>
    </row>
    <row r="179" spans="1:12">
      <c r="A179" s="271" t="s">
        <v>710</v>
      </c>
      <c r="B179" s="272">
        <v>6250000</v>
      </c>
      <c r="C179" s="271">
        <v>233</v>
      </c>
      <c r="D179" s="306">
        <v>45450</v>
      </c>
      <c r="E179" s="271">
        <v>30</v>
      </c>
      <c r="F179" s="273">
        <f t="shared" si="47"/>
        <v>45480</v>
      </c>
      <c r="G179" s="271">
        <f t="shared" si="45"/>
        <v>-7</v>
      </c>
      <c r="H179" s="277">
        <f t="shared" ref="H179:H181" si="48">B179</f>
        <v>6250000</v>
      </c>
      <c r="I179" s="271"/>
      <c r="J179" s="271"/>
      <c r="K179" s="271"/>
      <c r="L179" s="271"/>
    </row>
    <row r="180" spans="1:12">
      <c r="A180" s="271" t="s">
        <v>710</v>
      </c>
      <c r="B180" s="272">
        <v>9375000</v>
      </c>
      <c r="C180" s="271">
        <v>255</v>
      </c>
      <c r="D180" s="306">
        <v>45468</v>
      </c>
      <c r="E180" s="271">
        <v>30</v>
      </c>
      <c r="F180" s="273">
        <f t="shared" si="47"/>
        <v>45498</v>
      </c>
      <c r="G180" s="271">
        <f t="shared" si="45"/>
        <v>-25</v>
      </c>
      <c r="H180" s="277">
        <f t="shared" si="48"/>
        <v>9375000</v>
      </c>
      <c r="I180" s="271"/>
      <c r="J180" s="271"/>
      <c r="K180" s="271"/>
      <c r="L180" s="271"/>
    </row>
    <row r="181" spans="1:12">
      <c r="A181" s="271" t="s">
        <v>710</v>
      </c>
      <c r="B181" s="272">
        <v>57525000</v>
      </c>
      <c r="C181" s="271">
        <v>256</v>
      </c>
      <c r="D181" s="306">
        <v>45469</v>
      </c>
      <c r="E181" s="271">
        <v>30</v>
      </c>
      <c r="F181" s="273">
        <f t="shared" si="47"/>
        <v>45499</v>
      </c>
      <c r="G181" s="271">
        <f t="shared" si="45"/>
        <v>-26</v>
      </c>
      <c r="H181" s="277">
        <f t="shared" si="48"/>
        <v>57525000</v>
      </c>
      <c r="I181" s="271"/>
      <c r="J181" s="271"/>
      <c r="K181" s="271"/>
      <c r="L181" s="271"/>
    </row>
    <row r="182" spans="1:12">
      <c r="A182" s="271"/>
      <c r="B182" s="272"/>
      <c r="C182" s="271"/>
      <c r="D182" s="305"/>
      <c r="E182" s="271"/>
      <c r="F182" s="271"/>
      <c r="G182" s="271"/>
      <c r="H182" s="271"/>
      <c r="I182" s="271"/>
      <c r="J182" s="271"/>
      <c r="K182" s="271"/>
      <c r="L182" s="271"/>
    </row>
    <row r="183" spans="1:12">
      <c r="A183" s="271" t="s">
        <v>34</v>
      </c>
      <c r="B183" s="272">
        <v>144000015</v>
      </c>
      <c r="C183" s="271">
        <v>176</v>
      </c>
      <c r="D183" s="306">
        <v>45448</v>
      </c>
      <c r="E183" s="271">
        <v>30</v>
      </c>
      <c r="F183" s="273">
        <f t="shared" ref="F183:F184" si="49">D183+E183</f>
        <v>45478</v>
      </c>
      <c r="G183" s="271">
        <f t="shared" si="45"/>
        <v>-5</v>
      </c>
      <c r="H183" s="277">
        <f t="shared" ref="H183:H184" si="50">B183</f>
        <v>144000015</v>
      </c>
      <c r="I183" s="271"/>
      <c r="J183" s="271"/>
      <c r="K183" s="271"/>
      <c r="L183" s="271"/>
    </row>
    <row r="184" spans="1:12">
      <c r="A184" s="271" t="s">
        <v>34</v>
      </c>
      <c r="B184" s="272">
        <v>72000006</v>
      </c>
      <c r="C184" s="271">
        <v>230</v>
      </c>
      <c r="D184" s="306">
        <v>45448</v>
      </c>
      <c r="E184" s="271">
        <v>30</v>
      </c>
      <c r="F184" s="273">
        <f t="shared" si="49"/>
        <v>45478</v>
      </c>
      <c r="G184" s="271">
        <f t="shared" si="45"/>
        <v>-5</v>
      </c>
      <c r="H184" s="277">
        <f t="shared" si="50"/>
        <v>72000006</v>
      </c>
      <c r="I184" s="271"/>
      <c r="J184" s="271"/>
      <c r="K184" s="271"/>
      <c r="L184" s="271"/>
    </row>
    <row r="185" spans="1:12">
      <c r="A185" s="271"/>
      <c r="B185" s="272"/>
      <c r="C185" s="271"/>
      <c r="D185" s="305"/>
      <c r="E185" s="271"/>
      <c r="F185" s="271"/>
      <c r="G185" s="271"/>
      <c r="H185" s="271"/>
      <c r="I185" s="271"/>
      <c r="J185" s="271"/>
      <c r="K185" s="271"/>
      <c r="L185" s="271"/>
    </row>
    <row r="186" spans="1:12">
      <c r="A186" s="271" t="s">
        <v>711</v>
      </c>
      <c r="B186" s="272">
        <v>30600000</v>
      </c>
      <c r="C186" s="271">
        <v>26</v>
      </c>
      <c r="D186" s="306">
        <v>45454</v>
      </c>
      <c r="E186" s="271">
        <v>30</v>
      </c>
      <c r="F186" s="273">
        <f t="shared" ref="F186" si="51">D186+E186</f>
        <v>45484</v>
      </c>
      <c r="G186" s="271">
        <f t="shared" si="45"/>
        <v>-11</v>
      </c>
      <c r="H186" s="277">
        <f>B186</f>
        <v>30600000</v>
      </c>
      <c r="I186" s="271"/>
      <c r="J186" s="271"/>
      <c r="K186" s="271"/>
      <c r="L186" s="271"/>
    </row>
    <row r="187" spans="1:12">
      <c r="A187" s="271"/>
      <c r="B187" s="272"/>
      <c r="C187" s="271"/>
      <c r="D187" s="305"/>
      <c r="E187" s="271"/>
      <c r="F187" s="271"/>
      <c r="G187" s="271"/>
      <c r="H187" s="271"/>
      <c r="I187" s="271"/>
      <c r="J187" s="271"/>
      <c r="K187" s="271"/>
      <c r="L187" s="271"/>
    </row>
    <row r="188" spans="1:12">
      <c r="A188" s="271" t="s">
        <v>297</v>
      </c>
      <c r="B188" s="314">
        <f>136316784.86*0</f>
        <v>0</v>
      </c>
      <c r="C188" s="291" t="s">
        <v>767</v>
      </c>
      <c r="D188" s="76">
        <v>45454</v>
      </c>
      <c r="E188" s="271">
        <v>30</v>
      </c>
      <c r="F188" s="273">
        <f t="shared" ref="F188:F200" si="52">D188+E188</f>
        <v>45484</v>
      </c>
      <c r="G188" s="271">
        <f t="shared" si="45"/>
        <v>-11</v>
      </c>
      <c r="H188" s="277">
        <f t="shared" ref="H188:H200" si="53">B188</f>
        <v>0</v>
      </c>
      <c r="I188" s="271"/>
      <c r="J188" s="271"/>
      <c r="K188" s="271"/>
      <c r="L188" s="271"/>
    </row>
    <row r="189" spans="1:12">
      <c r="A189" s="271" t="s">
        <v>297</v>
      </c>
      <c r="B189" s="314">
        <f>112737198.57*0</f>
        <v>0</v>
      </c>
      <c r="C189" s="291" t="s">
        <v>689</v>
      </c>
      <c r="D189" s="76">
        <v>45454</v>
      </c>
      <c r="E189" s="271">
        <v>30</v>
      </c>
      <c r="F189" s="273">
        <f t="shared" si="52"/>
        <v>45484</v>
      </c>
      <c r="G189" s="271">
        <f t="shared" si="45"/>
        <v>-11</v>
      </c>
      <c r="H189" s="277">
        <f t="shared" si="53"/>
        <v>0</v>
      </c>
      <c r="I189" s="271"/>
      <c r="J189" s="271"/>
      <c r="K189" s="271"/>
      <c r="L189" s="271"/>
    </row>
    <row r="190" spans="1:12">
      <c r="A190" s="271" t="s">
        <v>297</v>
      </c>
      <c r="B190" s="314">
        <f>110884664.51*0</f>
        <v>0</v>
      </c>
      <c r="C190" s="291" t="s">
        <v>690</v>
      </c>
      <c r="D190" s="76">
        <v>45454</v>
      </c>
      <c r="E190" s="271">
        <v>30</v>
      </c>
      <c r="F190" s="273">
        <f t="shared" si="52"/>
        <v>45484</v>
      </c>
      <c r="G190" s="271">
        <f t="shared" si="45"/>
        <v>-11</v>
      </c>
      <c r="H190" s="277">
        <f t="shared" si="53"/>
        <v>0</v>
      </c>
      <c r="I190" s="271"/>
      <c r="J190" s="271"/>
      <c r="K190" s="271"/>
      <c r="L190" s="271"/>
    </row>
    <row r="191" spans="1:12">
      <c r="A191" s="271" t="s">
        <v>297</v>
      </c>
      <c r="B191" s="272">
        <v>196961911.06</v>
      </c>
      <c r="C191" s="291" t="s">
        <v>683</v>
      </c>
      <c r="D191" s="76">
        <v>45454</v>
      </c>
      <c r="E191" s="271">
        <v>30</v>
      </c>
      <c r="F191" s="273">
        <f t="shared" si="52"/>
        <v>45484</v>
      </c>
      <c r="G191" s="271">
        <f t="shared" si="45"/>
        <v>-11</v>
      </c>
      <c r="H191" s="277">
        <f t="shared" si="53"/>
        <v>196961911.06</v>
      </c>
      <c r="I191" s="271"/>
      <c r="J191" s="271"/>
      <c r="K191" s="271"/>
      <c r="L191" s="271"/>
    </row>
    <row r="192" spans="1:12">
      <c r="A192" s="271" t="s">
        <v>297</v>
      </c>
      <c r="B192" s="272">
        <v>33881106.880000003</v>
      </c>
      <c r="C192" s="291" t="s">
        <v>684</v>
      </c>
      <c r="D192" s="76">
        <v>45456</v>
      </c>
      <c r="E192" s="271">
        <v>30</v>
      </c>
      <c r="F192" s="273">
        <f t="shared" si="52"/>
        <v>45486</v>
      </c>
      <c r="G192" s="271">
        <f t="shared" si="45"/>
        <v>-13</v>
      </c>
      <c r="H192" s="277">
        <f t="shared" si="53"/>
        <v>33881106.880000003</v>
      </c>
      <c r="I192" s="271"/>
      <c r="J192" s="271"/>
      <c r="K192" s="271"/>
      <c r="L192" s="271"/>
    </row>
    <row r="193" spans="1:12">
      <c r="A193" s="271" t="s">
        <v>297</v>
      </c>
      <c r="B193" s="272">
        <v>157116317.69999999</v>
      </c>
      <c r="C193" s="291" t="s">
        <v>685</v>
      </c>
      <c r="D193" s="76">
        <v>45456</v>
      </c>
      <c r="E193" s="271">
        <v>30</v>
      </c>
      <c r="F193" s="273">
        <f t="shared" si="52"/>
        <v>45486</v>
      </c>
      <c r="G193" s="271">
        <f t="shared" si="45"/>
        <v>-13</v>
      </c>
      <c r="H193" s="277">
        <f t="shared" si="53"/>
        <v>157116317.69999999</v>
      </c>
      <c r="I193" s="271"/>
      <c r="J193" s="271"/>
      <c r="K193" s="271"/>
      <c r="L193" s="271"/>
    </row>
    <row r="194" spans="1:12">
      <c r="A194" s="271" t="s">
        <v>297</v>
      </c>
      <c r="B194" s="272">
        <v>292248000.81</v>
      </c>
      <c r="C194" s="291" t="s">
        <v>686</v>
      </c>
      <c r="D194" s="76">
        <v>45456</v>
      </c>
      <c r="E194" s="271">
        <v>30</v>
      </c>
      <c r="F194" s="273">
        <f t="shared" si="52"/>
        <v>45486</v>
      </c>
      <c r="G194" s="271">
        <f t="shared" si="45"/>
        <v>-13</v>
      </c>
      <c r="H194" s="277">
        <f t="shared" si="53"/>
        <v>292248000.81</v>
      </c>
      <c r="I194" s="271"/>
      <c r="J194" s="271"/>
      <c r="K194" s="271"/>
      <c r="L194" s="271"/>
    </row>
    <row r="195" spans="1:12">
      <c r="A195" s="271" t="s">
        <v>297</v>
      </c>
      <c r="B195" s="272">
        <v>127969215.09</v>
      </c>
      <c r="C195" s="291" t="s">
        <v>768</v>
      </c>
      <c r="D195" s="76">
        <v>45458</v>
      </c>
      <c r="E195" s="271">
        <v>30</v>
      </c>
      <c r="F195" s="273">
        <f t="shared" si="52"/>
        <v>45488</v>
      </c>
      <c r="G195" s="271">
        <f t="shared" si="45"/>
        <v>-15</v>
      </c>
      <c r="H195" s="277">
        <f t="shared" si="53"/>
        <v>127969215.09</v>
      </c>
      <c r="I195" s="271"/>
      <c r="J195" s="271"/>
      <c r="K195" s="271"/>
      <c r="L195" s="271"/>
    </row>
    <row r="196" spans="1:12">
      <c r="A196" s="271" t="s">
        <v>297</v>
      </c>
      <c r="B196" s="272">
        <v>201769796.22999999</v>
      </c>
      <c r="C196" s="291" t="s">
        <v>692</v>
      </c>
      <c r="D196" s="76">
        <v>45458</v>
      </c>
      <c r="E196" s="271">
        <v>30</v>
      </c>
      <c r="F196" s="273">
        <f t="shared" si="52"/>
        <v>45488</v>
      </c>
      <c r="G196" s="271">
        <f t="shared" si="45"/>
        <v>-15</v>
      </c>
      <c r="H196" s="277">
        <f t="shared" si="53"/>
        <v>201769796.22999999</v>
      </c>
      <c r="I196" s="271"/>
      <c r="J196" s="271"/>
      <c r="K196" s="271"/>
      <c r="L196" s="271"/>
    </row>
    <row r="197" spans="1:12">
      <c r="A197" s="271" t="s">
        <v>297</v>
      </c>
      <c r="B197" s="314">
        <f>140348950.18*0</f>
        <v>0</v>
      </c>
      <c r="C197" s="291" t="s">
        <v>769</v>
      </c>
      <c r="D197" s="76">
        <v>45464</v>
      </c>
      <c r="E197" s="271">
        <v>30</v>
      </c>
      <c r="F197" s="273">
        <f t="shared" si="52"/>
        <v>45494</v>
      </c>
      <c r="G197" s="271">
        <f t="shared" si="45"/>
        <v>-21</v>
      </c>
      <c r="H197" s="277">
        <f t="shared" si="53"/>
        <v>0</v>
      </c>
      <c r="I197" s="271"/>
      <c r="J197" s="271"/>
      <c r="K197" s="271"/>
      <c r="L197" s="271"/>
    </row>
    <row r="198" spans="1:12">
      <c r="A198" s="271" t="s">
        <v>297</v>
      </c>
      <c r="B198" s="314">
        <f>59624049.23-17257698</f>
        <v>42366351.229999997</v>
      </c>
      <c r="C198" s="291" t="s">
        <v>770</v>
      </c>
      <c r="D198" s="76">
        <v>45470</v>
      </c>
      <c r="E198" s="271">
        <v>30</v>
      </c>
      <c r="F198" s="273">
        <f t="shared" si="52"/>
        <v>45500</v>
      </c>
      <c r="G198" s="271">
        <f t="shared" si="45"/>
        <v>-27</v>
      </c>
      <c r="H198" s="277">
        <f t="shared" si="53"/>
        <v>42366351.229999997</v>
      </c>
      <c r="I198" s="271"/>
      <c r="J198" s="271"/>
      <c r="K198" s="271"/>
      <c r="L198" s="271"/>
    </row>
    <row r="199" spans="1:12">
      <c r="A199" s="271" t="s">
        <v>297</v>
      </c>
      <c r="B199" s="272">
        <v>86364665.140000001</v>
      </c>
      <c r="C199" s="291" t="s">
        <v>771</v>
      </c>
      <c r="D199" s="76">
        <v>45471</v>
      </c>
      <c r="E199" s="271">
        <v>30</v>
      </c>
      <c r="F199" s="273">
        <f t="shared" si="52"/>
        <v>45501</v>
      </c>
      <c r="G199" s="271">
        <f t="shared" si="45"/>
        <v>-28</v>
      </c>
      <c r="H199" s="277">
        <f t="shared" si="53"/>
        <v>86364665.140000001</v>
      </c>
      <c r="I199" s="271"/>
      <c r="J199" s="271"/>
      <c r="K199" s="271"/>
      <c r="L199" s="271"/>
    </row>
    <row r="200" spans="1:12">
      <c r="A200" s="271" t="s">
        <v>297</v>
      </c>
      <c r="B200" s="272">
        <v>241120502.90000001</v>
      </c>
      <c r="C200" s="291" t="s">
        <v>772</v>
      </c>
      <c r="D200" s="76">
        <v>45472</v>
      </c>
      <c r="E200" s="271">
        <v>30</v>
      </c>
      <c r="F200" s="273">
        <f t="shared" si="52"/>
        <v>45502</v>
      </c>
      <c r="G200" s="271">
        <f t="shared" si="45"/>
        <v>-29</v>
      </c>
      <c r="H200" s="277">
        <f t="shared" si="53"/>
        <v>241120502.90000001</v>
      </c>
      <c r="I200" s="271"/>
      <c r="J200" s="271"/>
      <c r="K200" s="271"/>
      <c r="L200" s="271"/>
    </row>
    <row r="201" spans="1:12">
      <c r="A201" s="271"/>
      <c r="B201" s="272"/>
      <c r="C201" s="271"/>
      <c r="D201" s="76"/>
      <c r="E201" s="271"/>
      <c r="F201" s="271"/>
      <c r="G201" s="271"/>
      <c r="H201" s="271"/>
      <c r="I201" s="271"/>
      <c r="J201" s="271"/>
      <c r="K201" s="271"/>
      <c r="L201" s="271"/>
    </row>
    <row r="202" spans="1:12">
      <c r="A202" s="271" t="s">
        <v>298</v>
      </c>
      <c r="B202" s="272">
        <v>310906705.04999924</v>
      </c>
      <c r="C202" s="271">
        <v>76</v>
      </c>
      <c r="D202" s="76">
        <v>44956</v>
      </c>
      <c r="E202" s="271">
        <v>30</v>
      </c>
      <c r="F202" s="273">
        <f t="shared" ref="F202" si="54">D202+E202</f>
        <v>44986</v>
      </c>
      <c r="G202" s="271">
        <f t="shared" si="45"/>
        <v>487</v>
      </c>
      <c r="H202" s="271"/>
      <c r="I202" s="271"/>
      <c r="J202" s="271"/>
      <c r="K202" s="271"/>
      <c r="L202" s="277">
        <f>B202</f>
        <v>310906705.04999924</v>
      </c>
    </row>
    <row r="203" spans="1:12">
      <c r="A203" s="271"/>
      <c r="B203" s="272"/>
      <c r="C203" s="271"/>
      <c r="D203" s="76"/>
      <c r="E203" s="271"/>
      <c r="F203" s="271"/>
      <c r="G203" s="271"/>
      <c r="H203" s="271"/>
      <c r="I203" s="271"/>
      <c r="J203" s="271"/>
      <c r="K203" s="271"/>
      <c r="L203" s="271"/>
    </row>
    <row r="204" spans="1:12">
      <c r="A204" s="271" t="s">
        <v>300</v>
      </c>
      <c r="B204" s="272">
        <v>640197.62000083923</v>
      </c>
      <c r="C204" s="271">
        <v>179</v>
      </c>
      <c r="D204" s="76">
        <v>45449</v>
      </c>
      <c r="E204" s="271">
        <v>30</v>
      </c>
      <c r="F204" s="273">
        <f t="shared" ref="F204:F221" si="55">D204+E204</f>
        <v>45479</v>
      </c>
      <c r="G204" s="271">
        <f t="shared" si="45"/>
        <v>-6</v>
      </c>
      <c r="H204" s="277">
        <f t="shared" ref="H204:H221" si="56">B204</f>
        <v>640197.62000083923</v>
      </c>
      <c r="I204" s="271"/>
      <c r="J204" s="271"/>
      <c r="K204" s="271"/>
      <c r="L204" s="271"/>
    </row>
    <row r="205" spans="1:12">
      <c r="A205" s="271" t="s">
        <v>300</v>
      </c>
      <c r="B205" s="272">
        <v>113881779</v>
      </c>
      <c r="C205" s="271">
        <v>197</v>
      </c>
      <c r="D205" s="76">
        <v>45451</v>
      </c>
      <c r="E205" s="271">
        <v>30</v>
      </c>
      <c r="F205" s="273">
        <f t="shared" si="55"/>
        <v>45481</v>
      </c>
      <c r="G205" s="271">
        <f t="shared" si="45"/>
        <v>-8</v>
      </c>
      <c r="H205" s="277">
        <f t="shared" si="56"/>
        <v>113881779</v>
      </c>
      <c r="I205" s="271"/>
      <c r="J205" s="271"/>
      <c r="K205" s="271"/>
      <c r="L205" s="271"/>
    </row>
    <row r="206" spans="1:12">
      <c r="A206" s="271" t="s">
        <v>300</v>
      </c>
      <c r="B206" s="272">
        <v>154679317</v>
      </c>
      <c r="C206" s="271">
        <v>198</v>
      </c>
      <c r="D206" s="76">
        <v>45451</v>
      </c>
      <c r="E206" s="271">
        <v>30</v>
      </c>
      <c r="F206" s="273">
        <f t="shared" si="55"/>
        <v>45481</v>
      </c>
      <c r="G206" s="271">
        <f t="shared" si="45"/>
        <v>-8</v>
      </c>
      <c r="H206" s="277">
        <f t="shared" si="56"/>
        <v>154679317</v>
      </c>
      <c r="I206" s="271"/>
      <c r="J206" s="271"/>
      <c r="K206" s="271"/>
      <c r="L206" s="271"/>
    </row>
    <row r="207" spans="1:12">
      <c r="A207" s="271" t="s">
        <v>300</v>
      </c>
      <c r="B207" s="272">
        <v>49374830</v>
      </c>
      <c r="C207" s="271">
        <v>201</v>
      </c>
      <c r="D207" s="76">
        <v>45451</v>
      </c>
      <c r="E207" s="271">
        <v>30</v>
      </c>
      <c r="F207" s="273">
        <f t="shared" si="55"/>
        <v>45481</v>
      </c>
      <c r="G207" s="271">
        <f t="shared" si="45"/>
        <v>-8</v>
      </c>
      <c r="H207" s="277">
        <f t="shared" si="56"/>
        <v>49374830</v>
      </c>
      <c r="I207" s="271"/>
      <c r="J207" s="271"/>
      <c r="K207" s="271"/>
      <c r="L207" s="271"/>
    </row>
    <row r="208" spans="1:12">
      <c r="A208" s="271" t="s">
        <v>300</v>
      </c>
      <c r="B208" s="272">
        <v>113310229</v>
      </c>
      <c r="C208" s="271">
        <v>202</v>
      </c>
      <c r="D208" s="76">
        <v>45451</v>
      </c>
      <c r="E208" s="271">
        <v>30</v>
      </c>
      <c r="F208" s="273">
        <f t="shared" si="55"/>
        <v>45481</v>
      </c>
      <c r="G208" s="271">
        <f t="shared" si="45"/>
        <v>-8</v>
      </c>
      <c r="H208" s="277">
        <f t="shared" si="56"/>
        <v>113310229</v>
      </c>
      <c r="I208" s="271"/>
      <c r="J208" s="271"/>
      <c r="K208" s="271"/>
      <c r="L208" s="271"/>
    </row>
    <row r="209" spans="1:12">
      <c r="A209" s="271" t="s">
        <v>300</v>
      </c>
      <c r="B209" s="272">
        <v>15181685</v>
      </c>
      <c r="C209" s="271">
        <v>203</v>
      </c>
      <c r="D209" s="76">
        <v>45453</v>
      </c>
      <c r="E209" s="271">
        <v>30</v>
      </c>
      <c r="F209" s="273">
        <f t="shared" si="55"/>
        <v>45483</v>
      </c>
      <c r="G209" s="271">
        <f t="shared" si="45"/>
        <v>-10</v>
      </c>
      <c r="H209" s="277">
        <f t="shared" si="56"/>
        <v>15181685</v>
      </c>
      <c r="I209" s="271"/>
      <c r="J209" s="271"/>
      <c r="K209" s="271"/>
      <c r="L209" s="271"/>
    </row>
    <row r="210" spans="1:12">
      <c r="A210" s="271" t="s">
        <v>300</v>
      </c>
      <c r="B210" s="272">
        <v>12403130</v>
      </c>
      <c r="C210" s="271">
        <v>205</v>
      </c>
      <c r="D210" s="76">
        <v>45453</v>
      </c>
      <c r="E210" s="271">
        <v>30</v>
      </c>
      <c r="F210" s="273">
        <f t="shared" si="55"/>
        <v>45483</v>
      </c>
      <c r="G210" s="271">
        <f t="shared" si="45"/>
        <v>-10</v>
      </c>
      <c r="H210" s="277">
        <f t="shared" si="56"/>
        <v>12403130</v>
      </c>
      <c r="I210" s="271"/>
      <c r="J210" s="271"/>
      <c r="K210" s="271"/>
      <c r="L210" s="271"/>
    </row>
    <row r="211" spans="1:12">
      <c r="A211" s="271" t="s">
        <v>300</v>
      </c>
      <c r="B211" s="272">
        <v>55650724</v>
      </c>
      <c r="C211" s="271">
        <v>206</v>
      </c>
      <c r="D211" s="76">
        <v>45454</v>
      </c>
      <c r="E211" s="271">
        <v>30</v>
      </c>
      <c r="F211" s="273">
        <f t="shared" si="55"/>
        <v>45484</v>
      </c>
      <c r="G211" s="271">
        <f t="shared" si="45"/>
        <v>-11</v>
      </c>
      <c r="H211" s="277">
        <f t="shared" si="56"/>
        <v>55650724</v>
      </c>
      <c r="I211" s="271"/>
      <c r="J211" s="271"/>
      <c r="K211" s="271"/>
      <c r="L211" s="271"/>
    </row>
    <row r="212" spans="1:12">
      <c r="A212" s="271" t="s">
        <v>300</v>
      </c>
      <c r="B212" s="272">
        <v>75185430</v>
      </c>
      <c r="C212" s="271">
        <v>207</v>
      </c>
      <c r="D212" s="76">
        <v>45454</v>
      </c>
      <c r="E212" s="271">
        <v>30</v>
      </c>
      <c r="F212" s="273">
        <f t="shared" si="55"/>
        <v>45484</v>
      </c>
      <c r="G212" s="271">
        <f t="shared" si="45"/>
        <v>-11</v>
      </c>
      <c r="H212" s="277">
        <f t="shared" si="56"/>
        <v>75185430</v>
      </c>
      <c r="I212" s="271"/>
      <c r="J212" s="271"/>
      <c r="K212" s="271"/>
      <c r="L212" s="271"/>
    </row>
    <row r="213" spans="1:12">
      <c r="A213" s="271" t="s">
        <v>300</v>
      </c>
      <c r="B213" s="272">
        <v>35031949</v>
      </c>
      <c r="C213" s="271">
        <v>216</v>
      </c>
      <c r="D213" s="76">
        <v>45457</v>
      </c>
      <c r="E213" s="271">
        <v>30</v>
      </c>
      <c r="F213" s="273">
        <f t="shared" si="55"/>
        <v>45487</v>
      </c>
      <c r="G213" s="271">
        <f t="shared" si="45"/>
        <v>-14</v>
      </c>
      <c r="H213" s="277">
        <f t="shared" si="56"/>
        <v>35031949</v>
      </c>
      <c r="I213" s="271"/>
      <c r="J213" s="271"/>
      <c r="K213" s="271"/>
      <c r="L213" s="271"/>
    </row>
    <row r="214" spans="1:12">
      <c r="A214" s="271" t="s">
        <v>300</v>
      </c>
      <c r="B214" s="272">
        <v>55481006</v>
      </c>
      <c r="C214" s="271">
        <v>219</v>
      </c>
      <c r="D214" s="76">
        <v>45458</v>
      </c>
      <c r="E214" s="271">
        <v>30</v>
      </c>
      <c r="F214" s="273">
        <f t="shared" si="55"/>
        <v>45488</v>
      </c>
      <c r="G214" s="271">
        <f t="shared" si="45"/>
        <v>-15</v>
      </c>
      <c r="H214" s="277">
        <f t="shared" si="56"/>
        <v>55481006</v>
      </c>
      <c r="I214" s="271"/>
      <c r="J214" s="271"/>
      <c r="K214" s="271"/>
      <c r="L214" s="271"/>
    </row>
    <row r="215" spans="1:12">
      <c r="A215" s="271" t="s">
        <v>300</v>
      </c>
      <c r="B215" s="272">
        <v>173598642</v>
      </c>
      <c r="C215" s="271">
        <v>221</v>
      </c>
      <c r="D215" s="76">
        <v>45461</v>
      </c>
      <c r="E215" s="271">
        <v>30</v>
      </c>
      <c r="F215" s="273">
        <f t="shared" si="55"/>
        <v>45491</v>
      </c>
      <c r="G215" s="271">
        <f t="shared" si="45"/>
        <v>-18</v>
      </c>
      <c r="H215" s="277">
        <f t="shared" si="56"/>
        <v>173598642</v>
      </c>
      <c r="I215" s="271"/>
      <c r="J215" s="271"/>
      <c r="K215" s="271"/>
      <c r="L215" s="271"/>
    </row>
    <row r="216" spans="1:12">
      <c r="A216" s="271" t="s">
        <v>300</v>
      </c>
      <c r="B216" s="272">
        <v>90318500</v>
      </c>
      <c r="C216" s="271">
        <v>224</v>
      </c>
      <c r="D216" s="76">
        <v>45464</v>
      </c>
      <c r="E216" s="271">
        <v>30</v>
      </c>
      <c r="F216" s="273">
        <f t="shared" si="55"/>
        <v>45494</v>
      </c>
      <c r="G216" s="271">
        <f t="shared" si="45"/>
        <v>-21</v>
      </c>
      <c r="H216" s="277">
        <f t="shared" si="56"/>
        <v>90318500</v>
      </c>
      <c r="I216" s="271"/>
      <c r="J216" s="271"/>
      <c r="K216" s="271"/>
      <c r="L216" s="271"/>
    </row>
    <row r="217" spans="1:12">
      <c r="A217" s="271" t="s">
        <v>300</v>
      </c>
      <c r="B217" s="272">
        <v>88191964</v>
      </c>
      <c r="C217" s="271">
        <v>226</v>
      </c>
      <c r="D217" s="76">
        <v>45465</v>
      </c>
      <c r="E217" s="271">
        <v>30</v>
      </c>
      <c r="F217" s="273">
        <f t="shared" si="55"/>
        <v>45495</v>
      </c>
      <c r="G217" s="271">
        <f t="shared" si="45"/>
        <v>-22</v>
      </c>
      <c r="H217" s="277">
        <f t="shared" si="56"/>
        <v>88191964</v>
      </c>
      <c r="I217" s="271"/>
      <c r="J217" s="271"/>
      <c r="K217" s="271"/>
      <c r="L217" s="271"/>
    </row>
    <row r="218" spans="1:12">
      <c r="A218" s="271" t="s">
        <v>300</v>
      </c>
      <c r="B218" s="272">
        <v>19353932</v>
      </c>
      <c r="C218" s="271">
        <v>227</v>
      </c>
      <c r="D218" s="76">
        <v>45465</v>
      </c>
      <c r="E218" s="271">
        <v>30</v>
      </c>
      <c r="F218" s="273">
        <f t="shared" si="55"/>
        <v>45495</v>
      </c>
      <c r="G218" s="271">
        <f t="shared" si="45"/>
        <v>-22</v>
      </c>
      <c r="H218" s="277">
        <f t="shared" si="56"/>
        <v>19353932</v>
      </c>
      <c r="I218" s="271"/>
      <c r="J218" s="271"/>
      <c r="K218" s="271"/>
      <c r="L218" s="271"/>
    </row>
    <row r="219" spans="1:12">
      <c r="A219" s="271" t="s">
        <v>300</v>
      </c>
      <c r="B219" s="272">
        <v>90226543</v>
      </c>
      <c r="C219" s="271">
        <v>229</v>
      </c>
      <c r="D219" s="76">
        <v>45468</v>
      </c>
      <c r="E219" s="271">
        <v>30</v>
      </c>
      <c r="F219" s="273">
        <f t="shared" si="55"/>
        <v>45498</v>
      </c>
      <c r="G219" s="271">
        <f t="shared" si="45"/>
        <v>-25</v>
      </c>
      <c r="H219" s="277">
        <f t="shared" si="56"/>
        <v>90226543</v>
      </c>
      <c r="I219" s="271"/>
      <c r="J219" s="271"/>
      <c r="K219" s="271"/>
      <c r="L219" s="271"/>
    </row>
    <row r="220" spans="1:12">
      <c r="A220" s="271" t="s">
        <v>300</v>
      </c>
      <c r="B220" s="272">
        <v>50720266</v>
      </c>
      <c r="C220" s="271">
        <v>230</v>
      </c>
      <c r="D220" s="76">
        <v>45469</v>
      </c>
      <c r="E220" s="271">
        <v>30</v>
      </c>
      <c r="F220" s="273">
        <f t="shared" si="55"/>
        <v>45499</v>
      </c>
      <c r="G220" s="271">
        <f t="shared" si="45"/>
        <v>-26</v>
      </c>
      <c r="H220" s="277">
        <f t="shared" si="56"/>
        <v>50720266</v>
      </c>
      <c r="I220" s="271"/>
      <c r="J220" s="271"/>
      <c r="K220" s="271"/>
      <c r="L220" s="271"/>
    </row>
    <row r="221" spans="1:12">
      <c r="A221" s="271" t="s">
        <v>300</v>
      </c>
      <c r="B221" s="272">
        <v>79953976</v>
      </c>
      <c r="C221" s="271">
        <v>236</v>
      </c>
      <c r="D221" s="76">
        <v>45472</v>
      </c>
      <c r="E221" s="271">
        <v>30</v>
      </c>
      <c r="F221" s="273">
        <f t="shared" si="55"/>
        <v>45502</v>
      </c>
      <c r="G221" s="271">
        <f t="shared" si="45"/>
        <v>-29</v>
      </c>
      <c r="H221" s="277">
        <f t="shared" si="56"/>
        <v>79953976</v>
      </c>
      <c r="I221" s="271"/>
      <c r="J221" s="271"/>
      <c r="K221" s="271"/>
      <c r="L221" s="271"/>
    </row>
    <row r="222" spans="1:12">
      <c r="A222" s="271"/>
      <c r="B222" s="272"/>
      <c r="C222" s="271"/>
      <c r="D222" s="76"/>
      <c r="E222" s="271"/>
      <c r="F222" s="271"/>
      <c r="G222" s="271"/>
      <c r="H222" s="271"/>
      <c r="I222" s="271"/>
      <c r="J222" s="271"/>
      <c r="K222" s="271"/>
      <c r="L222" s="271"/>
    </row>
    <row r="223" spans="1:12">
      <c r="A223" s="271" t="s">
        <v>302</v>
      </c>
      <c r="B223" s="272">
        <v>9000000</v>
      </c>
      <c r="C223" s="271">
        <v>6</v>
      </c>
      <c r="D223" s="76">
        <v>44927</v>
      </c>
      <c r="E223" s="271">
        <v>30</v>
      </c>
      <c r="F223" s="273">
        <f t="shared" ref="F223" si="57">D223+E223</f>
        <v>44957</v>
      </c>
      <c r="G223" s="271">
        <f t="shared" si="45"/>
        <v>516</v>
      </c>
      <c r="H223" s="271"/>
      <c r="I223" s="271"/>
      <c r="J223" s="271"/>
      <c r="K223" s="271"/>
      <c r="L223" s="277">
        <f>B223</f>
        <v>9000000</v>
      </c>
    </row>
    <row r="224" spans="1:12">
      <c r="A224" s="271"/>
      <c r="B224" s="272"/>
      <c r="C224" s="271"/>
      <c r="D224" s="76"/>
      <c r="E224" s="271"/>
      <c r="F224" s="271"/>
      <c r="G224" s="271"/>
      <c r="H224" s="271"/>
      <c r="I224" s="271"/>
      <c r="J224" s="271"/>
      <c r="K224" s="271"/>
      <c r="L224" s="271"/>
    </row>
    <row r="225" spans="1:12">
      <c r="A225" s="271" t="s">
        <v>253</v>
      </c>
      <c r="B225" s="272">
        <v>170311152</v>
      </c>
      <c r="C225" s="271"/>
      <c r="D225" s="76"/>
      <c r="E225" s="271"/>
      <c r="F225" s="271"/>
      <c r="G225" s="271"/>
      <c r="H225" s="271"/>
      <c r="I225" s="277">
        <f>B225</f>
        <v>170311152</v>
      </c>
      <c r="J225" s="271"/>
      <c r="K225" s="271"/>
      <c r="L225" s="271"/>
    </row>
    <row r="226" spans="1:12">
      <c r="A226" s="271"/>
      <c r="B226" s="272"/>
      <c r="C226" s="271"/>
      <c r="D226" s="76"/>
      <c r="E226" s="271"/>
      <c r="F226" s="271"/>
      <c r="G226" s="271"/>
      <c r="H226" s="271"/>
      <c r="I226" s="271"/>
      <c r="J226" s="271"/>
      <c r="K226" s="271"/>
      <c r="L226" s="271"/>
    </row>
    <row r="227" spans="1:12">
      <c r="A227" s="271"/>
      <c r="B227" s="272"/>
      <c r="C227" s="271"/>
      <c r="D227" s="76"/>
      <c r="E227" s="271"/>
      <c r="F227" s="271"/>
      <c r="G227" s="271"/>
      <c r="H227" s="271"/>
      <c r="I227" s="271"/>
      <c r="J227" s="271"/>
      <c r="K227" s="271"/>
      <c r="L227" s="271"/>
    </row>
    <row r="228" spans="1:12" s="21" customFormat="1">
      <c r="B228" s="236">
        <f>SUM(B6:B225)</f>
        <v>6809572843.1999989</v>
      </c>
      <c r="D228" s="310"/>
      <c r="H228" s="236">
        <f>SUM(H6:H225)</f>
        <v>4582327248.6600008</v>
      </c>
      <c r="I228" s="236">
        <f>SUM(I6:I225)</f>
        <v>1381916011</v>
      </c>
      <c r="J228" s="236">
        <f>SUM(J6:J225)</f>
        <v>147745253</v>
      </c>
      <c r="K228" s="236">
        <f>SUM(K6:K225)</f>
        <v>140700000</v>
      </c>
      <c r="L228" s="236">
        <f>SUM(L6:L225)</f>
        <v>556884330.53999901</v>
      </c>
    </row>
    <row r="229" spans="1:12">
      <c r="D229" s="76"/>
    </row>
  </sheetData>
  <autoFilter ref="A5:L228" xr:uid="{507F78A0-35F0-4B1D-A96F-6E8D9C3AAA8E}"/>
  <pageMargins left="0.7" right="0.7" top="0.75" bottom="0.75" header="0.3" footer="0.3"/>
  <ignoredErrors>
    <ignoredError sqref="C16:C31 C57:C90 C109:C119 C160:C172 C133:C159 C188:C200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2452-9A4A-4242-9247-9BE937E49357}">
  <sheetPr>
    <tabColor rgb="FFE6D77A"/>
  </sheetPr>
  <dimension ref="A1:L38"/>
  <sheetViews>
    <sheetView showGridLines="0" zoomScale="78" workbookViewId="0">
      <pane xSplit="2" ySplit="6" topLeftCell="C28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30.08984375" bestFit="1" customWidth="1"/>
    <col min="2" max="2" width="15.6328125" bestFit="1" customWidth="1"/>
    <col min="3" max="3" width="20.6328125" bestFit="1" customWidth="1"/>
    <col min="4" max="4" width="12.7265625" customWidth="1"/>
    <col min="5" max="5" width="12.08984375" bestFit="1" customWidth="1"/>
    <col min="6" max="6" width="18.6328125" bestFit="1" customWidth="1"/>
    <col min="7" max="7" width="10.08984375" customWidth="1"/>
    <col min="8" max="8" width="15.6328125" bestFit="1" customWidth="1"/>
    <col min="9" max="10" width="11.54296875" bestFit="1" customWidth="1"/>
    <col min="11" max="11" width="9.81640625" bestFit="1" customWidth="1"/>
    <col min="12" max="12" width="14.1796875" bestFit="1" customWidth="1"/>
  </cols>
  <sheetData>
    <row r="1" spans="1:12">
      <c r="A1" s="198" t="s">
        <v>172</v>
      </c>
    </row>
    <row r="2" spans="1:12">
      <c r="A2" s="198" t="s">
        <v>268</v>
      </c>
    </row>
    <row r="3" spans="1:12">
      <c r="A3" s="199">
        <v>45473</v>
      </c>
    </row>
    <row r="5" spans="1:12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</row>
    <row r="6" spans="1:12">
      <c r="A6" s="2" t="s">
        <v>2</v>
      </c>
      <c r="B6" s="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</row>
    <row r="7" spans="1:12">
      <c r="A7" s="271" t="s">
        <v>272</v>
      </c>
      <c r="B7" s="272">
        <v>1717455969</v>
      </c>
      <c r="C7" s="271" t="s">
        <v>501</v>
      </c>
      <c r="D7" s="273">
        <v>45280</v>
      </c>
      <c r="E7" s="271">
        <v>60</v>
      </c>
      <c r="F7" s="273">
        <f>D7+E7</f>
        <v>45340</v>
      </c>
      <c r="G7" s="271">
        <f>$A$3-F7</f>
        <v>133</v>
      </c>
      <c r="H7" s="271"/>
      <c r="I7" s="271"/>
      <c r="J7" s="271"/>
      <c r="K7" s="271"/>
      <c r="L7" s="277">
        <f>B7</f>
        <v>1717455969</v>
      </c>
    </row>
    <row r="8" spans="1:12">
      <c r="A8" s="271"/>
      <c r="B8" s="272"/>
      <c r="C8" s="271"/>
      <c r="D8" s="273"/>
      <c r="E8" s="271"/>
      <c r="F8" s="273"/>
      <c r="G8" s="271"/>
      <c r="H8" s="271"/>
      <c r="I8" s="271"/>
      <c r="J8" s="271"/>
      <c r="K8" s="271"/>
      <c r="L8" s="271"/>
    </row>
    <row r="9" spans="1:12">
      <c r="A9" s="271" t="s">
        <v>107</v>
      </c>
      <c r="B9" s="272">
        <v>1811698562.3899994</v>
      </c>
      <c r="C9" s="271"/>
      <c r="D9" s="273">
        <v>45443</v>
      </c>
      <c r="E9" s="271">
        <v>60</v>
      </c>
      <c r="F9" s="273">
        <f>D9+E9</f>
        <v>45503</v>
      </c>
      <c r="G9" s="271">
        <f>$A$3-F9</f>
        <v>-30</v>
      </c>
      <c r="H9" s="277">
        <f>B9</f>
        <v>1811698562.3899994</v>
      </c>
      <c r="I9" s="271"/>
      <c r="J9" s="271"/>
      <c r="K9" s="271"/>
      <c r="L9" s="271"/>
    </row>
    <row r="10" spans="1:12">
      <c r="A10" s="271"/>
      <c r="B10" s="272">
        <f>2175933573.2*0</f>
        <v>0</v>
      </c>
      <c r="C10" s="271" t="s">
        <v>699</v>
      </c>
      <c r="D10" s="273">
        <v>45473</v>
      </c>
      <c r="E10" s="271">
        <v>60</v>
      </c>
      <c r="F10" s="273">
        <f>D10+E10</f>
        <v>45533</v>
      </c>
      <c r="G10" s="271">
        <f>$A$3-F10</f>
        <v>-60</v>
      </c>
      <c r="H10" s="277">
        <f>B10</f>
        <v>0</v>
      </c>
      <c r="I10" s="271"/>
      <c r="J10" s="271"/>
      <c r="K10" s="271"/>
      <c r="L10" s="271"/>
    </row>
    <row r="11" spans="1:12">
      <c r="A11" s="271"/>
      <c r="B11" s="272"/>
      <c r="C11" s="271"/>
      <c r="D11" s="271"/>
      <c r="E11" s="271"/>
      <c r="F11" s="271"/>
      <c r="G11" s="271"/>
      <c r="H11" s="271"/>
      <c r="I11" s="271"/>
      <c r="J11" s="271"/>
      <c r="K11" s="271"/>
      <c r="L11" s="271"/>
    </row>
    <row r="12" spans="1:12">
      <c r="A12" s="271" t="s">
        <v>111</v>
      </c>
      <c r="B12" s="272">
        <v>1835544798.4899998</v>
      </c>
      <c r="C12" s="271"/>
      <c r="D12" s="273">
        <v>45443</v>
      </c>
      <c r="E12" s="271">
        <v>60</v>
      </c>
      <c r="F12" s="273">
        <f t="shared" ref="F12:F18" si="0">D12+E12</f>
        <v>45503</v>
      </c>
      <c r="G12" s="271">
        <f t="shared" ref="G12:G21" si="1">$A$3-F12</f>
        <v>-30</v>
      </c>
      <c r="H12" s="277">
        <f t="shared" ref="H12:H18" si="2">B12</f>
        <v>1835544798.4899998</v>
      </c>
      <c r="I12" s="271"/>
      <c r="J12" s="271"/>
      <c r="K12" s="271"/>
      <c r="L12" s="271"/>
    </row>
    <row r="13" spans="1:12">
      <c r="A13" s="271" t="s">
        <v>111</v>
      </c>
      <c r="B13" s="272">
        <v>2164365450</v>
      </c>
      <c r="C13" s="271" t="s">
        <v>700</v>
      </c>
      <c r="D13" s="273">
        <v>45473</v>
      </c>
      <c r="E13" s="271">
        <v>60</v>
      </c>
      <c r="F13" s="273">
        <f t="shared" si="0"/>
        <v>45533</v>
      </c>
      <c r="G13" s="271">
        <f t="shared" si="1"/>
        <v>-60</v>
      </c>
      <c r="H13" s="277">
        <f t="shared" si="2"/>
        <v>2164365450</v>
      </c>
      <c r="I13" s="271"/>
      <c r="J13" s="271"/>
      <c r="K13" s="271"/>
      <c r="L13" s="271"/>
    </row>
    <row r="14" spans="1:12">
      <c r="A14" s="271" t="s">
        <v>111</v>
      </c>
      <c r="B14" s="272">
        <v>1610190900</v>
      </c>
      <c r="C14" s="271" t="s">
        <v>701</v>
      </c>
      <c r="D14" s="273">
        <v>45473</v>
      </c>
      <c r="E14" s="271">
        <v>60</v>
      </c>
      <c r="F14" s="273">
        <f t="shared" si="0"/>
        <v>45533</v>
      </c>
      <c r="G14" s="271">
        <f t="shared" si="1"/>
        <v>-60</v>
      </c>
      <c r="H14" s="277">
        <f t="shared" si="2"/>
        <v>1610190900</v>
      </c>
      <c r="I14" s="271"/>
      <c r="J14" s="271"/>
      <c r="K14" s="271"/>
      <c r="L14" s="271"/>
    </row>
    <row r="15" spans="1:12">
      <c r="A15" s="271" t="s">
        <v>111</v>
      </c>
      <c r="B15" s="272">
        <v>1637213150</v>
      </c>
      <c r="C15" s="271" t="s">
        <v>702</v>
      </c>
      <c r="D15" s="273">
        <v>45473</v>
      </c>
      <c r="E15" s="271">
        <v>60</v>
      </c>
      <c r="F15" s="273">
        <f t="shared" si="0"/>
        <v>45533</v>
      </c>
      <c r="G15" s="271">
        <f t="shared" si="1"/>
        <v>-60</v>
      </c>
      <c r="H15" s="277">
        <f t="shared" si="2"/>
        <v>1637213150</v>
      </c>
      <c r="I15" s="271"/>
      <c r="J15" s="271"/>
      <c r="K15" s="271"/>
      <c r="L15" s="271"/>
    </row>
    <row r="16" spans="1:12">
      <c r="A16" s="271" t="s">
        <v>111</v>
      </c>
      <c r="B16" s="272">
        <v>1982014700</v>
      </c>
      <c r="C16" s="271" t="s">
        <v>703</v>
      </c>
      <c r="D16" s="273">
        <v>45473</v>
      </c>
      <c r="E16" s="271">
        <v>60</v>
      </c>
      <c r="F16" s="273">
        <f t="shared" si="0"/>
        <v>45533</v>
      </c>
      <c r="G16" s="271">
        <f t="shared" si="1"/>
        <v>-60</v>
      </c>
      <c r="H16" s="277">
        <f t="shared" si="2"/>
        <v>1982014700</v>
      </c>
      <c r="I16" s="271"/>
      <c r="J16" s="271"/>
      <c r="K16" s="271"/>
      <c r="L16" s="271"/>
    </row>
    <row r="17" spans="1:12">
      <c r="A17" s="271" t="s">
        <v>111</v>
      </c>
      <c r="B17" s="272">
        <v>1663775720</v>
      </c>
      <c r="C17" s="271" t="s">
        <v>704</v>
      </c>
      <c r="D17" s="273">
        <v>45473</v>
      </c>
      <c r="E17" s="271">
        <v>60</v>
      </c>
      <c r="F17" s="273">
        <f t="shared" si="0"/>
        <v>45533</v>
      </c>
      <c r="G17" s="271">
        <f t="shared" si="1"/>
        <v>-60</v>
      </c>
      <c r="H17" s="277">
        <f t="shared" si="2"/>
        <v>1663775720</v>
      </c>
      <c r="I17" s="271"/>
      <c r="J17" s="271"/>
      <c r="K17" s="271"/>
      <c r="L17" s="271"/>
    </row>
    <row r="18" spans="1:12">
      <c r="A18" s="271"/>
      <c r="B18" s="272"/>
      <c r="C18" s="271" t="s">
        <v>705</v>
      </c>
      <c r="D18" s="273">
        <v>45473</v>
      </c>
      <c r="E18" s="271">
        <v>60</v>
      </c>
      <c r="F18" s="273">
        <f t="shared" si="0"/>
        <v>45533</v>
      </c>
      <c r="G18" s="271">
        <f t="shared" si="1"/>
        <v>-60</v>
      </c>
      <c r="H18" s="277">
        <f t="shared" si="2"/>
        <v>0</v>
      </c>
      <c r="I18" s="271"/>
      <c r="J18" s="271"/>
      <c r="K18" s="271"/>
      <c r="L18" s="271"/>
    </row>
    <row r="19" spans="1:12">
      <c r="A19" s="271"/>
      <c r="B19" s="272"/>
      <c r="C19" s="271"/>
      <c r="D19" s="271"/>
      <c r="E19" s="271"/>
      <c r="F19" s="271"/>
      <c r="G19" s="271"/>
      <c r="H19" s="271"/>
      <c r="I19" s="271"/>
      <c r="J19" s="271"/>
      <c r="K19" s="271"/>
      <c r="L19" s="271"/>
    </row>
    <row r="20" spans="1:12">
      <c r="A20" s="271" t="s">
        <v>259</v>
      </c>
      <c r="B20" s="272"/>
      <c r="C20" s="271" t="s">
        <v>706</v>
      </c>
      <c r="D20" s="273">
        <v>45473</v>
      </c>
      <c r="E20" s="271">
        <v>60</v>
      </c>
      <c r="F20" s="273">
        <f t="shared" ref="F20:F21" si="3">D20+E20</f>
        <v>45533</v>
      </c>
      <c r="G20" s="271">
        <f t="shared" si="1"/>
        <v>-60</v>
      </c>
      <c r="H20" s="277">
        <f t="shared" ref="H20:H21" si="4">B20</f>
        <v>0</v>
      </c>
      <c r="I20" s="271"/>
      <c r="J20" s="271"/>
      <c r="K20" s="271"/>
      <c r="L20" s="271"/>
    </row>
    <row r="21" spans="1:12">
      <c r="A21" s="271" t="s">
        <v>259</v>
      </c>
      <c r="B21" s="272"/>
      <c r="C21" s="271" t="s">
        <v>706</v>
      </c>
      <c r="D21" s="273">
        <v>45473</v>
      </c>
      <c r="E21" s="271">
        <v>60</v>
      </c>
      <c r="F21" s="273">
        <f t="shared" si="3"/>
        <v>45533</v>
      </c>
      <c r="G21" s="271">
        <f t="shared" si="1"/>
        <v>-60</v>
      </c>
      <c r="H21" s="277">
        <f t="shared" si="4"/>
        <v>0</v>
      </c>
      <c r="I21" s="271"/>
      <c r="J21" s="271"/>
      <c r="K21" s="271"/>
      <c r="L21" s="271"/>
    </row>
    <row r="22" spans="1:12">
      <c r="A22" s="271"/>
      <c r="B22" s="272"/>
      <c r="C22" s="271"/>
      <c r="D22" s="271"/>
      <c r="E22" s="271"/>
      <c r="F22" s="271"/>
      <c r="G22" s="271"/>
      <c r="H22" s="271"/>
      <c r="I22" s="271"/>
      <c r="J22" s="271"/>
      <c r="K22" s="271"/>
      <c r="L22" s="271"/>
    </row>
    <row r="23" spans="1:12">
      <c r="A23" s="271" t="s">
        <v>698</v>
      </c>
      <c r="B23" s="272">
        <v>2323553040</v>
      </c>
      <c r="C23" s="271" t="s">
        <v>707</v>
      </c>
      <c r="D23" s="273">
        <v>45473</v>
      </c>
      <c r="E23" s="271">
        <v>60</v>
      </c>
      <c r="F23" s="273">
        <f t="shared" ref="F23:F24" si="5">D23+E23</f>
        <v>45533</v>
      </c>
      <c r="G23" s="271">
        <f t="shared" ref="G23:G24" si="6">$A$3-F23</f>
        <v>-60</v>
      </c>
      <c r="H23" s="277">
        <f t="shared" ref="H23:H24" si="7">B23</f>
        <v>2323553040</v>
      </c>
      <c r="I23" s="271"/>
      <c r="J23" s="271"/>
      <c r="K23" s="271"/>
      <c r="L23" s="271"/>
    </row>
    <row r="24" spans="1:12">
      <c r="A24" s="271" t="s">
        <v>698</v>
      </c>
      <c r="B24" s="272"/>
      <c r="C24" s="271" t="s">
        <v>708</v>
      </c>
      <c r="D24" s="273">
        <v>45473</v>
      </c>
      <c r="E24" s="271">
        <v>60</v>
      </c>
      <c r="F24" s="273">
        <f t="shared" si="5"/>
        <v>45533</v>
      </c>
      <c r="G24" s="271">
        <f t="shared" si="6"/>
        <v>-60</v>
      </c>
      <c r="H24" s="277">
        <f t="shared" si="7"/>
        <v>0</v>
      </c>
      <c r="I24" s="271"/>
      <c r="J24" s="271"/>
      <c r="K24" s="271"/>
      <c r="L24" s="271"/>
    </row>
    <row r="25" spans="1:12">
      <c r="A25" s="271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</row>
    <row r="26" spans="1:12">
      <c r="A26" s="271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</row>
    <row r="27" spans="1:12">
      <c r="A27" s="208" t="s">
        <v>113</v>
      </c>
      <c r="B27" s="272">
        <v>16380000</v>
      </c>
      <c r="C27" s="271">
        <v>39</v>
      </c>
      <c r="D27" s="273">
        <v>45296</v>
      </c>
      <c r="E27" s="271">
        <v>30</v>
      </c>
      <c r="F27" s="273">
        <f>D27+E27</f>
        <v>45326</v>
      </c>
      <c r="G27" s="271">
        <f>$A$3-F27</f>
        <v>147</v>
      </c>
      <c r="H27" s="271"/>
      <c r="I27" s="271"/>
      <c r="J27" s="271"/>
      <c r="K27" s="271"/>
      <c r="L27" s="277">
        <f>B27</f>
        <v>16380000</v>
      </c>
    </row>
    <row r="28" spans="1:12">
      <c r="A28" s="208" t="s">
        <v>113</v>
      </c>
      <c r="B28" s="272">
        <v>18060000</v>
      </c>
      <c r="C28" s="271">
        <v>256</v>
      </c>
      <c r="D28" s="273">
        <v>45324</v>
      </c>
      <c r="E28" s="271">
        <v>30</v>
      </c>
      <c r="F28" s="273">
        <f t="shared" ref="F28:F29" si="8">D28+E28</f>
        <v>45354</v>
      </c>
      <c r="G28" s="271">
        <f t="shared" ref="G28:G29" si="9">$A$3-F28</f>
        <v>119</v>
      </c>
      <c r="H28" s="271"/>
      <c r="I28" s="271"/>
      <c r="J28" s="271"/>
      <c r="K28" s="271"/>
      <c r="L28" s="277">
        <f>B28</f>
        <v>18060000</v>
      </c>
    </row>
    <row r="29" spans="1:12">
      <c r="A29" s="208" t="s">
        <v>113</v>
      </c>
      <c r="B29" s="272">
        <f>13860000-2100000</f>
        <v>11760000</v>
      </c>
      <c r="C29" s="271">
        <v>779</v>
      </c>
      <c r="D29" s="273">
        <v>45404</v>
      </c>
      <c r="E29" s="271">
        <v>30</v>
      </c>
      <c r="F29" s="273">
        <f t="shared" si="8"/>
        <v>45434</v>
      </c>
      <c r="G29" s="271">
        <f t="shared" si="9"/>
        <v>39</v>
      </c>
      <c r="H29" s="271"/>
      <c r="I29" s="271"/>
      <c r="J29" s="277">
        <f>B29</f>
        <v>11760000</v>
      </c>
      <c r="K29" s="271"/>
      <c r="L29" s="271"/>
    </row>
    <row r="30" spans="1:12">
      <c r="A30" s="208"/>
      <c r="C30" s="271"/>
      <c r="D30" s="271"/>
      <c r="E30" s="271"/>
      <c r="F30" s="271"/>
      <c r="G30" s="271"/>
      <c r="H30" s="271"/>
      <c r="I30" s="271"/>
      <c r="J30" s="271"/>
      <c r="K30" s="271"/>
      <c r="L30" s="271"/>
    </row>
    <row r="31" spans="1:12">
      <c r="A31" s="208" t="s">
        <v>125</v>
      </c>
      <c r="B31" s="272">
        <v>11700000</v>
      </c>
      <c r="C31" s="271">
        <v>688</v>
      </c>
      <c r="D31" s="273">
        <v>45472</v>
      </c>
      <c r="E31" s="271">
        <v>30</v>
      </c>
      <c r="F31" s="273">
        <f t="shared" ref="F31:F34" si="10">D31+E31</f>
        <v>45502</v>
      </c>
      <c r="G31" s="271">
        <f t="shared" ref="G31:G34" si="11">$A$3-F31</f>
        <v>-29</v>
      </c>
      <c r="H31" s="277">
        <f>B31</f>
        <v>11700000</v>
      </c>
      <c r="I31" s="277"/>
      <c r="J31" s="271"/>
      <c r="K31" s="271"/>
      <c r="L31" s="271"/>
    </row>
    <row r="32" spans="1:12">
      <c r="A32" s="208" t="s">
        <v>125</v>
      </c>
      <c r="B32" s="272">
        <v>10900000</v>
      </c>
      <c r="C32" s="271">
        <v>656</v>
      </c>
      <c r="D32" s="273">
        <v>45465</v>
      </c>
      <c r="E32" s="271">
        <v>30</v>
      </c>
      <c r="F32" s="273">
        <f t="shared" si="10"/>
        <v>45495</v>
      </c>
      <c r="G32" s="271">
        <f t="shared" si="11"/>
        <v>-22</v>
      </c>
      <c r="H32" s="277">
        <f t="shared" ref="H32:H34" si="12">B32</f>
        <v>10900000</v>
      </c>
      <c r="I32" s="277"/>
      <c r="J32" s="271"/>
      <c r="K32" s="271"/>
      <c r="L32" s="271"/>
    </row>
    <row r="33" spans="1:12">
      <c r="A33" s="208" t="s">
        <v>125</v>
      </c>
      <c r="B33" s="272">
        <v>15890000</v>
      </c>
      <c r="C33" s="271">
        <v>648</v>
      </c>
      <c r="D33" s="273">
        <v>45458</v>
      </c>
      <c r="E33" s="271">
        <v>30</v>
      </c>
      <c r="F33" s="273">
        <f t="shared" si="10"/>
        <v>45488</v>
      </c>
      <c r="G33" s="271">
        <f t="shared" si="11"/>
        <v>-15</v>
      </c>
      <c r="H33" s="277">
        <f t="shared" si="12"/>
        <v>15890000</v>
      </c>
      <c r="I33" s="277"/>
      <c r="J33" s="271"/>
      <c r="K33" s="271"/>
      <c r="L33" s="271"/>
    </row>
    <row r="34" spans="1:12">
      <c r="A34" s="208" t="s">
        <v>125</v>
      </c>
      <c r="B34" s="272">
        <v>8560000</v>
      </c>
      <c r="C34" s="271">
        <v>624</v>
      </c>
      <c r="D34" s="273">
        <v>45451</v>
      </c>
      <c r="E34" s="271">
        <v>30</v>
      </c>
      <c r="F34" s="273">
        <f t="shared" si="10"/>
        <v>45481</v>
      </c>
      <c r="G34" s="271">
        <f t="shared" si="11"/>
        <v>-8</v>
      </c>
      <c r="H34" s="277">
        <f t="shared" si="12"/>
        <v>8560000</v>
      </c>
      <c r="I34" s="277"/>
      <c r="J34" s="271"/>
      <c r="K34" s="271"/>
      <c r="L34" s="271"/>
    </row>
    <row r="35" spans="1:12">
      <c r="A35" s="208"/>
      <c r="B35" s="272"/>
      <c r="C35" s="271"/>
      <c r="D35" s="271"/>
      <c r="E35" s="271"/>
      <c r="F35" s="271"/>
      <c r="G35" s="271"/>
      <c r="H35" s="271"/>
      <c r="I35" s="277"/>
      <c r="J35" s="271"/>
      <c r="K35" s="271"/>
      <c r="L35" s="271"/>
    </row>
    <row r="36" spans="1:12">
      <c r="A36" s="208" t="s">
        <v>277</v>
      </c>
      <c r="B36" s="272">
        <v>22200777</v>
      </c>
      <c r="C36" s="271"/>
      <c r="D36" s="271"/>
      <c r="E36" s="271"/>
      <c r="F36" s="271"/>
      <c r="G36" s="271"/>
      <c r="H36" s="271"/>
      <c r="I36" s="277">
        <f>B36</f>
        <v>22200777</v>
      </c>
      <c r="J36" s="271"/>
      <c r="K36" s="271"/>
      <c r="L36" s="271"/>
    </row>
    <row r="37" spans="1:12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</row>
    <row r="38" spans="1:12">
      <c r="A38" s="271"/>
      <c r="B38" s="294">
        <f>SUM(B7:B36)</f>
        <v>16861263066.879999</v>
      </c>
      <c r="C38" s="271"/>
      <c r="D38" s="271"/>
      <c r="E38" s="271"/>
      <c r="F38" s="271"/>
      <c r="G38" s="271"/>
      <c r="H38" s="294">
        <f>SUM(H7:H36)</f>
        <v>15075406320.879999</v>
      </c>
      <c r="I38" s="294">
        <f>SUM(I7:I36)</f>
        <v>22200777</v>
      </c>
      <c r="J38" s="294">
        <f>SUM(J7:J36)</f>
        <v>11760000</v>
      </c>
      <c r="K38" s="294">
        <f>SUM(K7:K36)</f>
        <v>0</v>
      </c>
      <c r="L38" s="294">
        <f>SUM(L7:L36)</f>
        <v>1751895969</v>
      </c>
    </row>
  </sheetData>
  <mergeCells count="2">
    <mergeCell ref="C5:F5"/>
    <mergeCell ref="G5:L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A0C4-55FF-44B6-94EE-AA7EDDA78383}">
  <sheetPr>
    <tabColor rgb="FFE6D77A"/>
  </sheetPr>
  <dimension ref="A1:L47"/>
  <sheetViews>
    <sheetView showGridLines="0" workbookViewId="0">
      <pane xSplit="2" ySplit="6" topLeftCell="C7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4.5"/>
  <cols>
    <col min="1" max="1" width="26.08984375" bestFit="1" customWidth="1"/>
    <col min="2" max="2" width="18.453125" customWidth="1"/>
    <col min="3" max="3" width="16.453125" bestFit="1" customWidth="1"/>
    <col min="4" max="4" width="11.1796875" bestFit="1" customWidth="1"/>
    <col min="5" max="5" width="12.08984375" bestFit="1" customWidth="1"/>
    <col min="6" max="6" width="18.6328125" bestFit="1" customWidth="1"/>
    <col min="7" max="7" width="5.36328125" bestFit="1" customWidth="1"/>
    <col min="8" max="8" width="14.81640625" bestFit="1" customWidth="1"/>
    <col min="9" max="9" width="12.1796875" bestFit="1" customWidth="1"/>
    <col min="10" max="10" width="12.26953125" bestFit="1" customWidth="1"/>
    <col min="11" max="11" width="12.1796875" bestFit="1" customWidth="1"/>
    <col min="12" max="12" width="13.90625" bestFit="1" customWidth="1"/>
  </cols>
  <sheetData>
    <row r="1" spans="1:12">
      <c r="A1" s="198" t="s">
        <v>145</v>
      </c>
      <c r="I1" s="16"/>
      <c r="J1" s="16"/>
    </row>
    <row r="2" spans="1:12">
      <c r="A2" s="198" t="s">
        <v>268</v>
      </c>
      <c r="I2" s="16"/>
      <c r="J2" s="16"/>
    </row>
    <row r="3" spans="1:12">
      <c r="A3" s="199">
        <v>45473</v>
      </c>
      <c r="I3" s="16"/>
      <c r="J3" s="16"/>
    </row>
    <row r="4" spans="1:12">
      <c r="I4" s="16"/>
      <c r="J4" s="16"/>
    </row>
    <row r="5" spans="1:12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</row>
    <row r="6" spans="1:12">
      <c r="A6" s="2" t="s">
        <v>2</v>
      </c>
      <c r="B6" s="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265" t="s">
        <v>178</v>
      </c>
      <c r="J6" s="265" t="s">
        <v>175</v>
      </c>
      <c r="K6" s="112" t="s">
        <v>176</v>
      </c>
      <c r="L6" s="112" t="s">
        <v>177</v>
      </c>
    </row>
    <row r="7" spans="1:12">
      <c r="A7" s="271" t="s">
        <v>363</v>
      </c>
      <c r="B7" s="272">
        <v>170007675.41999996</v>
      </c>
      <c r="C7" s="271"/>
      <c r="D7" s="273">
        <v>45382</v>
      </c>
      <c r="E7" s="271">
        <v>30</v>
      </c>
      <c r="F7" s="273">
        <f t="shared" ref="F7" si="0">D7+E7</f>
        <v>45412</v>
      </c>
      <c r="G7" s="271">
        <f t="shared" ref="G7:G10" si="1">$A$3-F7</f>
        <v>61</v>
      </c>
      <c r="H7" s="271"/>
      <c r="I7" s="271"/>
      <c r="J7" s="277"/>
      <c r="K7" s="277">
        <f>B7</f>
        <v>170007675.41999996</v>
      </c>
      <c r="L7" s="271"/>
    </row>
    <row r="8" spans="1:12">
      <c r="A8" s="271"/>
      <c r="B8" s="272">
        <v>30520500</v>
      </c>
      <c r="C8" s="271"/>
      <c r="D8" s="273">
        <v>45412</v>
      </c>
      <c r="E8" s="271">
        <v>30</v>
      </c>
      <c r="F8" s="273">
        <f t="shared" ref="F8:F10" si="2">D8+E8</f>
        <v>45442</v>
      </c>
      <c r="G8" s="271">
        <f t="shared" si="1"/>
        <v>31</v>
      </c>
      <c r="H8" s="271"/>
      <c r="I8" s="277"/>
      <c r="J8" s="277">
        <f>B8</f>
        <v>30520500</v>
      </c>
      <c r="K8" s="271"/>
      <c r="L8" s="271"/>
    </row>
    <row r="9" spans="1:12">
      <c r="A9" s="271"/>
      <c r="B9" s="272">
        <v>188688100</v>
      </c>
      <c r="C9" s="271"/>
      <c r="D9" s="273">
        <v>45443</v>
      </c>
      <c r="E9" s="271">
        <v>30</v>
      </c>
      <c r="F9" s="273">
        <f t="shared" si="2"/>
        <v>45473</v>
      </c>
      <c r="G9" s="271">
        <f t="shared" si="1"/>
        <v>0</v>
      </c>
      <c r="H9" s="277"/>
      <c r="I9" s="277">
        <f>B9</f>
        <v>188688100</v>
      </c>
      <c r="J9" s="271"/>
      <c r="K9" s="271"/>
      <c r="L9" s="271"/>
    </row>
    <row r="10" spans="1:12">
      <c r="A10" s="271"/>
      <c r="B10" s="272">
        <v>33423400</v>
      </c>
      <c r="C10" s="271"/>
      <c r="D10" s="273">
        <v>45473</v>
      </c>
      <c r="E10" s="271">
        <v>30</v>
      </c>
      <c r="F10" s="273">
        <f t="shared" si="2"/>
        <v>45503</v>
      </c>
      <c r="G10" s="271">
        <f t="shared" si="1"/>
        <v>-30</v>
      </c>
      <c r="H10" s="272">
        <f t="shared" ref="H10:H24" si="3">B10</f>
        <v>33423400</v>
      </c>
      <c r="I10" s="271"/>
      <c r="J10" s="271"/>
      <c r="K10" s="271"/>
      <c r="L10" s="271"/>
    </row>
    <row r="11" spans="1:12">
      <c r="A11" s="275" t="s">
        <v>620</v>
      </c>
      <c r="B11" s="272"/>
      <c r="C11" s="271"/>
      <c r="D11" s="273"/>
      <c r="E11" s="271"/>
      <c r="F11" s="273"/>
      <c r="G11" s="271"/>
      <c r="H11" s="272"/>
      <c r="I11" s="271"/>
      <c r="J11" s="271"/>
      <c r="K11" s="271"/>
      <c r="L11" s="271"/>
    </row>
    <row r="12" spans="1:12">
      <c r="A12" s="269" t="s">
        <v>356</v>
      </c>
      <c r="B12" s="270">
        <v>2009930400</v>
      </c>
      <c r="C12" s="271" t="s">
        <v>598</v>
      </c>
      <c r="D12" s="273">
        <v>45473</v>
      </c>
      <c r="E12" s="271">
        <v>60</v>
      </c>
      <c r="F12" s="273">
        <f t="shared" ref="F12:F16" si="4">D12+E12</f>
        <v>45533</v>
      </c>
      <c r="G12" s="271">
        <f>$A$3-F12</f>
        <v>-60</v>
      </c>
      <c r="H12" s="272">
        <f t="shared" si="3"/>
        <v>2009930400</v>
      </c>
      <c r="I12" s="271"/>
      <c r="J12" s="271"/>
      <c r="K12" s="271"/>
      <c r="L12" s="271"/>
    </row>
    <row r="13" spans="1:12">
      <c r="A13" s="269"/>
      <c r="B13" s="270">
        <v>1786604800</v>
      </c>
      <c r="C13" s="271" t="s">
        <v>599</v>
      </c>
      <c r="D13" s="273">
        <v>45473</v>
      </c>
      <c r="E13" s="271">
        <v>60</v>
      </c>
      <c r="F13" s="273">
        <f t="shared" si="4"/>
        <v>45533</v>
      </c>
      <c r="G13" s="271">
        <f t="shared" ref="G13:G16" si="5">$A$3-F13</f>
        <v>-60</v>
      </c>
      <c r="H13" s="272">
        <f t="shared" si="3"/>
        <v>1786604800</v>
      </c>
      <c r="I13" s="271"/>
      <c r="J13" s="271"/>
      <c r="K13" s="271"/>
      <c r="L13" s="271"/>
    </row>
    <row r="14" spans="1:12">
      <c r="A14" s="269"/>
      <c r="B14" s="270">
        <v>2009930400</v>
      </c>
      <c r="C14" s="271" t="s">
        <v>600</v>
      </c>
      <c r="D14" s="273">
        <v>45473</v>
      </c>
      <c r="E14" s="271">
        <v>60</v>
      </c>
      <c r="F14" s="273">
        <f t="shared" si="4"/>
        <v>45533</v>
      </c>
      <c r="G14" s="271">
        <f t="shared" si="5"/>
        <v>-60</v>
      </c>
      <c r="H14" s="272">
        <f t="shared" si="3"/>
        <v>2009930400</v>
      </c>
      <c r="I14" s="271"/>
      <c r="J14" s="271"/>
      <c r="K14" s="271"/>
      <c r="L14" s="271"/>
    </row>
    <row r="15" spans="1:12">
      <c r="A15" s="269"/>
      <c r="B15" s="270">
        <v>1781350080</v>
      </c>
      <c r="C15" s="271" t="s">
        <v>601</v>
      </c>
      <c r="D15" s="273">
        <v>45473</v>
      </c>
      <c r="E15" s="271">
        <v>60</v>
      </c>
      <c r="F15" s="273">
        <f t="shared" si="4"/>
        <v>45533</v>
      </c>
      <c r="G15" s="271">
        <f t="shared" si="5"/>
        <v>-60</v>
      </c>
      <c r="H15" s="272">
        <f t="shared" si="3"/>
        <v>1781350080</v>
      </c>
      <c r="I15" s="271"/>
      <c r="J15" s="271"/>
      <c r="K15" s="271"/>
      <c r="L15" s="271"/>
    </row>
    <row r="16" spans="1:12">
      <c r="A16" s="269"/>
      <c r="B16" s="270">
        <v>1798050237</v>
      </c>
      <c r="C16" s="271" t="s">
        <v>602</v>
      </c>
      <c r="D16" s="273">
        <v>45473</v>
      </c>
      <c r="E16" s="271">
        <v>60</v>
      </c>
      <c r="F16" s="273">
        <f t="shared" si="4"/>
        <v>45533</v>
      </c>
      <c r="G16" s="271">
        <f t="shared" si="5"/>
        <v>-60</v>
      </c>
      <c r="H16" s="272">
        <f t="shared" si="3"/>
        <v>1798050237</v>
      </c>
      <c r="I16" s="271"/>
      <c r="J16" s="271"/>
      <c r="K16" s="271"/>
      <c r="L16" s="271"/>
    </row>
    <row r="17" spans="1:12">
      <c r="A17" s="269"/>
      <c r="B17" s="270"/>
      <c r="C17" s="271"/>
      <c r="D17" s="273"/>
      <c r="E17" s="271"/>
      <c r="F17" s="273"/>
      <c r="G17" s="271"/>
      <c r="H17" s="272">
        <f t="shared" si="3"/>
        <v>0</v>
      </c>
      <c r="I17" s="271"/>
      <c r="J17" s="271"/>
      <c r="K17" s="271"/>
      <c r="L17" s="271"/>
    </row>
    <row r="18" spans="1:12">
      <c r="A18" s="269"/>
      <c r="B18" s="270"/>
      <c r="C18" s="271"/>
      <c r="D18" s="273"/>
      <c r="E18" s="271"/>
      <c r="F18" s="273"/>
      <c r="G18" s="271"/>
      <c r="H18" s="272">
        <f t="shared" si="3"/>
        <v>0</v>
      </c>
      <c r="I18" s="271"/>
      <c r="J18" s="271"/>
      <c r="K18" s="271"/>
      <c r="L18" s="271"/>
    </row>
    <row r="19" spans="1:12">
      <c r="A19" s="269"/>
      <c r="B19" s="270"/>
      <c r="C19" s="271"/>
      <c r="D19" s="273"/>
      <c r="E19" s="271"/>
      <c r="F19" s="273"/>
      <c r="G19" s="271"/>
      <c r="H19" s="272">
        <f t="shared" si="3"/>
        <v>0</v>
      </c>
      <c r="I19" s="271"/>
      <c r="J19" s="271"/>
      <c r="K19" s="271"/>
      <c r="L19" s="271"/>
    </row>
    <row r="20" spans="1:12">
      <c r="A20" s="269"/>
      <c r="B20" s="270"/>
      <c r="C20" s="271"/>
      <c r="D20" s="273"/>
      <c r="E20" s="271"/>
      <c r="F20" s="273"/>
      <c r="G20" s="271"/>
      <c r="H20" s="272">
        <f t="shared" si="3"/>
        <v>0</v>
      </c>
      <c r="I20" s="271"/>
      <c r="J20" s="271"/>
      <c r="K20" s="271"/>
      <c r="L20" s="271"/>
    </row>
    <row r="21" spans="1:12">
      <c r="A21" s="269"/>
      <c r="B21" s="270"/>
      <c r="C21" s="271"/>
      <c r="D21" s="273"/>
      <c r="E21" s="271"/>
      <c r="F21" s="273"/>
      <c r="G21" s="271"/>
      <c r="H21" s="272">
        <f t="shared" si="3"/>
        <v>0</v>
      </c>
      <c r="I21" s="271"/>
      <c r="J21" s="271"/>
      <c r="K21" s="271"/>
      <c r="L21" s="271"/>
    </row>
    <row r="22" spans="1:12">
      <c r="A22" s="269"/>
      <c r="B22" s="270"/>
      <c r="C22" s="271"/>
      <c r="D22" s="273"/>
      <c r="E22" s="271"/>
      <c r="F22" s="273"/>
      <c r="G22" s="271"/>
      <c r="H22" s="272">
        <f t="shared" si="3"/>
        <v>0</v>
      </c>
      <c r="I22" s="271"/>
      <c r="J22" s="271"/>
      <c r="K22" s="271"/>
      <c r="L22" s="271"/>
    </row>
    <row r="23" spans="1:12">
      <c r="A23" s="269" t="s">
        <v>357</v>
      </c>
      <c r="B23" s="270">
        <v>1514886513</v>
      </c>
      <c r="C23" s="271" t="s">
        <v>494</v>
      </c>
      <c r="D23" s="273">
        <v>45473</v>
      </c>
      <c r="E23" s="271">
        <v>60</v>
      </c>
      <c r="F23" s="273">
        <f>D23+E23</f>
        <v>45533</v>
      </c>
      <c r="G23" s="271">
        <f>$A$3-F23</f>
        <v>-60</v>
      </c>
      <c r="H23" s="272">
        <f t="shared" si="3"/>
        <v>1514886513</v>
      </c>
      <c r="I23" s="271"/>
      <c r="J23" s="271"/>
      <c r="K23" s="271"/>
      <c r="L23" s="274"/>
    </row>
    <row r="24" spans="1:12">
      <c r="A24" s="271"/>
      <c r="B24" s="272">
        <f>1451616400*0</f>
        <v>0</v>
      </c>
      <c r="C24" s="271" t="s">
        <v>603</v>
      </c>
      <c r="D24" s="273">
        <v>45473</v>
      </c>
      <c r="E24" s="271">
        <v>60</v>
      </c>
      <c r="F24" s="273">
        <f>D24+E24</f>
        <v>45533</v>
      </c>
      <c r="G24" s="271">
        <f>$A$3-F24</f>
        <v>-60</v>
      </c>
      <c r="H24" s="272">
        <f t="shared" si="3"/>
        <v>0</v>
      </c>
      <c r="I24" s="271"/>
      <c r="J24" s="271"/>
      <c r="K24" s="271"/>
      <c r="L24" s="271"/>
    </row>
    <row r="25" spans="1:12">
      <c r="A25" s="278" t="s">
        <v>365</v>
      </c>
      <c r="B25" s="279"/>
      <c r="C25" s="279"/>
      <c r="D25" s="279"/>
      <c r="E25" s="279"/>
      <c r="F25" s="279"/>
      <c r="G25" s="279"/>
      <c r="H25" s="279"/>
      <c r="I25" s="279"/>
      <c r="J25" s="279"/>
      <c r="K25" s="279"/>
      <c r="L25" s="279"/>
    </row>
    <row r="26" spans="1:12">
      <c r="A26" s="279" t="s">
        <v>172</v>
      </c>
      <c r="B26" s="280"/>
      <c r="C26" s="281"/>
      <c r="D26" s="282"/>
      <c r="E26" s="279"/>
      <c r="F26" s="279"/>
      <c r="G26" s="279"/>
      <c r="H26" s="279"/>
      <c r="I26" s="279"/>
      <c r="J26" s="279"/>
      <c r="K26" s="279"/>
      <c r="L26" s="279"/>
    </row>
    <row r="27" spans="1:12">
      <c r="A27" s="279"/>
      <c r="B27" s="280">
        <v>281165485.83999997</v>
      </c>
      <c r="C27" s="283" t="s">
        <v>604</v>
      </c>
      <c r="D27" s="284">
        <v>45413</v>
      </c>
      <c r="E27" s="279">
        <v>30</v>
      </c>
      <c r="F27" s="285">
        <f t="shared" ref="F27:F46" si="6">D27+E27</f>
        <v>45443</v>
      </c>
      <c r="G27" s="279">
        <f t="shared" ref="G27:G46" si="7">$A$3-F27</f>
        <v>30</v>
      </c>
      <c r="H27" s="279"/>
      <c r="I27" s="279"/>
      <c r="J27" s="279"/>
      <c r="K27" s="279"/>
      <c r="L27" s="279"/>
    </row>
    <row r="28" spans="1:12">
      <c r="A28" s="279"/>
      <c r="B28" s="280">
        <v>232716287.27000001</v>
      </c>
      <c r="C28" s="283" t="s">
        <v>605</v>
      </c>
      <c r="D28" s="284">
        <v>45427</v>
      </c>
      <c r="E28" s="279">
        <v>30</v>
      </c>
      <c r="F28" s="285">
        <f t="shared" si="6"/>
        <v>45457</v>
      </c>
      <c r="G28" s="279">
        <f t="shared" si="7"/>
        <v>16</v>
      </c>
      <c r="H28" s="279"/>
      <c r="I28" s="279"/>
      <c r="J28" s="279"/>
      <c r="K28" s="279"/>
      <c r="L28" s="279"/>
    </row>
    <row r="29" spans="1:12">
      <c r="A29" s="279"/>
      <c r="B29" s="280">
        <v>47885594.380000003</v>
      </c>
      <c r="C29" s="283" t="s">
        <v>606</v>
      </c>
      <c r="D29" s="284">
        <v>45428</v>
      </c>
      <c r="E29" s="279">
        <v>30</v>
      </c>
      <c r="F29" s="285">
        <f t="shared" si="6"/>
        <v>45458</v>
      </c>
      <c r="G29" s="279">
        <f t="shared" si="7"/>
        <v>15</v>
      </c>
      <c r="H29" s="279"/>
      <c r="I29" s="279"/>
      <c r="J29" s="279"/>
      <c r="K29" s="279"/>
      <c r="L29" s="279"/>
    </row>
    <row r="30" spans="1:12">
      <c r="A30" s="279"/>
      <c r="B30" s="280">
        <v>60389025</v>
      </c>
      <c r="C30" s="283" t="s">
        <v>607</v>
      </c>
      <c r="D30" s="284">
        <v>45432</v>
      </c>
      <c r="E30" s="279">
        <v>30</v>
      </c>
      <c r="F30" s="285">
        <f t="shared" si="6"/>
        <v>45462</v>
      </c>
      <c r="G30" s="279">
        <f t="shared" si="7"/>
        <v>11</v>
      </c>
      <c r="H30" s="279"/>
      <c r="I30" s="279"/>
      <c r="J30" s="279"/>
      <c r="K30" s="279"/>
      <c r="L30" s="279"/>
    </row>
    <row r="31" spans="1:12">
      <c r="A31" s="279"/>
      <c r="B31" s="280">
        <f>21034990.69-18347539.2700005</f>
        <v>2687451.4199995026</v>
      </c>
      <c r="C31" s="283" t="s">
        <v>608</v>
      </c>
      <c r="D31" s="284">
        <v>45433</v>
      </c>
      <c r="E31" s="279">
        <v>30</v>
      </c>
      <c r="F31" s="285">
        <f t="shared" si="6"/>
        <v>45463</v>
      </c>
      <c r="G31" s="279">
        <f t="shared" si="7"/>
        <v>10</v>
      </c>
      <c r="H31" s="279"/>
      <c r="I31" s="279"/>
      <c r="J31" s="279"/>
      <c r="K31" s="279"/>
      <c r="L31" s="279"/>
    </row>
    <row r="32" spans="1:12">
      <c r="A32" s="279"/>
      <c r="B32" s="280">
        <v>37893012.57</v>
      </c>
      <c r="C32" s="283" t="s">
        <v>609</v>
      </c>
      <c r="D32" s="284">
        <v>45434</v>
      </c>
      <c r="E32" s="279">
        <v>30</v>
      </c>
      <c r="F32" s="285">
        <f t="shared" si="6"/>
        <v>45464</v>
      </c>
      <c r="G32" s="279">
        <f t="shared" si="7"/>
        <v>9</v>
      </c>
      <c r="H32" s="279"/>
      <c r="I32" s="279"/>
      <c r="J32" s="279"/>
      <c r="K32" s="279"/>
      <c r="L32" s="279"/>
    </row>
    <row r="33" spans="1:12">
      <c r="A33" s="279"/>
      <c r="B33" s="280">
        <v>29118115.91</v>
      </c>
      <c r="C33" s="283" t="s">
        <v>610</v>
      </c>
      <c r="D33" s="284">
        <v>45435</v>
      </c>
      <c r="E33" s="279">
        <v>30</v>
      </c>
      <c r="F33" s="285">
        <f t="shared" si="6"/>
        <v>45465</v>
      </c>
      <c r="G33" s="279">
        <f t="shared" si="7"/>
        <v>8</v>
      </c>
      <c r="H33" s="279"/>
      <c r="I33" s="279"/>
      <c r="J33" s="279"/>
      <c r="K33" s="279"/>
      <c r="L33" s="279"/>
    </row>
    <row r="34" spans="1:12">
      <c r="A34" s="279"/>
      <c r="B34" s="280">
        <v>62359262.479999997</v>
      </c>
      <c r="C34" s="283" t="s">
        <v>408</v>
      </c>
      <c r="D34" s="284">
        <v>45444</v>
      </c>
      <c r="E34" s="279">
        <v>30</v>
      </c>
      <c r="F34" s="285">
        <f t="shared" si="6"/>
        <v>45474</v>
      </c>
      <c r="G34" s="279">
        <f t="shared" si="7"/>
        <v>-1</v>
      </c>
      <c r="H34" s="279"/>
      <c r="I34" s="279"/>
      <c r="J34" s="279"/>
      <c r="K34" s="279"/>
      <c r="L34" s="279"/>
    </row>
    <row r="35" spans="1:12">
      <c r="A35" s="279"/>
      <c r="B35" s="280">
        <v>73630561.189999998</v>
      </c>
      <c r="C35" s="283" t="s">
        <v>611</v>
      </c>
      <c r="D35" s="284">
        <v>45444</v>
      </c>
      <c r="E35" s="279">
        <v>30</v>
      </c>
      <c r="F35" s="285">
        <f t="shared" si="6"/>
        <v>45474</v>
      </c>
      <c r="G35" s="279">
        <f t="shared" si="7"/>
        <v>-1</v>
      </c>
      <c r="H35" s="279"/>
      <c r="I35" s="279"/>
      <c r="J35" s="279"/>
      <c r="K35" s="279"/>
      <c r="L35" s="279"/>
    </row>
    <row r="36" spans="1:12">
      <c r="A36" s="279"/>
      <c r="B36" s="280">
        <v>212100515</v>
      </c>
      <c r="C36" s="283" t="s">
        <v>612</v>
      </c>
      <c r="D36" s="284">
        <v>45446</v>
      </c>
      <c r="E36" s="279">
        <v>30</v>
      </c>
      <c r="F36" s="285">
        <f t="shared" si="6"/>
        <v>45476</v>
      </c>
      <c r="G36" s="279">
        <f t="shared" si="7"/>
        <v>-3</v>
      </c>
      <c r="H36" s="279"/>
      <c r="I36" s="279"/>
      <c r="J36" s="279"/>
      <c r="K36" s="279"/>
      <c r="L36" s="279"/>
    </row>
    <row r="37" spans="1:12">
      <c r="A37" s="279"/>
      <c r="B37" s="280">
        <v>251342591.41</v>
      </c>
      <c r="C37" s="283" t="s">
        <v>613</v>
      </c>
      <c r="D37" s="284">
        <v>45447</v>
      </c>
      <c r="E37" s="279">
        <v>30</v>
      </c>
      <c r="F37" s="285">
        <f t="shared" si="6"/>
        <v>45477</v>
      </c>
      <c r="G37" s="279">
        <f t="shared" si="7"/>
        <v>-4</v>
      </c>
      <c r="H37" s="279"/>
      <c r="I37" s="279"/>
      <c r="J37" s="279"/>
      <c r="K37" s="279"/>
      <c r="L37" s="279"/>
    </row>
    <row r="38" spans="1:12">
      <c r="A38" s="279"/>
      <c r="B38" s="280">
        <v>257207485.19999999</v>
      </c>
      <c r="C38" s="283" t="s">
        <v>289</v>
      </c>
      <c r="D38" s="284">
        <v>45447</v>
      </c>
      <c r="E38" s="279">
        <v>30</v>
      </c>
      <c r="F38" s="285">
        <f t="shared" si="6"/>
        <v>45477</v>
      </c>
      <c r="G38" s="279">
        <f t="shared" si="7"/>
        <v>-4</v>
      </c>
      <c r="H38" s="279"/>
      <c r="I38" s="279"/>
      <c r="J38" s="279"/>
      <c r="K38" s="279"/>
      <c r="L38" s="279"/>
    </row>
    <row r="39" spans="1:12">
      <c r="A39" s="279"/>
      <c r="B39" s="280">
        <v>209898746.15000001</v>
      </c>
      <c r="C39" s="283" t="s">
        <v>290</v>
      </c>
      <c r="D39" s="284">
        <v>45447</v>
      </c>
      <c r="E39" s="279">
        <v>30</v>
      </c>
      <c r="F39" s="285">
        <f t="shared" si="6"/>
        <v>45477</v>
      </c>
      <c r="G39" s="279">
        <f t="shared" si="7"/>
        <v>-4</v>
      </c>
      <c r="H39" s="279"/>
      <c r="I39" s="279"/>
      <c r="J39" s="279"/>
      <c r="K39" s="279"/>
      <c r="L39" s="279"/>
    </row>
    <row r="40" spans="1:12">
      <c r="A40" s="279"/>
      <c r="B40" s="280">
        <v>129902487.04000001</v>
      </c>
      <c r="C40" s="283" t="s">
        <v>614</v>
      </c>
      <c r="D40" s="284">
        <v>45453</v>
      </c>
      <c r="E40" s="279">
        <v>30</v>
      </c>
      <c r="F40" s="285">
        <f t="shared" si="6"/>
        <v>45483</v>
      </c>
      <c r="G40" s="279">
        <f t="shared" si="7"/>
        <v>-10</v>
      </c>
      <c r="H40" s="279"/>
      <c r="I40" s="279"/>
      <c r="J40" s="279"/>
      <c r="K40" s="279"/>
      <c r="L40" s="279"/>
    </row>
    <row r="41" spans="1:12">
      <c r="A41" s="279"/>
      <c r="B41" s="280">
        <v>394335842.99000001</v>
      </c>
      <c r="C41" s="283" t="s">
        <v>615</v>
      </c>
      <c r="D41" s="284">
        <v>45461</v>
      </c>
      <c r="E41" s="279">
        <v>30</v>
      </c>
      <c r="F41" s="285">
        <f t="shared" si="6"/>
        <v>45491</v>
      </c>
      <c r="G41" s="279">
        <f t="shared" si="7"/>
        <v>-18</v>
      </c>
      <c r="H41" s="279"/>
      <c r="I41" s="279"/>
      <c r="J41" s="279"/>
      <c r="K41" s="279"/>
      <c r="L41" s="279"/>
    </row>
    <row r="42" spans="1:12">
      <c r="A42" s="279"/>
      <c r="B42" s="280">
        <v>23378623.100000001</v>
      </c>
      <c r="C42" s="283" t="s">
        <v>294</v>
      </c>
      <c r="D42" s="284">
        <v>45461</v>
      </c>
      <c r="E42" s="279">
        <v>30</v>
      </c>
      <c r="F42" s="285">
        <f t="shared" si="6"/>
        <v>45491</v>
      </c>
      <c r="G42" s="279">
        <f t="shared" si="7"/>
        <v>-18</v>
      </c>
      <c r="H42" s="279"/>
      <c r="I42" s="279"/>
      <c r="J42" s="279"/>
      <c r="K42" s="279"/>
      <c r="L42" s="279"/>
    </row>
    <row r="43" spans="1:12">
      <c r="A43" s="279"/>
      <c r="B43" s="280">
        <v>35135419.030000001</v>
      </c>
      <c r="C43" s="283" t="s">
        <v>616</v>
      </c>
      <c r="D43" s="284">
        <v>45462</v>
      </c>
      <c r="E43" s="279">
        <v>30</v>
      </c>
      <c r="F43" s="285">
        <f t="shared" si="6"/>
        <v>45492</v>
      </c>
      <c r="G43" s="279">
        <f t="shared" si="7"/>
        <v>-19</v>
      </c>
      <c r="H43" s="279"/>
      <c r="I43" s="279"/>
      <c r="J43" s="279"/>
      <c r="K43" s="279"/>
      <c r="L43" s="279"/>
    </row>
    <row r="44" spans="1:12">
      <c r="A44" s="279"/>
      <c r="B44" s="280">
        <v>63271414.869999997</v>
      </c>
      <c r="C44" s="283" t="s">
        <v>617</v>
      </c>
      <c r="D44" s="284">
        <v>45462</v>
      </c>
      <c r="E44" s="279">
        <v>30</v>
      </c>
      <c r="F44" s="285">
        <f t="shared" si="6"/>
        <v>45492</v>
      </c>
      <c r="G44" s="279">
        <f t="shared" si="7"/>
        <v>-19</v>
      </c>
      <c r="H44" s="279"/>
      <c r="I44" s="279"/>
      <c r="J44" s="279"/>
      <c r="K44" s="279"/>
      <c r="L44" s="279"/>
    </row>
    <row r="45" spans="1:12">
      <c r="A45" s="279"/>
      <c r="B45" s="280">
        <v>79225800.319999993</v>
      </c>
      <c r="C45" s="283" t="s">
        <v>618</v>
      </c>
      <c r="D45" s="284">
        <v>45465</v>
      </c>
      <c r="E45" s="279">
        <v>30</v>
      </c>
      <c r="F45" s="285">
        <f t="shared" si="6"/>
        <v>45495</v>
      </c>
      <c r="G45" s="279">
        <f t="shared" si="7"/>
        <v>-22</v>
      </c>
      <c r="H45" s="279"/>
      <c r="I45" s="279"/>
      <c r="J45" s="279"/>
      <c r="K45" s="279"/>
      <c r="L45" s="279"/>
    </row>
    <row r="46" spans="1:12">
      <c r="A46" s="279"/>
      <c r="B46" s="280">
        <v>79617812.689999998</v>
      </c>
      <c r="C46" s="283" t="s">
        <v>619</v>
      </c>
      <c r="D46" s="284">
        <v>45467</v>
      </c>
      <c r="E46" s="279">
        <v>30</v>
      </c>
      <c r="F46" s="285">
        <f t="shared" si="6"/>
        <v>45497</v>
      </c>
      <c r="G46" s="279">
        <f t="shared" si="7"/>
        <v>-24</v>
      </c>
      <c r="H46" s="279"/>
      <c r="I46" s="279"/>
      <c r="J46" s="279"/>
      <c r="K46" s="279"/>
      <c r="L46" s="279"/>
    </row>
    <row r="47" spans="1:12">
      <c r="H47" s="16">
        <f>SUM(H7:H46)</f>
        <v>10934175830</v>
      </c>
      <c r="I47" s="16">
        <f>SUM(I7:I46)</f>
        <v>188688100</v>
      </c>
      <c r="J47" s="16">
        <f>SUM(J7:J46)</f>
        <v>30520500</v>
      </c>
      <c r="K47" s="16">
        <f>SUM(K7:K46)</f>
        <v>170007675.41999996</v>
      </c>
      <c r="L47" s="16">
        <f>SUM(L7:L46)</f>
        <v>0</v>
      </c>
    </row>
  </sheetData>
  <mergeCells count="2">
    <mergeCell ref="C5:F5"/>
    <mergeCell ref="G5:L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111C-31C9-4BA1-8B72-279E86293566}">
  <sheetPr>
    <tabColor rgb="FFA6B3F4"/>
  </sheetPr>
  <dimension ref="A1:S233"/>
  <sheetViews>
    <sheetView topLeftCell="A48" workbookViewId="0">
      <selection activeCell="C63" sqref="C63"/>
    </sheetView>
  </sheetViews>
  <sheetFormatPr defaultRowHeight="14.5"/>
  <cols>
    <col min="1" max="1" width="38.6328125" bestFit="1" customWidth="1"/>
    <col min="2" max="2" width="13.54296875" bestFit="1" customWidth="1"/>
    <col min="8" max="8" width="13.54296875" bestFit="1" customWidth="1"/>
    <col min="9" max="9" width="12.54296875" bestFit="1" customWidth="1"/>
    <col min="12" max="12" width="12.54296875" bestFit="1" customWidth="1"/>
    <col min="13" max="13" width="13.90625" style="16" bestFit="1" customWidth="1"/>
    <col min="14" max="14" width="14.81640625" style="16" bestFit="1" customWidth="1"/>
    <col min="15" max="16" width="12.1796875" style="16" bestFit="1" customWidth="1"/>
    <col min="17" max="17" width="13.81640625" style="16" bestFit="1" customWidth="1"/>
    <col min="18" max="18" width="14.81640625" bestFit="1" customWidth="1"/>
  </cols>
  <sheetData>
    <row r="1" spans="1:12">
      <c r="A1" s="158" t="s">
        <v>185</v>
      </c>
    </row>
    <row r="2" spans="1:12">
      <c r="A2" s="158" t="s">
        <v>145</v>
      </c>
    </row>
    <row r="3" spans="1:12">
      <c r="A3" s="160">
        <v>45291</v>
      </c>
    </row>
    <row r="5" spans="1:12">
      <c r="A5" s="230" t="s">
        <v>2</v>
      </c>
      <c r="B5" s="230" t="s">
        <v>3</v>
      </c>
      <c r="C5" s="230" t="s">
        <v>244</v>
      </c>
      <c r="D5" s="230" t="s">
        <v>245</v>
      </c>
      <c r="E5" s="230" t="s">
        <v>209</v>
      </c>
      <c r="F5" s="230" t="s">
        <v>210</v>
      </c>
      <c r="G5" s="230" t="s">
        <v>211</v>
      </c>
      <c r="H5" s="230" t="s">
        <v>174</v>
      </c>
      <c r="I5" s="230" t="s">
        <v>212</v>
      </c>
      <c r="J5" s="230" t="s">
        <v>213</v>
      </c>
      <c r="K5" s="230" t="s">
        <v>214</v>
      </c>
      <c r="L5" s="230" t="s">
        <v>215</v>
      </c>
    </row>
    <row r="6" spans="1:12">
      <c r="A6" s="213"/>
      <c r="B6" s="229"/>
      <c r="C6" s="164"/>
      <c r="D6" s="165"/>
      <c r="E6" s="164"/>
      <c r="F6" s="165"/>
      <c r="G6" s="164"/>
      <c r="H6" s="166"/>
      <c r="I6" s="164"/>
      <c r="J6" s="164"/>
      <c r="K6" s="164"/>
      <c r="L6" s="164"/>
    </row>
    <row r="7" spans="1:12">
      <c r="A7" s="213" t="s">
        <v>366</v>
      </c>
      <c r="B7" s="229">
        <v>1356603529</v>
      </c>
      <c r="C7" s="164">
        <v>964</v>
      </c>
      <c r="D7" s="165">
        <v>45287</v>
      </c>
      <c r="E7" s="164">
        <v>30</v>
      </c>
      <c r="F7" s="165">
        <v>45317</v>
      </c>
      <c r="G7" s="164">
        <v>-26</v>
      </c>
      <c r="H7" s="166">
        <v>1356603529</v>
      </c>
      <c r="I7" s="164"/>
      <c r="J7" s="164"/>
      <c r="K7" s="164"/>
      <c r="L7" s="164"/>
    </row>
    <row r="8" spans="1:12">
      <c r="A8" s="213"/>
      <c r="B8" s="229"/>
      <c r="C8" s="164"/>
      <c r="D8" s="165"/>
      <c r="E8" s="164"/>
      <c r="F8" s="165"/>
      <c r="G8" s="164"/>
      <c r="H8" s="166"/>
      <c r="I8" s="164"/>
      <c r="J8" s="164"/>
      <c r="K8" s="164"/>
      <c r="L8" s="164"/>
    </row>
    <row r="9" spans="1:12">
      <c r="A9" s="213" t="s">
        <v>367</v>
      </c>
      <c r="B9" s="229">
        <v>28750000</v>
      </c>
      <c r="C9" s="164">
        <v>341</v>
      </c>
      <c r="D9" s="165">
        <v>45043</v>
      </c>
      <c r="E9" s="164">
        <v>30</v>
      </c>
      <c r="F9" s="165">
        <v>45073</v>
      </c>
      <c r="G9" s="164">
        <v>218</v>
      </c>
      <c r="H9" s="166"/>
      <c r="I9" s="164"/>
      <c r="J9" s="164"/>
      <c r="K9" s="164"/>
      <c r="L9" s="166">
        <v>28750000</v>
      </c>
    </row>
    <row r="10" spans="1:12">
      <c r="A10" s="213" t="s">
        <v>367</v>
      </c>
      <c r="B10" s="229">
        <v>3162500</v>
      </c>
      <c r="C10" s="164">
        <v>346</v>
      </c>
      <c r="D10" s="165">
        <v>45047</v>
      </c>
      <c r="E10" s="164">
        <v>30</v>
      </c>
      <c r="F10" s="165">
        <v>45077</v>
      </c>
      <c r="G10" s="164">
        <v>214</v>
      </c>
      <c r="H10" s="166"/>
      <c r="I10" s="164"/>
      <c r="J10" s="164"/>
      <c r="K10" s="164"/>
      <c r="L10" s="166">
        <v>3162500</v>
      </c>
    </row>
    <row r="11" spans="1:12">
      <c r="A11" s="213" t="s">
        <v>367</v>
      </c>
      <c r="B11" s="229">
        <v>26973000</v>
      </c>
      <c r="C11" s="164">
        <v>446</v>
      </c>
      <c r="D11" s="165">
        <v>45071</v>
      </c>
      <c r="E11" s="164">
        <v>30</v>
      </c>
      <c r="F11" s="165">
        <v>45101</v>
      </c>
      <c r="G11" s="164">
        <v>190</v>
      </c>
      <c r="H11" s="166"/>
      <c r="I11" s="164"/>
      <c r="J11" s="164"/>
      <c r="K11" s="164"/>
      <c r="L11" s="166">
        <v>26973000</v>
      </c>
    </row>
    <row r="12" spans="1:12">
      <c r="A12" s="213" t="s">
        <v>367</v>
      </c>
      <c r="B12" s="229">
        <v>114330000</v>
      </c>
      <c r="C12" s="164">
        <v>450</v>
      </c>
      <c r="D12" s="165">
        <v>45071</v>
      </c>
      <c r="E12" s="164">
        <v>30</v>
      </c>
      <c r="F12" s="165">
        <v>45101</v>
      </c>
      <c r="G12" s="164">
        <v>190</v>
      </c>
      <c r="H12" s="166"/>
      <c r="I12" s="164"/>
      <c r="J12" s="164"/>
      <c r="K12" s="164"/>
      <c r="L12" s="166">
        <v>114330000</v>
      </c>
    </row>
    <row r="13" spans="1:12">
      <c r="A13" s="213" t="s">
        <v>367</v>
      </c>
      <c r="B13" s="229">
        <v>134865000</v>
      </c>
      <c r="C13" s="164">
        <v>453</v>
      </c>
      <c r="D13" s="165">
        <v>45073</v>
      </c>
      <c r="E13" s="164">
        <v>30</v>
      </c>
      <c r="F13" s="165">
        <v>45103</v>
      </c>
      <c r="G13" s="164">
        <v>188</v>
      </c>
      <c r="H13" s="166"/>
      <c r="I13" s="164"/>
      <c r="J13" s="164"/>
      <c r="K13" s="164"/>
      <c r="L13" s="166">
        <v>134865000</v>
      </c>
    </row>
    <row r="14" spans="1:12">
      <c r="A14" s="213" t="s">
        <v>367</v>
      </c>
      <c r="B14" s="229">
        <v>156510000</v>
      </c>
      <c r="C14" s="164">
        <v>458</v>
      </c>
      <c r="D14" s="165">
        <v>45075</v>
      </c>
      <c r="E14" s="164">
        <v>30</v>
      </c>
      <c r="F14" s="165">
        <v>45105</v>
      </c>
      <c r="G14" s="164">
        <v>186</v>
      </c>
      <c r="H14" s="166"/>
      <c r="I14" s="164"/>
      <c r="J14" s="164"/>
      <c r="K14" s="164"/>
      <c r="L14" s="166">
        <v>156510000</v>
      </c>
    </row>
    <row r="15" spans="1:12">
      <c r="A15" s="213" t="s">
        <v>367</v>
      </c>
      <c r="B15" s="229">
        <v>194250000</v>
      </c>
      <c r="C15" s="164">
        <v>459</v>
      </c>
      <c r="D15" s="165">
        <v>45075</v>
      </c>
      <c r="E15" s="164">
        <v>30</v>
      </c>
      <c r="F15" s="165">
        <v>45105</v>
      </c>
      <c r="G15" s="164">
        <v>186</v>
      </c>
      <c r="H15" s="166"/>
      <c r="I15" s="164"/>
      <c r="J15" s="164"/>
      <c r="K15" s="164"/>
      <c r="L15" s="166">
        <v>194250000</v>
      </c>
    </row>
    <row r="16" spans="1:12">
      <c r="A16" s="213" t="s">
        <v>367</v>
      </c>
      <c r="B16" s="229">
        <v>9990000</v>
      </c>
      <c r="C16" s="164">
        <v>478</v>
      </c>
      <c r="D16" s="165">
        <v>45079</v>
      </c>
      <c r="E16" s="164">
        <v>30</v>
      </c>
      <c r="F16" s="165">
        <v>45109</v>
      </c>
      <c r="G16" s="164">
        <v>182</v>
      </c>
      <c r="H16" s="166"/>
      <c r="I16" s="164"/>
      <c r="J16" s="164"/>
      <c r="K16" s="164"/>
      <c r="L16" s="166">
        <v>9990000</v>
      </c>
    </row>
    <row r="17" spans="1:12">
      <c r="A17" s="213"/>
      <c r="C17" s="164"/>
      <c r="D17" s="165"/>
      <c r="E17" s="164"/>
      <c r="F17" s="165"/>
      <c r="G17" s="164"/>
      <c r="H17" s="166"/>
      <c r="I17" s="164"/>
      <c r="J17" s="164"/>
      <c r="K17" s="164"/>
      <c r="L17" s="164"/>
    </row>
    <row r="18" spans="1:12">
      <c r="A18" s="213" t="s">
        <v>368</v>
      </c>
      <c r="B18" s="229">
        <v>6576528</v>
      </c>
      <c r="C18" s="217" t="s">
        <v>369</v>
      </c>
      <c r="D18" s="165">
        <v>45231</v>
      </c>
      <c r="E18" s="164">
        <v>30</v>
      </c>
      <c r="F18" s="165">
        <v>45261</v>
      </c>
      <c r="G18" s="164">
        <v>30</v>
      </c>
      <c r="H18" s="166"/>
      <c r="I18" s="166">
        <v>6576528</v>
      </c>
      <c r="J18" s="164"/>
      <c r="K18" s="164"/>
      <c r="L18" s="164"/>
    </row>
    <row r="19" spans="1:12">
      <c r="A19" s="213" t="s">
        <v>368</v>
      </c>
      <c r="B19" s="229">
        <v>9551505</v>
      </c>
      <c r="C19" s="217" t="s">
        <v>370</v>
      </c>
      <c r="D19" s="165">
        <v>45231</v>
      </c>
      <c r="E19" s="164">
        <v>30</v>
      </c>
      <c r="F19" s="165">
        <v>45261</v>
      </c>
      <c r="G19" s="164">
        <v>30</v>
      </c>
      <c r="H19" s="166"/>
      <c r="I19" s="166">
        <v>9551505</v>
      </c>
      <c r="J19" s="164"/>
      <c r="K19" s="164"/>
      <c r="L19" s="164"/>
    </row>
    <row r="20" spans="1:12">
      <c r="A20" s="213" t="s">
        <v>368</v>
      </c>
      <c r="B20" s="229">
        <v>764568</v>
      </c>
      <c r="C20" s="217" t="s">
        <v>371</v>
      </c>
      <c r="D20" s="165">
        <v>45231</v>
      </c>
      <c r="E20" s="164">
        <v>30</v>
      </c>
      <c r="F20" s="165">
        <v>45261</v>
      </c>
      <c r="G20" s="164">
        <v>30</v>
      </c>
      <c r="H20" s="166"/>
      <c r="I20" s="166">
        <v>764568</v>
      </c>
      <c r="J20" s="164"/>
      <c r="K20" s="164"/>
      <c r="L20" s="164"/>
    </row>
    <row r="21" spans="1:12">
      <c r="A21" s="213" t="s">
        <v>368</v>
      </c>
      <c r="B21" s="229">
        <v>23742900</v>
      </c>
      <c r="C21" s="217" t="s">
        <v>372</v>
      </c>
      <c r="D21" s="165">
        <v>45232</v>
      </c>
      <c r="E21" s="164">
        <v>30</v>
      </c>
      <c r="F21" s="165">
        <v>45262</v>
      </c>
      <c r="G21" s="164">
        <v>29</v>
      </c>
      <c r="H21" s="166"/>
      <c r="I21" s="166">
        <v>23742900</v>
      </c>
      <c r="J21" s="164"/>
      <c r="K21" s="164"/>
      <c r="L21" s="164"/>
    </row>
    <row r="22" spans="1:12">
      <c r="A22" s="213" t="s">
        <v>368</v>
      </c>
      <c r="B22" s="229">
        <v>23742900</v>
      </c>
      <c r="C22" s="217" t="s">
        <v>373</v>
      </c>
      <c r="D22" s="165">
        <v>45232</v>
      </c>
      <c r="E22" s="164">
        <v>30</v>
      </c>
      <c r="F22" s="165">
        <v>45262</v>
      </c>
      <c r="G22" s="164">
        <v>29</v>
      </c>
      <c r="H22" s="166"/>
      <c r="I22" s="166">
        <v>23742900</v>
      </c>
      <c r="J22" s="164"/>
      <c r="K22" s="164"/>
      <c r="L22" s="164"/>
    </row>
    <row r="23" spans="1:12">
      <c r="A23" s="213" t="s">
        <v>368</v>
      </c>
      <c r="B23" s="229">
        <v>5419575</v>
      </c>
      <c r="C23" s="217" t="s">
        <v>374</v>
      </c>
      <c r="D23" s="165">
        <v>45239</v>
      </c>
      <c r="E23" s="164">
        <v>30</v>
      </c>
      <c r="F23" s="165">
        <v>45269</v>
      </c>
      <c r="G23" s="164">
        <v>22</v>
      </c>
      <c r="H23" s="166"/>
      <c r="I23" s="166">
        <v>5419575</v>
      </c>
      <c r="J23" s="164"/>
      <c r="K23" s="164"/>
      <c r="L23" s="164"/>
    </row>
    <row r="24" spans="1:12">
      <c r="A24" s="213" t="s">
        <v>368</v>
      </c>
      <c r="B24" s="229">
        <v>7109550</v>
      </c>
      <c r="C24" s="217" t="s">
        <v>375</v>
      </c>
      <c r="D24" s="165">
        <v>45239</v>
      </c>
      <c r="E24" s="164">
        <v>30</v>
      </c>
      <c r="F24" s="165">
        <v>45269</v>
      </c>
      <c r="G24" s="164">
        <v>22</v>
      </c>
      <c r="H24" s="166"/>
      <c r="I24" s="166">
        <v>7109550</v>
      </c>
      <c r="J24" s="164"/>
      <c r="K24" s="164"/>
      <c r="L24" s="164"/>
    </row>
    <row r="25" spans="1:12">
      <c r="A25" s="213" t="s">
        <v>368</v>
      </c>
      <c r="B25" s="229">
        <v>6206287</v>
      </c>
      <c r="C25" s="217" t="s">
        <v>376</v>
      </c>
      <c r="D25" s="165">
        <v>45243</v>
      </c>
      <c r="E25" s="164">
        <v>30</v>
      </c>
      <c r="F25" s="165">
        <v>45273</v>
      </c>
      <c r="G25" s="164">
        <v>18</v>
      </c>
      <c r="H25" s="166"/>
      <c r="I25" s="166">
        <v>6206287</v>
      </c>
      <c r="J25" s="164"/>
      <c r="K25" s="164"/>
      <c r="L25" s="164"/>
    </row>
    <row r="26" spans="1:12">
      <c r="A26" s="213" t="s">
        <v>368</v>
      </c>
      <c r="B26" s="229">
        <v>13695180</v>
      </c>
      <c r="C26" s="217" t="s">
        <v>377</v>
      </c>
      <c r="D26" s="165">
        <v>45243</v>
      </c>
      <c r="E26" s="164">
        <v>30</v>
      </c>
      <c r="F26" s="165">
        <v>45273</v>
      </c>
      <c r="G26" s="164">
        <v>18</v>
      </c>
      <c r="H26" s="166"/>
      <c r="I26" s="166">
        <v>13695180</v>
      </c>
      <c r="J26" s="164"/>
      <c r="K26" s="164"/>
      <c r="L26" s="164"/>
    </row>
    <row r="27" spans="1:12">
      <c r="A27" s="213" t="s">
        <v>368</v>
      </c>
      <c r="B27" s="229">
        <v>24429890</v>
      </c>
      <c r="C27" s="217" t="s">
        <v>378</v>
      </c>
      <c r="D27" s="165">
        <v>45243</v>
      </c>
      <c r="E27" s="164">
        <v>30</v>
      </c>
      <c r="F27" s="165">
        <v>45273</v>
      </c>
      <c r="G27" s="164">
        <v>18</v>
      </c>
      <c r="H27" s="166"/>
      <c r="I27" s="166">
        <v>24429890</v>
      </c>
      <c r="J27" s="164"/>
      <c r="K27" s="164"/>
      <c r="L27" s="164"/>
    </row>
    <row r="28" spans="1:12">
      <c r="A28" s="213" t="s">
        <v>368</v>
      </c>
      <c r="B28" s="229">
        <v>16688894</v>
      </c>
      <c r="C28" s="217" t="s">
        <v>379</v>
      </c>
      <c r="D28" s="165">
        <v>45243</v>
      </c>
      <c r="E28" s="164">
        <v>30</v>
      </c>
      <c r="F28" s="165">
        <v>45273</v>
      </c>
      <c r="G28" s="164">
        <v>18</v>
      </c>
      <c r="H28" s="166"/>
      <c r="I28" s="166">
        <v>16688894</v>
      </c>
      <c r="J28" s="164"/>
      <c r="K28" s="164"/>
      <c r="L28" s="164"/>
    </row>
    <row r="29" spans="1:12">
      <c r="A29" s="213" t="s">
        <v>368</v>
      </c>
      <c r="B29" s="229">
        <v>3480266</v>
      </c>
      <c r="C29" s="217" t="s">
        <v>380</v>
      </c>
      <c r="D29" s="165">
        <v>45256</v>
      </c>
      <c r="E29" s="164">
        <v>30</v>
      </c>
      <c r="F29" s="165">
        <v>45286</v>
      </c>
      <c r="G29" s="164">
        <v>5</v>
      </c>
      <c r="H29" s="166"/>
      <c r="I29" s="166">
        <v>3480266</v>
      </c>
      <c r="J29" s="164"/>
      <c r="K29" s="164"/>
      <c r="L29" s="164"/>
    </row>
    <row r="30" spans="1:12">
      <c r="A30" s="213" t="s">
        <v>368</v>
      </c>
      <c r="B30" s="229">
        <v>3918411</v>
      </c>
      <c r="C30" s="217" t="s">
        <v>381</v>
      </c>
      <c r="D30" s="165">
        <v>45256</v>
      </c>
      <c r="E30" s="164">
        <v>30</v>
      </c>
      <c r="F30" s="165">
        <v>45286</v>
      </c>
      <c r="G30" s="164">
        <v>5</v>
      </c>
      <c r="H30" s="166"/>
      <c r="I30" s="166">
        <v>3918411</v>
      </c>
      <c r="J30" s="164"/>
      <c r="K30" s="164"/>
      <c r="L30" s="164"/>
    </row>
    <row r="31" spans="1:12">
      <c r="A31" s="213" t="s">
        <v>368</v>
      </c>
      <c r="B31" s="229">
        <v>11507203</v>
      </c>
      <c r="C31" s="217" t="s">
        <v>382</v>
      </c>
      <c r="D31" s="165">
        <v>45256</v>
      </c>
      <c r="E31" s="164">
        <v>30</v>
      </c>
      <c r="F31" s="165">
        <v>45286</v>
      </c>
      <c r="G31" s="164">
        <v>5</v>
      </c>
      <c r="H31" s="166"/>
      <c r="I31" s="166">
        <v>11507203</v>
      </c>
      <c r="J31" s="164"/>
      <c r="K31" s="164"/>
      <c r="L31" s="164"/>
    </row>
    <row r="32" spans="1:12">
      <c r="A32" s="213" t="s">
        <v>368</v>
      </c>
      <c r="B32" s="229">
        <v>4693246</v>
      </c>
      <c r="C32" s="217" t="s">
        <v>383</v>
      </c>
      <c r="D32" s="165">
        <v>45256</v>
      </c>
      <c r="E32" s="164">
        <v>30</v>
      </c>
      <c r="F32" s="165">
        <v>45286</v>
      </c>
      <c r="G32" s="164">
        <v>5</v>
      </c>
      <c r="H32" s="166"/>
      <c r="I32" s="166">
        <v>4693246</v>
      </c>
      <c r="J32" s="164"/>
      <c r="K32" s="164"/>
      <c r="L32" s="164"/>
    </row>
    <row r="33" spans="1:12">
      <c r="A33" s="213" t="s">
        <v>368</v>
      </c>
      <c r="B33" s="229">
        <v>1401237</v>
      </c>
      <c r="C33" s="217" t="s">
        <v>384</v>
      </c>
      <c r="D33" s="165">
        <v>45256</v>
      </c>
      <c r="E33" s="164">
        <v>30</v>
      </c>
      <c r="F33" s="165">
        <v>45286</v>
      </c>
      <c r="G33" s="164">
        <v>5</v>
      </c>
      <c r="H33" s="166"/>
      <c r="I33" s="166">
        <v>1401237</v>
      </c>
      <c r="J33" s="164"/>
      <c r="K33" s="164"/>
      <c r="L33" s="164"/>
    </row>
    <row r="34" spans="1:12">
      <c r="A34" s="213" t="s">
        <v>368</v>
      </c>
      <c r="B34" s="229">
        <v>929292</v>
      </c>
      <c r="C34" s="217" t="s">
        <v>385</v>
      </c>
      <c r="D34" s="165">
        <v>45256</v>
      </c>
      <c r="E34" s="164">
        <v>30</v>
      </c>
      <c r="F34" s="165">
        <v>45286</v>
      </c>
      <c r="G34" s="164">
        <v>5</v>
      </c>
      <c r="H34" s="166"/>
      <c r="I34" s="166">
        <v>929292</v>
      </c>
      <c r="J34" s="164"/>
      <c r="K34" s="164"/>
      <c r="L34" s="164"/>
    </row>
    <row r="35" spans="1:12">
      <c r="A35" s="213" t="s">
        <v>368</v>
      </c>
      <c r="B35" s="229">
        <v>1469462</v>
      </c>
      <c r="C35" s="217" t="s">
        <v>386</v>
      </c>
      <c r="D35" s="165">
        <v>45259</v>
      </c>
      <c r="E35" s="164">
        <v>30</v>
      </c>
      <c r="F35" s="165">
        <v>45289</v>
      </c>
      <c r="G35" s="164">
        <v>2</v>
      </c>
      <c r="H35" s="166"/>
      <c r="I35" s="166">
        <v>1469462</v>
      </c>
      <c r="J35" s="164"/>
      <c r="K35" s="164"/>
      <c r="L35" s="164"/>
    </row>
    <row r="36" spans="1:12">
      <c r="A36" s="213" t="s">
        <v>368</v>
      </c>
      <c r="B36" s="229">
        <v>4247970</v>
      </c>
      <c r="C36" s="217" t="s">
        <v>387</v>
      </c>
      <c r="D36" s="165">
        <v>45259</v>
      </c>
      <c r="E36" s="164">
        <v>30</v>
      </c>
      <c r="F36" s="165">
        <v>45289</v>
      </c>
      <c r="G36" s="164">
        <v>2</v>
      </c>
      <c r="H36" s="166"/>
      <c r="I36" s="166">
        <v>4247970</v>
      </c>
      <c r="J36" s="164"/>
      <c r="K36" s="164"/>
      <c r="L36" s="164"/>
    </row>
    <row r="37" spans="1:12">
      <c r="A37" s="213" t="s">
        <v>368</v>
      </c>
      <c r="B37" s="229">
        <v>7580412</v>
      </c>
      <c r="C37" s="217" t="s">
        <v>388</v>
      </c>
      <c r="D37" s="165">
        <v>45259</v>
      </c>
      <c r="E37" s="164">
        <v>30</v>
      </c>
      <c r="F37" s="165">
        <v>45289</v>
      </c>
      <c r="G37" s="164">
        <v>2</v>
      </c>
      <c r="H37" s="166"/>
      <c r="I37" s="166">
        <v>7580412</v>
      </c>
      <c r="J37" s="164"/>
      <c r="K37" s="164"/>
      <c r="L37" s="164"/>
    </row>
    <row r="38" spans="1:12">
      <c r="A38" s="213" t="s">
        <v>368</v>
      </c>
      <c r="B38" s="229">
        <v>1933481</v>
      </c>
      <c r="C38" s="217" t="s">
        <v>389</v>
      </c>
      <c r="D38" s="165">
        <v>45259</v>
      </c>
      <c r="E38" s="164">
        <v>30</v>
      </c>
      <c r="F38" s="165">
        <v>45289</v>
      </c>
      <c r="G38" s="164">
        <v>2</v>
      </c>
      <c r="H38" s="166"/>
      <c r="I38" s="166">
        <v>1933481</v>
      </c>
      <c r="J38" s="164"/>
      <c r="K38" s="164"/>
      <c r="L38" s="164"/>
    </row>
    <row r="39" spans="1:12">
      <c r="A39" s="213" t="s">
        <v>368</v>
      </c>
      <c r="B39" s="229">
        <v>5137524</v>
      </c>
      <c r="C39" s="217" t="s">
        <v>390</v>
      </c>
      <c r="D39" s="165">
        <v>45259</v>
      </c>
      <c r="E39" s="164">
        <v>30</v>
      </c>
      <c r="F39" s="165">
        <v>45289</v>
      </c>
      <c r="G39" s="164">
        <v>2</v>
      </c>
      <c r="H39" s="166"/>
      <c r="I39" s="166">
        <v>5137524</v>
      </c>
      <c r="J39" s="164"/>
      <c r="K39" s="164"/>
      <c r="L39" s="164"/>
    </row>
    <row r="40" spans="1:12">
      <c r="A40" s="213" t="s">
        <v>368</v>
      </c>
      <c r="B40" s="229">
        <v>11020968</v>
      </c>
      <c r="C40" s="217" t="s">
        <v>391</v>
      </c>
      <c r="D40" s="165">
        <v>45264</v>
      </c>
      <c r="E40" s="164">
        <v>30</v>
      </c>
      <c r="F40" s="165">
        <v>45294</v>
      </c>
      <c r="G40" s="164">
        <v>-3</v>
      </c>
      <c r="H40" s="166">
        <v>11020968</v>
      </c>
      <c r="I40" s="164"/>
      <c r="J40" s="164"/>
      <c r="K40" s="164"/>
      <c r="L40" s="164"/>
    </row>
    <row r="41" spans="1:12">
      <c r="A41" s="213" t="s">
        <v>368</v>
      </c>
      <c r="B41" s="229">
        <v>763680</v>
      </c>
      <c r="C41" s="217" t="s">
        <v>392</v>
      </c>
      <c r="D41" s="165">
        <v>45274</v>
      </c>
      <c r="E41" s="164">
        <v>30</v>
      </c>
      <c r="F41" s="165">
        <v>45304</v>
      </c>
      <c r="G41" s="164">
        <v>-13</v>
      </c>
      <c r="H41" s="166">
        <v>763680</v>
      </c>
      <c r="I41" s="164"/>
      <c r="J41" s="164"/>
      <c r="K41" s="164"/>
      <c r="L41" s="164"/>
    </row>
    <row r="42" spans="1:12">
      <c r="A42" s="213" t="s">
        <v>368</v>
      </c>
      <c r="B42" s="229">
        <v>4121208</v>
      </c>
      <c r="C42" s="217" t="s">
        <v>393</v>
      </c>
      <c r="D42" s="165">
        <v>45277</v>
      </c>
      <c r="E42" s="164">
        <v>30</v>
      </c>
      <c r="F42" s="165">
        <v>45307</v>
      </c>
      <c r="G42" s="164">
        <v>-16</v>
      </c>
      <c r="H42" s="166">
        <v>4121208</v>
      </c>
      <c r="I42" s="164"/>
      <c r="J42" s="164"/>
      <c r="K42" s="164"/>
      <c r="L42" s="164"/>
    </row>
    <row r="43" spans="1:12">
      <c r="A43" s="213" t="s">
        <v>368</v>
      </c>
      <c r="B43" s="229">
        <v>5896875</v>
      </c>
      <c r="C43" s="217" t="s">
        <v>394</v>
      </c>
      <c r="D43" s="165">
        <v>45278</v>
      </c>
      <c r="E43" s="164">
        <v>30</v>
      </c>
      <c r="F43" s="165">
        <v>45308</v>
      </c>
      <c r="G43" s="164">
        <v>-17</v>
      </c>
      <c r="H43" s="166">
        <v>5896875</v>
      </c>
      <c r="I43" s="164"/>
      <c r="J43" s="164"/>
      <c r="K43" s="164"/>
      <c r="L43" s="164"/>
    </row>
    <row r="44" spans="1:12">
      <c r="A44" s="213" t="s">
        <v>368</v>
      </c>
      <c r="B44" s="229">
        <v>16418814</v>
      </c>
      <c r="C44" s="217" t="s">
        <v>395</v>
      </c>
      <c r="D44" s="165">
        <v>45278</v>
      </c>
      <c r="E44" s="164">
        <v>30</v>
      </c>
      <c r="F44" s="165">
        <v>45308</v>
      </c>
      <c r="G44" s="164">
        <v>-17</v>
      </c>
      <c r="H44" s="166">
        <v>16418814</v>
      </c>
      <c r="I44" s="164"/>
      <c r="J44" s="164"/>
      <c r="K44" s="164"/>
      <c r="L44" s="164"/>
    </row>
    <row r="45" spans="1:12">
      <c r="A45" s="213" t="s">
        <v>368</v>
      </c>
      <c r="B45" s="229">
        <v>33685725</v>
      </c>
      <c r="C45" s="217" t="s">
        <v>396</v>
      </c>
      <c r="D45" s="165">
        <v>45281</v>
      </c>
      <c r="E45" s="164">
        <v>30</v>
      </c>
      <c r="F45" s="165">
        <v>45311</v>
      </c>
      <c r="G45" s="164">
        <v>-20</v>
      </c>
      <c r="H45" s="166">
        <v>33685725</v>
      </c>
      <c r="I45" s="164"/>
      <c r="J45" s="164"/>
      <c r="K45" s="164"/>
      <c r="L45" s="164"/>
    </row>
    <row r="46" spans="1:12">
      <c r="A46" s="213" t="s">
        <v>368</v>
      </c>
      <c r="B46" s="229">
        <v>13006980</v>
      </c>
      <c r="C46" s="217" t="s">
        <v>397</v>
      </c>
      <c r="D46" s="165">
        <v>45287</v>
      </c>
      <c r="E46" s="164">
        <v>30</v>
      </c>
      <c r="F46" s="165">
        <v>45317</v>
      </c>
      <c r="G46" s="164">
        <v>-26</v>
      </c>
      <c r="H46" s="166">
        <v>13006980</v>
      </c>
      <c r="I46" s="164"/>
      <c r="J46" s="164"/>
      <c r="K46" s="164"/>
      <c r="L46" s="164"/>
    </row>
    <row r="47" spans="1:12">
      <c r="A47" s="213" t="s">
        <v>368</v>
      </c>
      <c r="B47" s="229">
        <v>7284375</v>
      </c>
      <c r="C47" s="217" t="s">
        <v>398</v>
      </c>
      <c r="D47" s="165">
        <v>45289</v>
      </c>
      <c r="E47" s="164">
        <v>30</v>
      </c>
      <c r="F47" s="165">
        <v>45319</v>
      </c>
      <c r="G47" s="164">
        <v>-28</v>
      </c>
      <c r="H47" s="166">
        <v>7284375</v>
      </c>
      <c r="I47" s="164"/>
      <c r="J47" s="164"/>
      <c r="K47" s="164"/>
      <c r="L47" s="164"/>
    </row>
    <row r="48" spans="1:12">
      <c r="A48" s="213" t="s">
        <v>368</v>
      </c>
      <c r="B48" s="229">
        <v>28347024</v>
      </c>
      <c r="C48" s="217" t="s">
        <v>399</v>
      </c>
      <c r="D48" s="165">
        <v>45289</v>
      </c>
      <c r="E48" s="164">
        <v>30</v>
      </c>
      <c r="F48" s="165">
        <v>45319</v>
      </c>
      <c r="G48" s="164">
        <v>-28</v>
      </c>
      <c r="H48" s="166">
        <v>28347024</v>
      </c>
      <c r="I48" s="164"/>
      <c r="J48" s="164"/>
      <c r="K48" s="164"/>
      <c r="L48" s="164"/>
    </row>
    <row r="49" spans="1:12">
      <c r="A49" s="213"/>
      <c r="B49" s="229"/>
      <c r="C49" s="164"/>
      <c r="D49" s="165"/>
      <c r="E49" s="164"/>
      <c r="F49" s="165"/>
      <c r="G49" s="164"/>
      <c r="H49" s="166"/>
      <c r="I49" s="164"/>
      <c r="J49" s="164"/>
      <c r="K49" s="164"/>
      <c r="L49" s="164"/>
    </row>
    <row r="50" spans="1:12">
      <c r="A50" s="213" t="s">
        <v>400</v>
      </c>
      <c r="B50" s="229">
        <v>364217175</v>
      </c>
      <c r="C50" s="217" t="s">
        <v>401</v>
      </c>
      <c r="D50" s="231">
        <v>45204</v>
      </c>
      <c r="E50" s="164">
        <v>30</v>
      </c>
      <c r="F50" s="165">
        <v>45234</v>
      </c>
      <c r="G50" s="164">
        <v>57</v>
      </c>
      <c r="H50" s="166"/>
      <c r="I50" s="164"/>
      <c r="J50" s="166">
        <v>364217175</v>
      </c>
      <c r="K50" s="164"/>
      <c r="L50" s="164"/>
    </row>
    <row r="51" spans="1:12">
      <c r="A51" s="213" t="s">
        <v>400</v>
      </c>
      <c r="B51" s="229">
        <v>367638600</v>
      </c>
      <c r="C51" s="217" t="s">
        <v>402</v>
      </c>
      <c r="D51" s="165">
        <v>45230</v>
      </c>
      <c r="E51" s="164">
        <v>30</v>
      </c>
      <c r="F51" s="165">
        <v>45260</v>
      </c>
      <c r="G51" s="164">
        <v>31</v>
      </c>
      <c r="H51" s="166"/>
      <c r="I51" s="164"/>
      <c r="J51" s="166">
        <v>367638600</v>
      </c>
      <c r="K51" s="164"/>
      <c r="L51" s="164"/>
    </row>
    <row r="52" spans="1:12">
      <c r="A52" s="213" t="s">
        <v>400</v>
      </c>
      <c r="B52" s="229">
        <v>377164725</v>
      </c>
      <c r="C52" s="217" t="s">
        <v>403</v>
      </c>
      <c r="D52" s="165">
        <v>45252</v>
      </c>
      <c r="E52" s="164">
        <v>30</v>
      </c>
      <c r="F52" s="165">
        <v>45282</v>
      </c>
      <c r="G52" s="164">
        <v>9</v>
      </c>
      <c r="H52" s="166"/>
      <c r="I52" s="166">
        <v>377164725</v>
      </c>
      <c r="J52" s="164"/>
      <c r="K52" s="164"/>
      <c r="L52" s="164"/>
    </row>
    <row r="53" spans="1:12">
      <c r="A53" s="213" t="s">
        <v>400</v>
      </c>
      <c r="B53" s="232">
        <v>509128692</v>
      </c>
      <c r="C53" s="217" t="s">
        <v>404</v>
      </c>
      <c r="D53" s="165">
        <v>45190</v>
      </c>
      <c r="E53" s="164">
        <v>30</v>
      </c>
      <c r="F53" s="165">
        <v>45220</v>
      </c>
      <c r="G53" s="164">
        <v>71</v>
      </c>
      <c r="H53" s="166"/>
      <c r="I53" s="164"/>
      <c r="J53" s="164"/>
      <c r="K53" s="166">
        <v>509128692</v>
      </c>
      <c r="L53" s="164"/>
    </row>
    <row r="54" spans="1:12">
      <c r="A54" s="213"/>
      <c r="B54" s="229"/>
      <c r="C54" s="164"/>
      <c r="D54" s="165"/>
      <c r="E54" s="164"/>
      <c r="F54" s="165"/>
      <c r="G54" s="164"/>
      <c r="H54" s="166"/>
      <c r="I54" s="164"/>
      <c r="J54" s="164"/>
      <c r="K54" s="164"/>
      <c r="L54" s="164"/>
    </row>
    <row r="55" spans="1:12">
      <c r="A55" s="213" t="s">
        <v>405</v>
      </c>
      <c r="B55" s="229">
        <v>336447256.73000002</v>
      </c>
      <c r="C55" s="217" t="s">
        <v>406</v>
      </c>
      <c r="D55" s="165">
        <v>45103</v>
      </c>
      <c r="E55" s="164">
        <v>30</v>
      </c>
      <c r="F55" s="165">
        <v>45133</v>
      </c>
      <c r="G55" s="164">
        <v>158</v>
      </c>
      <c r="H55" s="166"/>
      <c r="I55" s="164"/>
      <c r="J55" s="164"/>
      <c r="K55" s="164"/>
      <c r="L55" s="166">
        <v>336447256.73000002</v>
      </c>
    </row>
    <row r="56" spans="1:12">
      <c r="A56" s="213" t="s">
        <v>405</v>
      </c>
      <c r="B56" s="229">
        <v>325405911.27999997</v>
      </c>
      <c r="C56" s="217" t="s">
        <v>407</v>
      </c>
      <c r="D56" s="165">
        <v>45107</v>
      </c>
      <c r="E56" s="164">
        <v>30</v>
      </c>
      <c r="F56" s="165">
        <v>45137</v>
      </c>
      <c r="G56" s="164">
        <v>154</v>
      </c>
      <c r="H56" s="166"/>
      <c r="I56" s="164"/>
      <c r="J56" s="164"/>
      <c r="K56" s="164"/>
      <c r="L56" s="166">
        <v>325405911.27999997</v>
      </c>
    </row>
    <row r="57" spans="1:12">
      <c r="A57" s="213" t="s">
        <v>405</v>
      </c>
      <c r="B57" s="229">
        <v>283279836.41000003</v>
      </c>
      <c r="C57" s="217" t="s">
        <v>408</v>
      </c>
      <c r="D57" s="165">
        <v>45108</v>
      </c>
      <c r="E57" s="164">
        <v>30</v>
      </c>
      <c r="F57" s="165">
        <v>45138</v>
      </c>
      <c r="G57" s="164">
        <v>153</v>
      </c>
      <c r="H57" s="166"/>
      <c r="I57" s="164"/>
      <c r="J57" s="164"/>
      <c r="K57" s="164"/>
      <c r="L57" s="166">
        <v>283279836.41000003</v>
      </c>
    </row>
    <row r="58" spans="1:12">
      <c r="A58" s="213" t="s">
        <v>405</v>
      </c>
      <c r="B58" s="229">
        <v>258177.94</v>
      </c>
      <c r="C58" s="217" t="s">
        <v>409</v>
      </c>
      <c r="D58" s="165">
        <v>45124</v>
      </c>
      <c r="E58" s="164">
        <v>30</v>
      </c>
      <c r="F58" s="165">
        <v>45154</v>
      </c>
      <c r="G58" s="164">
        <v>137</v>
      </c>
      <c r="H58" s="166"/>
      <c r="I58" s="164"/>
      <c r="J58" s="164"/>
      <c r="K58" s="164"/>
      <c r="L58" s="166">
        <v>258177.94</v>
      </c>
    </row>
    <row r="59" spans="1:12">
      <c r="A59" s="213" t="s">
        <v>405</v>
      </c>
      <c r="B59" s="229">
        <v>75700522.319999993</v>
      </c>
      <c r="C59" s="217" t="s">
        <v>292</v>
      </c>
      <c r="D59" s="165">
        <v>45128</v>
      </c>
      <c r="E59" s="164">
        <v>30</v>
      </c>
      <c r="F59" s="165">
        <v>45158</v>
      </c>
      <c r="G59" s="164">
        <v>133</v>
      </c>
      <c r="H59" s="166"/>
      <c r="I59" s="164"/>
      <c r="J59" s="164"/>
      <c r="K59" s="164"/>
      <c r="L59" s="166">
        <v>75700522.319999993</v>
      </c>
    </row>
    <row r="60" spans="1:12">
      <c r="A60" s="213" t="s">
        <v>405</v>
      </c>
      <c r="B60" s="229">
        <v>222585084.58000001</v>
      </c>
      <c r="C60" s="217" t="s">
        <v>410</v>
      </c>
      <c r="D60" s="165">
        <v>45133</v>
      </c>
      <c r="E60" s="164">
        <v>30</v>
      </c>
      <c r="F60" s="165">
        <v>45163</v>
      </c>
      <c r="G60" s="164">
        <v>128</v>
      </c>
      <c r="H60" s="166"/>
      <c r="I60" s="164"/>
      <c r="J60" s="164"/>
      <c r="K60" s="164"/>
      <c r="L60" s="166">
        <v>222585084.58000001</v>
      </c>
    </row>
    <row r="61" spans="1:12">
      <c r="A61" s="213" t="s">
        <v>405</v>
      </c>
      <c r="B61" s="229">
        <v>22890981.059999999</v>
      </c>
      <c r="C61" s="217" t="s">
        <v>411</v>
      </c>
      <c r="D61" s="165">
        <v>45136</v>
      </c>
      <c r="E61" s="164">
        <v>30</v>
      </c>
      <c r="F61" s="165">
        <v>45166</v>
      </c>
      <c r="G61" s="164">
        <v>125</v>
      </c>
      <c r="H61" s="166"/>
      <c r="I61" s="164"/>
      <c r="J61" s="164"/>
      <c r="K61" s="164"/>
      <c r="L61" s="166">
        <v>22890981.059999999</v>
      </c>
    </row>
    <row r="62" spans="1:12">
      <c r="A62" s="213" t="s">
        <v>405</v>
      </c>
      <c r="B62" s="229">
        <v>55015535.390000001</v>
      </c>
      <c r="C62" s="217" t="s">
        <v>412</v>
      </c>
      <c r="D62" s="165">
        <v>45138</v>
      </c>
      <c r="E62" s="164">
        <v>30</v>
      </c>
      <c r="F62" s="165">
        <v>45168</v>
      </c>
      <c r="G62" s="164">
        <v>123</v>
      </c>
      <c r="H62" s="166"/>
      <c r="I62" s="164"/>
      <c r="J62" s="164"/>
      <c r="K62" s="164"/>
      <c r="L62" s="166">
        <v>55015535.390000001</v>
      </c>
    </row>
    <row r="63" spans="1:12">
      <c r="A63" s="213" t="s">
        <v>405</v>
      </c>
      <c r="B63" s="229">
        <v>207681491.94999999</v>
      </c>
      <c r="C63" s="217" t="s">
        <v>413</v>
      </c>
      <c r="D63" s="165">
        <v>45149</v>
      </c>
      <c r="E63" s="164">
        <v>30</v>
      </c>
      <c r="F63" s="165">
        <v>45179</v>
      </c>
      <c r="G63" s="164">
        <v>112</v>
      </c>
      <c r="H63" s="166"/>
      <c r="I63" s="164"/>
      <c r="J63" s="164"/>
      <c r="K63" s="164"/>
      <c r="L63" s="166">
        <v>207681491.94999999</v>
      </c>
    </row>
    <row r="64" spans="1:12">
      <c r="A64" s="213" t="s">
        <v>405</v>
      </c>
      <c r="B64" s="229">
        <v>213858124.66</v>
      </c>
      <c r="C64" s="217" t="s">
        <v>414</v>
      </c>
      <c r="D64" s="165">
        <v>45257</v>
      </c>
      <c r="E64" s="164">
        <v>30</v>
      </c>
      <c r="F64" s="165">
        <v>45287</v>
      </c>
      <c r="G64" s="164">
        <v>4</v>
      </c>
      <c r="H64" s="166"/>
      <c r="I64" s="166">
        <v>213858124.66</v>
      </c>
      <c r="J64" s="164"/>
      <c r="K64" s="164"/>
      <c r="L64" s="164"/>
    </row>
    <row r="65" spans="1:12">
      <c r="A65" s="213" t="s">
        <v>405</v>
      </c>
      <c r="B65" s="229">
        <v>88173878.769999996</v>
      </c>
      <c r="C65" s="217" t="s">
        <v>415</v>
      </c>
      <c r="D65" s="165">
        <v>45262</v>
      </c>
      <c r="E65" s="164">
        <v>30</v>
      </c>
      <c r="F65" s="165">
        <v>45292</v>
      </c>
      <c r="G65" s="164">
        <v>-1</v>
      </c>
      <c r="H65" s="166">
        <v>88173878.769999996</v>
      </c>
      <c r="I65" s="164"/>
      <c r="J65" s="164"/>
      <c r="K65" s="164"/>
      <c r="L65" s="164"/>
    </row>
    <row r="66" spans="1:12">
      <c r="A66" s="213" t="s">
        <v>405</v>
      </c>
      <c r="B66" s="229">
        <v>44972759.259999998</v>
      </c>
      <c r="C66" s="217" t="s">
        <v>416</v>
      </c>
      <c r="D66" s="165">
        <v>45264</v>
      </c>
      <c r="E66" s="164">
        <v>30</v>
      </c>
      <c r="F66" s="165">
        <v>45294</v>
      </c>
      <c r="G66" s="164">
        <v>-3</v>
      </c>
      <c r="H66" s="166">
        <v>44972759.259999998</v>
      </c>
      <c r="I66" s="164"/>
      <c r="J66" s="164"/>
      <c r="K66" s="164"/>
      <c r="L66" s="164"/>
    </row>
    <row r="67" spans="1:12">
      <c r="A67" s="213" t="s">
        <v>405</v>
      </c>
      <c r="B67" s="229">
        <v>96733390.359999999</v>
      </c>
      <c r="C67" s="217" t="s">
        <v>327</v>
      </c>
      <c r="D67" s="165">
        <v>45272</v>
      </c>
      <c r="E67" s="164">
        <v>30</v>
      </c>
      <c r="F67" s="165">
        <v>45302</v>
      </c>
      <c r="G67" s="164">
        <v>-11</v>
      </c>
      <c r="H67" s="166">
        <v>96733390.359999999</v>
      </c>
      <c r="I67" s="164"/>
      <c r="J67" s="164"/>
      <c r="K67" s="164"/>
      <c r="L67" s="164"/>
    </row>
    <row r="68" spans="1:12">
      <c r="A68" s="213" t="s">
        <v>405</v>
      </c>
      <c r="B68" s="229">
        <v>196143805.44999999</v>
      </c>
      <c r="C68" s="217" t="s">
        <v>417</v>
      </c>
      <c r="D68" s="165">
        <v>45278</v>
      </c>
      <c r="E68" s="164">
        <v>30</v>
      </c>
      <c r="F68" s="165">
        <v>45308</v>
      </c>
      <c r="G68" s="164">
        <v>-17</v>
      </c>
      <c r="H68" s="166">
        <v>196143805.44999999</v>
      </c>
      <c r="I68" s="164"/>
      <c r="J68" s="164"/>
      <c r="K68" s="164"/>
      <c r="L68" s="164"/>
    </row>
    <row r="69" spans="1:12">
      <c r="A69" s="213" t="s">
        <v>405</v>
      </c>
      <c r="B69" s="229">
        <v>218935122.36000001</v>
      </c>
      <c r="C69" s="217" t="s">
        <v>332</v>
      </c>
      <c r="D69" s="165">
        <v>45281</v>
      </c>
      <c r="E69" s="164">
        <v>30</v>
      </c>
      <c r="F69" s="165">
        <v>45311</v>
      </c>
      <c r="G69" s="164">
        <v>-20</v>
      </c>
      <c r="H69" s="166">
        <v>218935122.36000001</v>
      </c>
      <c r="I69" s="164"/>
      <c r="J69" s="164"/>
      <c r="K69" s="164"/>
      <c r="L69" s="164"/>
    </row>
    <row r="70" spans="1:12">
      <c r="A70" s="213" t="s">
        <v>405</v>
      </c>
      <c r="B70" s="229">
        <v>246416151.59999999</v>
      </c>
      <c r="C70" s="217" t="s">
        <v>418</v>
      </c>
      <c r="D70" s="165">
        <v>45286</v>
      </c>
      <c r="E70" s="164">
        <v>30</v>
      </c>
      <c r="F70" s="165">
        <v>45316</v>
      </c>
      <c r="G70" s="164">
        <v>-25</v>
      </c>
      <c r="H70" s="166">
        <v>246416151.59999999</v>
      </c>
      <c r="I70" s="164"/>
      <c r="J70" s="164"/>
      <c r="K70" s="164"/>
      <c r="L70" s="164"/>
    </row>
    <row r="71" spans="1:12">
      <c r="A71" s="213"/>
      <c r="B71" s="229"/>
      <c r="C71" s="164"/>
      <c r="D71" s="165"/>
      <c r="E71" s="164"/>
      <c r="F71" s="165"/>
      <c r="G71" s="164"/>
      <c r="H71" s="166"/>
      <c r="I71" s="164"/>
      <c r="J71" s="164"/>
      <c r="K71" s="164"/>
      <c r="L71" s="164"/>
    </row>
    <row r="72" spans="1:12">
      <c r="A72" s="213" t="s">
        <v>301</v>
      </c>
      <c r="B72" s="229">
        <v>224658314.53999999</v>
      </c>
      <c r="C72" s="217" t="s">
        <v>419</v>
      </c>
      <c r="D72" s="165">
        <v>45258</v>
      </c>
      <c r="E72" s="164">
        <v>30</v>
      </c>
      <c r="F72" s="165">
        <v>45288</v>
      </c>
      <c r="G72" s="164">
        <v>3</v>
      </c>
      <c r="H72" s="166"/>
      <c r="I72" s="166">
        <v>224658314.53999999</v>
      </c>
      <c r="J72" s="164"/>
      <c r="K72" s="164"/>
      <c r="L72" s="164"/>
    </row>
    <row r="73" spans="1:12">
      <c r="A73" s="213" t="s">
        <v>301</v>
      </c>
      <c r="B73" s="229">
        <v>98945862.319999993</v>
      </c>
      <c r="C73" s="217" t="s">
        <v>420</v>
      </c>
      <c r="D73" s="165">
        <v>45260</v>
      </c>
      <c r="E73" s="164">
        <v>30</v>
      </c>
      <c r="F73" s="165">
        <v>45290</v>
      </c>
      <c r="G73" s="164">
        <v>1</v>
      </c>
      <c r="H73" s="166"/>
      <c r="I73" s="166">
        <v>98945862.319999993</v>
      </c>
      <c r="J73" s="164"/>
      <c r="K73" s="164"/>
      <c r="L73" s="164"/>
    </row>
    <row r="74" spans="1:12">
      <c r="A74" s="213" t="s">
        <v>301</v>
      </c>
      <c r="B74" s="229">
        <v>249370882.25999999</v>
      </c>
      <c r="C74" s="217" t="s">
        <v>421</v>
      </c>
      <c r="D74" s="165">
        <v>45261</v>
      </c>
      <c r="E74" s="164">
        <v>30</v>
      </c>
      <c r="F74" s="165">
        <v>45291</v>
      </c>
      <c r="G74" s="164">
        <v>0</v>
      </c>
      <c r="H74" s="166">
        <v>249370882.25999999</v>
      </c>
      <c r="I74" s="164"/>
      <c r="J74" s="164"/>
      <c r="K74" s="164"/>
      <c r="L74" s="164"/>
    </row>
    <row r="75" spans="1:12">
      <c r="A75" s="213" t="s">
        <v>301</v>
      </c>
      <c r="B75" s="229">
        <v>228955602.37</v>
      </c>
      <c r="C75" s="217" t="s">
        <v>422</v>
      </c>
      <c r="D75" s="165">
        <v>45265</v>
      </c>
      <c r="E75" s="164">
        <v>30</v>
      </c>
      <c r="F75" s="165">
        <v>45295</v>
      </c>
      <c r="G75" s="164">
        <v>-4</v>
      </c>
      <c r="H75" s="166">
        <v>228955602.37</v>
      </c>
      <c r="I75" s="164"/>
      <c r="J75" s="164"/>
      <c r="K75" s="164"/>
      <c r="L75" s="164"/>
    </row>
    <row r="76" spans="1:12">
      <c r="A76" s="213" t="s">
        <v>301</v>
      </c>
      <c r="B76" s="229">
        <v>75956475.829999998</v>
      </c>
      <c r="C76" s="217" t="s">
        <v>423</v>
      </c>
      <c r="D76" s="165">
        <v>45266</v>
      </c>
      <c r="E76" s="164">
        <v>30</v>
      </c>
      <c r="F76" s="165">
        <v>45296</v>
      </c>
      <c r="G76" s="164">
        <v>-5</v>
      </c>
      <c r="H76" s="166">
        <v>75956475.829999998</v>
      </c>
      <c r="I76" s="164"/>
      <c r="J76" s="164"/>
      <c r="K76" s="164"/>
      <c r="L76" s="164"/>
    </row>
    <row r="77" spans="1:12">
      <c r="A77" s="213" t="s">
        <v>301</v>
      </c>
      <c r="B77" s="229">
        <v>254053807.59999999</v>
      </c>
      <c r="C77" s="217" t="s">
        <v>424</v>
      </c>
      <c r="D77" s="165">
        <v>45267</v>
      </c>
      <c r="E77" s="164">
        <v>30</v>
      </c>
      <c r="F77" s="165">
        <v>45297</v>
      </c>
      <c r="G77" s="164">
        <v>-6</v>
      </c>
      <c r="H77" s="166">
        <v>254053807.59999999</v>
      </c>
      <c r="I77" s="164"/>
      <c r="J77" s="164"/>
      <c r="K77" s="164"/>
      <c r="L77" s="164"/>
    </row>
    <row r="78" spans="1:12">
      <c r="A78" s="213" t="s">
        <v>301</v>
      </c>
      <c r="B78" s="229">
        <v>229627137.33000001</v>
      </c>
      <c r="C78" s="217" t="s">
        <v>425</v>
      </c>
      <c r="D78" s="165">
        <v>45268</v>
      </c>
      <c r="E78" s="164">
        <v>30</v>
      </c>
      <c r="F78" s="165">
        <v>45298</v>
      </c>
      <c r="G78" s="164">
        <v>-7</v>
      </c>
      <c r="H78" s="166">
        <v>229627137.33000001</v>
      </c>
      <c r="I78" s="164"/>
      <c r="J78" s="164"/>
      <c r="K78" s="164"/>
      <c r="L78" s="164"/>
    </row>
    <row r="79" spans="1:12">
      <c r="A79" s="213" t="s">
        <v>301</v>
      </c>
      <c r="B79" s="229">
        <v>251582707.84</v>
      </c>
      <c r="C79" s="217" t="s">
        <v>426</v>
      </c>
      <c r="D79" s="165">
        <v>45268</v>
      </c>
      <c r="E79" s="164">
        <v>30</v>
      </c>
      <c r="F79" s="165">
        <v>45298</v>
      </c>
      <c r="G79" s="164">
        <v>-7</v>
      </c>
      <c r="H79" s="166">
        <v>251582707.84</v>
      </c>
      <c r="I79" s="164"/>
      <c r="J79" s="164"/>
      <c r="K79" s="164"/>
      <c r="L79" s="164"/>
    </row>
    <row r="80" spans="1:12">
      <c r="A80" s="213" t="s">
        <v>301</v>
      </c>
      <c r="B80" s="229">
        <v>259094723.72999999</v>
      </c>
      <c r="C80" s="217" t="s">
        <v>427</v>
      </c>
      <c r="D80" s="165">
        <v>45269</v>
      </c>
      <c r="E80" s="164">
        <v>30</v>
      </c>
      <c r="F80" s="165">
        <v>45299</v>
      </c>
      <c r="G80" s="164">
        <v>-8</v>
      </c>
      <c r="H80" s="166">
        <v>259094723.72999999</v>
      </c>
      <c r="I80" s="164"/>
      <c r="J80" s="164"/>
      <c r="K80" s="164"/>
      <c r="L80" s="164"/>
    </row>
    <row r="81" spans="1:12">
      <c r="A81" s="213" t="s">
        <v>301</v>
      </c>
      <c r="B81" s="229">
        <v>228895525.94</v>
      </c>
      <c r="C81" s="217" t="s">
        <v>428</v>
      </c>
      <c r="D81" s="165">
        <v>45271</v>
      </c>
      <c r="E81" s="164">
        <v>30</v>
      </c>
      <c r="F81" s="165">
        <v>45301</v>
      </c>
      <c r="G81" s="164">
        <v>-10</v>
      </c>
      <c r="H81" s="166">
        <v>228895525.94</v>
      </c>
      <c r="I81" s="164"/>
      <c r="J81" s="164"/>
      <c r="K81" s="164"/>
      <c r="L81" s="164"/>
    </row>
    <row r="82" spans="1:12">
      <c r="A82" s="213" t="s">
        <v>301</v>
      </c>
      <c r="B82" s="229">
        <v>279739522.38</v>
      </c>
      <c r="C82" s="217" t="s">
        <v>326</v>
      </c>
      <c r="D82" s="165">
        <v>45272</v>
      </c>
      <c r="E82" s="164">
        <v>30</v>
      </c>
      <c r="F82" s="165">
        <v>45302</v>
      </c>
      <c r="G82" s="164">
        <v>-11</v>
      </c>
      <c r="H82" s="166">
        <v>279739522.38</v>
      </c>
      <c r="I82" s="164"/>
      <c r="J82" s="164"/>
      <c r="K82" s="164"/>
      <c r="L82" s="164"/>
    </row>
    <row r="83" spans="1:12">
      <c r="A83" s="213" t="s">
        <v>301</v>
      </c>
      <c r="B83" s="229">
        <v>75826820.780000001</v>
      </c>
      <c r="C83" s="217" t="s">
        <v>429</v>
      </c>
      <c r="D83" s="165">
        <v>45272</v>
      </c>
      <c r="E83" s="164">
        <v>30</v>
      </c>
      <c r="F83" s="165">
        <v>45302</v>
      </c>
      <c r="G83" s="164">
        <v>-11</v>
      </c>
      <c r="H83" s="166">
        <v>75826820.780000001</v>
      </c>
      <c r="I83" s="164"/>
      <c r="J83" s="164"/>
      <c r="K83" s="164"/>
      <c r="L83" s="164"/>
    </row>
    <row r="84" spans="1:12">
      <c r="A84" s="213" t="s">
        <v>301</v>
      </c>
      <c r="B84" s="229">
        <v>202746977.15000001</v>
      </c>
      <c r="C84" s="217" t="s">
        <v>430</v>
      </c>
      <c r="D84" s="165">
        <v>45273</v>
      </c>
      <c r="E84" s="164">
        <v>30</v>
      </c>
      <c r="F84" s="165">
        <v>45303</v>
      </c>
      <c r="G84" s="164">
        <v>-12</v>
      </c>
      <c r="H84" s="166">
        <v>202746977.15000001</v>
      </c>
      <c r="I84" s="164"/>
      <c r="J84" s="164"/>
      <c r="K84" s="164"/>
      <c r="L84" s="164"/>
    </row>
    <row r="85" spans="1:12">
      <c r="A85" s="213" t="s">
        <v>301</v>
      </c>
      <c r="B85" s="229">
        <v>221097581.66</v>
      </c>
      <c r="C85" s="217" t="s">
        <v>431</v>
      </c>
      <c r="D85" s="165">
        <v>45273</v>
      </c>
      <c r="E85" s="164">
        <v>30</v>
      </c>
      <c r="F85" s="165">
        <v>45303</v>
      </c>
      <c r="G85" s="164">
        <v>-12</v>
      </c>
      <c r="H85" s="166">
        <v>221097581.66</v>
      </c>
      <c r="I85" s="164"/>
      <c r="J85" s="164"/>
      <c r="K85" s="164"/>
      <c r="L85" s="164"/>
    </row>
    <row r="86" spans="1:12">
      <c r="A86" s="213" t="s">
        <v>301</v>
      </c>
      <c r="B86" s="229">
        <v>220157603.49000001</v>
      </c>
      <c r="C86" s="217" t="s">
        <v>432</v>
      </c>
      <c r="D86" s="165">
        <v>45275</v>
      </c>
      <c r="E86" s="164">
        <v>30</v>
      </c>
      <c r="F86" s="165">
        <v>45305</v>
      </c>
      <c r="G86" s="164">
        <v>-14</v>
      </c>
      <c r="H86" s="166">
        <v>220157603.49000001</v>
      </c>
      <c r="I86" s="164"/>
      <c r="J86" s="164"/>
      <c r="K86" s="164"/>
      <c r="L86" s="164"/>
    </row>
    <row r="87" spans="1:12">
      <c r="A87" s="213" t="s">
        <v>301</v>
      </c>
      <c r="B87" s="229">
        <v>226325057.22</v>
      </c>
      <c r="C87" s="217" t="s">
        <v>433</v>
      </c>
      <c r="D87" s="165">
        <v>45275</v>
      </c>
      <c r="E87" s="164">
        <v>30</v>
      </c>
      <c r="F87" s="165">
        <v>45305</v>
      </c>
      <c r="G87" s="164">
        <v>-14</v>
      </c>
      <c r="H87" s="166">
        <v>226325057.22</v>
      </c>
      <c r="I87" s="164"/>
      <c r="J87" s="164"/>
      <c r="K87" s="164"/>
      <c r="L87" s="164"/>
    </row>
    <row r="88" spans="1:12">
      <c r="A88" s="213" t="s">
        <v>301</v>
      </c>
      <c r="B88" s="229">
        <v>205806422.37</v>
      </c>
      <c r="C88" s="217" t="s">
        <v>434</v>
      </c>
      <c r="D88" s="165">
        <v>45276</v>
      </c>
      <c r="E88" s="164">
        <v>30</v>
      </c>
      <c r="F88" s="165">
        <v>45306</v>
      </c>
      <c r="G88" s="164">
        <v>-15</v>
      </c>
      <c r="H88" s="166">
        <v>205806422.37</v>
      </c>
      <c r="I88" s="164"/>
      <c r="J88" s="164"/>
      <c r="K88" s="164"/>
      <c r="L88" s="164"/>
    </row>
    <row r="89" spans="1:12">
      <c r="A89" s="213" t="s">
        <v>301</v>
      </c>
      <c r="B89" s="229">
        <v>214834154.47</v>
      </c>
      <c r="C89" s="217" t="s">
        <v>435</v>
      </c>
      <c r="D89" s="165">
        <v>45279</v>
      </c>
      <c r="E89" s="164">
        <v>30</v>
      </c>
      <c r="F89" s="165">
        <v>45309</v>
      </c>
      <c r="G89" s="164">
        <v>-18</v>
      </c>
      <c r="H89" s="166">
        <v>214834154.47</v>
      </c>
      <c r="I89" s="164"/>
      <c r="J89" s="164"/>
      <c r="K89" s="164"/>
      <c r="L89" s="164"/>
    </row>
    <row r="90" spans="1:12">
      <c r="A90" s="213" t="s">
        <v>301</v>
      </c>
      <c r="B90" s="229">
        <v>208757797.44</v>
      </c>
      <c r="C90" s="217" t="s">
        <v>436</v>
      </c>
      <c r="D90" s="165">
        <v>45279</v>
      </c>
      <c r="E90" s="164">
        <v>30</v>
      </c>
      <c r="F90" s="165">
        <v>45309</v>
      </c>
      <c r="G90" s="164">
        <v>-18</v>
      </c>
      <c r="H90" s="166">
        <v>208757797.44</v>
      </c>
      <c r="I90" s="164"/>
      <c r="J90" s="164"/>
      <c r="K90" s="164"/>
      <c r="L90" s="164"/>
    </row>
    <row r="91" spans="1:12">
      <c r="A91" s="213" t="s">
        <v>301</v>
      </c>
      <c r="B91" s="229">
        <v>132861190.5</v>
      </c>
      <c r="C91" s="217" t="s">
        <v>437</v>
      </c>
      <c r="D91" s="165">
        <v>45280</v>
      </c>
      <c r="E91" s="164">
        <v>30</v>
      </c>
      <c r="F91" s="165">
        <v>45310</v>
      </c>
      <c r="G91" s="164">
        <v>-19</v>
      </c>
      <c r="H91" s="166">
        <v>132861190.5</v>
      </c>
      <c r="I91" s="164"/>
      <c r="J91" s="164"/>
      <c r="K91" s="164"/>
      <c r="L91" s="164"/>
    </row>
    <row r="92" spans="1:12">
      <c r="A92" s="213" t="s">
        <v>301</v>
      </c>
      <c r="B92" s="229">
        <v>78827107.260000005</v>
      </c>
      <c r="C92" s="217" t="s">
        <v>438</v>
      </c>
      <c r="D92" s="165">
        <v>45281</v>
      </c>
      <c r="E92" s="164">
        <v>30</v>
      </c>
      <c r="F92" s="165">
        <v>45311</v>
      </c>
      <c r="G92" s="164">
        <v>-20</v>
      </c>
      <c r="H92" s="166">
        <v>78827107.260000005</v>
      </c>
      <c r="I92" s="164"/>
      <c r="J92" s="164"/>
      <c r="K92" s="164"/>
      <c r="L92" s="164"/>
    </row>
    <row r="93" spans="1:12">
      <c r="A93" s="213" t="s">
        <v>301</v>
      </c>
      <c r="B93" s="229">
        <v>187385401.34</v>
      </c>
      <c r="C93" s="217" t="s">
        <v>439</v>
      </c>
      <c r="D93" s="165">
        <v>45283</v>
      </c>
      <c r="E93" s="164">
        <v>30</v>
      </c>
      <c r="F93" s="165">
        <v>45313</v>
      </c>
      <c r="G93" s="164">
        <v>-22</v>
      </c>
      <c r="H93" s="166">
        <v>187385401.34</v>
      </c>
      <c r="I93" s="164"/>
      <c r="J93" s="164"/>
      <c r="K93" s="164"/>
      <c r="L93" s="164"/>
    </row>
    <row r="94" spans="1:12">
      <c r="A94" s="213"/>
      <c r="B94" s="229"/>
      <c r="C94" s="164"/>
      <c r="D94" s="165"/>
      <c r="E94" s="164"/>
      <c r="F94" s="165"/>
      <c r="G94" s="164"/>
      <c r="H94" s="166"/>
      <c r="I94" s="164"/>
      <c r="J94" s="164"/>
      <c r="K94" s="164"/>
      <c r="L94" s="164"/>
    </row>
    <row r="95" spans="1:12">
      <c r="A95" s="213" t="s">
        <v>440</v>
      </c>
      <c r="B95" s="229">
        <v>48111840</v>
      </c>
      <c r="C95" s="164">
        <v>1002</v>
      </c>
      <c r="D95" s="165">
        <v>45259</v>
      </c>
      <c r="E95" s="164">
        <v>30</v>
      </c>
      <c r="F95" s="165">
        <v>45289</v>
      </c>
      <c r="G95" s="164">
        <v>2</v>
      </c>
      <c r="H95" s="166"/>
      <c r="I95" s="166">
        <v>48111840</v>
      </c>
      <c r="J95" s="164"/>
      <c r="K95" s="164"/>
      <c r="L95" s="164"/>
    </row>
    <row r="96" spans="1:12">
      <c r="A96" s="213" t="s">
        <v>440</v>
      </c>
      <c r="B96" s="229">
        <v>27710040</v>
      </c>
      <c r="C96" s="164">
        <v>1027</v>
      </c>
      <c r="D96" s="165">
        <v>45266</v>
      </c>
      <c r="E96" s="164">
        <v>30</v>
      </c>
      <c r="F96" s="165">
        <v>45296</v>
      </c>
      <c r="G96" s="164">
        <v>-5</v>
      </c>
      <c r="H96" s="166">
        <v>27710040</v>
      </c>
      <c r="I96" s="164"/>
      <c r="J96" s="164"/>
      <c r="K96" s="164"/>
      <c r="L96" s="164"/>
    </row>
    <row r="97" spans="1:12">
      <c r="A97" s="213"/>
      <c r="B97" s="229"/>
      <c r="C97" s="164"/>
      <c r="D97" s="165"/>
      <c r="E97" s="164"/>
      <c r="F97" s="165"/>
      <c r="G97" s="164"/>
      <c r="H97" s="166"/>
      <c r="I97" s="164"/>
      <c r="J97" s="164"/>
      <c r="K97" s="164"/>
      <c r="L97" s="164"/>
    </row>
    <row r="98" spans="1:12">
      <c r="A98" s="213" t="s">
        <v>441</v>
      </c>
      <c r="B98" s="229">
        <v>12787200</v>
      </c>
      <c r="C98" s="164">
        <v>704</v>
      </c>
      <c r="D98" s="165">
        <v>45146</v>
      </c>
      <c r="E98" s="164">
        <v>30</v>
      </c>
      <c r="F98" s="165">
        <v>45176</v>
      </c>
      <c r="G98" s="164">
        <v>115</v>
      </c>
      <c r="H98" s="166"/>
      <c r="I98" s="164"/>
      <c r="J98" s="164"/>
      <c r="K98" s="164"/>
      <c r="L98" s="166">
        <v>12787200</v>
      </c>
    </row>
    <row r="99" spans="1:12">
      <c r="A99" s="213" t="s">
        <v>441</v>
      </c>
      <c r="B99" s="229">
        <v>23976000</v>
      </c>
      <c r="C99" s="164">
        <v>705</v>
      </c>
      <c r="D99" s="165">
        <v>45146</v>
      </c>
      <c r="E99" s="164">
        <v>30</v>
      </c>
      <c r="F99" s="165">
        <v>45176</v>
      </c>
      <c r="G99" s="164">
        <v>115</v>
      </c>
      <c r="H99" s="166"/>
      <c r="I99" s="164"/>
      <c r="J99" s="164"/>
      <c r="K99" s="164"/>
      <c r="L99" s="166">
        <v>23976000</v>
      </c>
    </row>
    <row r="100" spans="1:12">
      <c r="A100" s="213" t="s">
        <v>441</v>
      </c>
      <c r="B100" s="229">
        <v>3418800</v>
      </c>
      <c r="C100" s="164">
        <v>706</v>
      </c>
      <c r="D100" s="165">
        <v>45146</v>
      </c>
      <c r="E100" s="164">
        <v>30</v>
      </c>
      <c r="F100" s="165">
        <v>45176</v>
      </c>
      <c r="G100" s="164">
        <v>115</v>
      </c>
      <c r="H100" s="166"/>
      <c r="I100" s="164"/>
      <c r="J100" s="164"/>
      <c r="K100" s="164"/>
      <c r="L100" s="166">
        <v>3418800</v>
      </c>
    </row>
    <row r="101" spans="1:12">
      <c r="A101" s="213"/>
      <c r="B101" s="229"/>
      <c r="C101" s="164"/>
      <c r="D101" s="165"/>
      <c r="E101" s="164"/>
      <c r="F101" s="165"/>
      <c r="G101" s="164"/>
      <c r="H101" s="166"/>
      <c r="I101" s="164"/>
      <c r="J101" s="164"/>
      <c r="K101" s="164"/>
      <c r="L101" s="164"/>
    </row>
    <row r="102" spans="1:12">
      <c r="A102" s="213" t="s">
        <v>442</v>
      </c>
      <c r="B102" s="229">
        <v>28510258</v>
      </c>
      <c r="C102" s="164">
        <v>2699</v>
      </c>
      <c r="D102" s="165">
        <v>45198</v>
      </c>
      <c r="E102" s="164">
        <v>30</v>
      </c>
      <c r="F102" s="165">
        <v>45228</v>
      </c>
      <c r="G102" s="164">
        <v>63</v>
      </c>
      <c r="H102" s="166"/>
      <c r="I102" s="164"/>
      <c r="J102" s="164"/>
      <c r="K102" s="166">
        <v>28510258</v>
      </c>
      <c r="L102" s="164"/>
    </row>
    <row r="103" spans="1:12">
      <c r="A103" s="213"/>
      <c r="B103" s="229"/>
      <c r="C103" s="164"/>
      <c r="D103" s="165"/>
      <c r="E103" s="164"/>
      <c r="F103" s="165"/>
      <c r="G103" s="164"/>
      <c r="H103" s="166"/>
      <c r="I103" s="164"/>
      <c r="J103" s="164"/>
      <c r="K103" s="164"/>
      <c r="L103" s="164"/>
    </row>
    <row r="104" spans="1:12">
      <c r="A104" s="213" t="s">
        <v>443</v>
      </c>
      <c r="B104" s="229">
        <v>13597500</v>
      </c>
      <c r="C104" s="164">
        <v>343</v>
      </c>
      <c r="D104" s="165">
        <v>45047</v>
      </c>
      <c r="E104" s="164">
        <v>30</v>
      </c>
      <c r="F104" s="165">
        <v>45077</v>
      </c>
      <c r="G104" s="164">
        <v>214</v>
      </c>
      <c r="H104" s="166"/>
      <c r="I104" s="164"/>
      <c r="J104" s="164"/>
      <c r="K104" s="164"/>
      <c r="L104" s="166">
        <v>13597500</v>
      </c>
    </row>
    <row r="105" spans="1:12">
      <c r="A105" s="213" t="s">
        <v>443</v>
      </c>
      <c r="B105" s="229">
        <v>21367500</v>
      </c>
      <c r="C105" s="164">
        <v>666</v>
      </c>
      <c r="D105" s="165">
        <v>45135</v>
      </c>
      <c r="E105" s="164">
        <v>30</v>
      </c>
      <c r="F105" s="165">
        <v>45165</v>
      </c>
      <c r="G105" s="164">
        <v>126</v>
      </c>
      <c r="H105" s="166"/>
      <c r="I105" s="164"/>
      <c r="J105" s="164"/>
      <c r="K105" s="164"/>
      <c r="L105" s="166">
        <v>21367500</v>
      </c>
    </row>
    <row r="106" spans="1:12">
      <c r="A106" s="213"/>
      <c r="B106" s="229"/>
      <c r="C106" s="164"/>
      <c r="D106" s="165"/>
      <c r="E106" s="164"/>
      <c r="F106" s="165"/>
      <c r="G106" s="164"/>
      <c r="H106" s="166"/>
      <c r="I106" s="164"/>
      <c r="J106" s="164"/>
      <c r="K106" s="164"/>
      <c r="L106" s="164"/>
    </row>
    <row r="107" spans="1:12">
      <c r="A107" s="213" t="s">
        <v>219</v>
      </c>
      <c r="B107" s="229">
        <v>22200000</v>
      </c>
      <c r="C107" s="164">
        <v>7</v>
      </c>
      <c r="D107" s="165">
        <v>44928</v>
      </c>
      <c r="E107" s="164">
        <v>30</v>
      </c>
      <c r="F107" s="165">
        <v>44958</v>
      </c>
      <c r="G107" s="164">
        <v>333</v>
      </c>
      <c r="H107" s="166"/>
      <c r="I107" s="164"/>
      <c r="J107" s="164"/>
      <c r="K107" s="164"/>
      <c r="L107" s="166">
        <v>22200000</v>
      </c>
    </row>
    <row r="108" spans="1:12">
      <c r="A108" s="213"/>
      <c r="B108" s="229"/>
      <c r="C108" s="164"/>
      <c r="D108" s="165"/>
      <c r="E108" s="164"/>
      <c r="F108" s="165"/>
      <c r="G108" s="164"/>
      <c r="H108" s="166"/>
      <c r="I108" s="164"/>
      <c r="J108" s="164"/>
      <c r="K108" s="164"/>
      <c r="L108" s="164"/>
    </row>
    <row r="109" spans="1:12">
      <c r="A109" s="213" t="s">
        <v>50</v>
      </c>
      <c r="B109" s="232">
        <v>40962</v>
      </c>
      <c r="C109" s="234" t="s">
        <v>444</v>
      </c>
      <c r="D109" s="165">
        <v>45177</v>
      </c>
      <c r="E109" s="164">
        <v>30</v>
      </c>
      <c r="F109" s="165">
        <v>45207</v>
      </c>
      <c r="G109" s="164">
        <v>84</v>
      </c>
      <c r="H109" s="166"/>
      <c r="I109" s="164"/>
      <c r="J109" s="164"/>
      <c r="K109" s="166">
        <v>40962</v>
      </c>
      <c r="L109" s="164"/>
    </row>
    <row r="110" spans="1:12">
      <c r="A110" s="213" t="s">
        <v>50</v>
      </c>
      <c r="B110" s="233">
        <v>370000</v>
      </c>
      <c r="C110" s="234" t="s">
        <v>345</v>
      </c>
      <c r="D110" s="165">
        <v>45177</v>
      </c>
      <c r="E110" s="164">
        <v>30</v>
      </c>
      <c r="F110" s="165">
        <v>45207</v>
      </c>
      <c r="G110" s="164">
        <v>84</v>
      </c>
      <c r="H110" s="166"/>
      <c r="I110" s="164"/>
      <c r="J110" s="164"/>
      <c r="K110" s="166">
        <v>370000</v>
      </c>
      <c r="L110" s="164"/>
    </row>
    <row r="111" spans="1:12">
      <c r="A111" s="213" t="s">
        <v>50</v>
      </c>
      <c r="B111" s="233">
        <v>492000</v>
      </c>
      <c r="C111" s="234" t="s">
        <v>351</v>
      </c>
      <c r="D111" s="165">
        <v>45188</v>
      </c>
      <c r="E111" s="164">
        <v>30</v>
      </c>
      <c r="F111" s="165">
        <v>45218</v>
      </c>
      <c r="G111" s="164">
        <v>73</v>
      </c>
      <c r="H111" s="166"/>
      <c r="I111" s="164"/>
      <c r="J111" s="164"/>
      <c r="K111" s="166">
        <v>492000</v>
      </c>
      <c r="L111" s="164"/>
    </row>
    <row r="112" spans="1:12">
      <c r="A112" s="213" t="s">
        <v>50</v>
      </c>
      <c r="B112" s="233">
        <v>920000</v>
      </c>
      <c r="C112" s="234" t="s">
        <v>445</v>
      </c>
      <c r="D112" s="165">
        <v>45190</v>
      </c>
      <c r="E112" s="164">
        <v>30</v>
      </c>
      <c r="F112" s="165">
        <v>45220</v>
      </c>
      <c r="G112" s="164">
        <v>71</v>
      </c>
      <c r="H112" s="166"/>
      <c r="I112" s="164"/>
      <c r="J112" s="164"/>
      <c r="K112" s="166">
        <v>920000</v>
      </c>
      <c r="L112" s="164"/>
    </row>
    <row r="113" spans="1:12">
      <c r="A113" s="213" t="s">
        <v>50</v>
      </c>
      <c r="B113" s="233">
        <v>270000</v>
      </c>
      <c r="C113" s="234" t="s">
        <v>446</v>
      </c>
      <c r="D113" s="165">
        <v>45203</v>
      </c>
      <c r="E113" s="164">
        <v>30</v>
      </c>
      <c r="F113" s="165">
        <v>45233</v>
      </c>
      <c r="G113" s="164">
        <v>58</v>
      </c>
      <c r="H113" s="166"/>
      <c r="I113" s="164"/>
      <c r="J113" s="166">
        <v>270000</v>
      </c>
      <c r="K113" s="164"/>
      <c r="L113" s="164"/>
    </row>
    <row r="114" spans="1:12">
      <c r="A114" s="213" t="s">
        <v>50</v>
      </c>
      <c r="B114" s="233">
        <v>780000</v>
      </c>
      <c r="C114" s="234" t="s">
        <v>447</v>
      </c>
      <c r="D114" s="165">
        <v>45211</v>
      </c>
      <c r="E114" s="164">
        <v>30</v>
      </c>
      <c r="F114" s="165">
        <v>45241</v>
      </c>
      <c r="G114" s="164">
        <v>50</v>
      </c>
      <c r="H114" s="166"/>
      <c r="I114" s="164"/>
      <c r="J114" s="166">
        <v>780000</v>
      </c>
      <c r="K114" s="164"/>
      <c r="L114" s="164"/>
    </row>
    <row r="115" spans="1:12">
      <c r="A115" s="213" t="s">
        <v>50</v>
      </c>
      <c r="B115" s="233">
        <v>90000</v>
      </c>
      <c r="C115" s="234" t="s">
        <v>448</v>
      </c>
      <c r="D115" s="165">
        <v>45211</v>
      </c>
      <c r="E115" s="164">
        <v>30</v>
      </c>
      <c r="F115" s="165">
        <v>45241</v>
      </c>
      <c r="G115" s="164">
        <v>50</v>
      </c>
      <c r="H115" s="166"/>
      <c r="I115" s="164"/>
      <c r="J115" s="166">
        <v>90000</v>
      </c>
      <c r="K115" s="164"/>
      <c r="L115" s="164"/>
    </row>
    <row r="116" spans="1:12">
      <c r="A116" s="213" t="s">
        <v>50</v>
      </c>
      <c r="B116" s="233">
        <v>500000</v>
      </c>
      <c r="C116" s="234" t="s">
        <v>449</v>
      </c>
      <c r="D116" s="165">
        <v>45211</v>
      </c>
      <c r="E116" s="164">
        <v>30</v>
      </c>
      <c r="F116" s="165">
        <v>45241</v>
      </c>
      <c r="G116" s="164">
        <v>50</v>
      </c>
      <c r="H116" s="166"/>
      <c r="I116" s="164"/>
      <c r="J116" s="166">
        <v>500000</v>
      </c>
      <c r="K116" s="164"/>
      <c r="L116" s="164"/>
    </row>
    <row r="117" spans="1:12">
      <c r="A117" s="213" t="s">
        <v>50</v>
      </c>
      <c r="B117" s="233">
        <v>300000</v>
      </c>
      <c r="C117" s="234" t="s">
        <v>450</v>
      </c>
      <c r="D117" s="165">
        <v>45222</v>
      </c>
      <c r="E117" s="164">
        <v>30</v>
      </c>
      <c r="F117" s="165">
        <v>45252</v>
      </c>
      <c r="G117" s="164">
        <v>39</v>
      </c>
      <c r="H117" s="166"/>
      <c r="I117" s="164"/>
      <c r="J117" s="166">
        <v>300000</v>
      </c>
      <c r="K117" s="164"/>
      <c r="L117" s="164"/>
    </row>
    <row r="118" spans="1:12">
      <c r="A118" s="213" t="s">
        <v>50</v>
      </c>
      <c r="B118" s="233">
        <v>380000</v>
      </c>
      <c r="C118" s="234" t="s">
        <v>451</v>
      </c>
      <c r="D118" s="165">
        <v>45226</v>
      </c>
      <c r="E118" s="164">
        <v>30</v>
      </c>
      <c r="F118" s="165">
        <v>45256</v>
      </c>
      <c r="G118" s="164">
        <v>35</v>
      </c>
      <c r="H118" s="166"/>
      <c r="I118" s="164"/>
      <c r="J118" s="166">
        <v>380000</v>
      </c>
      <c r="K118" s="164"/>
      <c r="L118" s="164"/>
    </row>
    <row r="119" spans="1:12">
      <c r="A119" s="213" t="s">
        <v>50</v>
      </c>
      <c r="B119" s="233">
        <v>620000</v>
      </c>
      <c r="C119" s="234" t="s">
        <v>452</v>
      </c>
      <c r="D119" s="165">
        <v>45236</v>
      </c>
      <c r="E119" s="164">
        <v>30</v>
      </c>
      <c r="F119" s="165">
        <v>45266</v>
      </c>
      <c r="G119" s="164">
        <v>25</v>
      </c>
      <c r="H119" s="166"/>
      <c r="I119" s="166">
        <v>620000</v>
      </c>
      <c r="J119" s="164"/>
      <c r="K119" s="164"/>
      <c r="L119" s="164"/>
    </row>
    <row r="120" spans="1:12">
      <c r="A120" s="213" t="s">
        <v>50</v>
      </c>
      <c r="B120" s="233">
        <v>70000</v>
      </c>
      <c r="C120" s="234" t="s">
        <v>453</v>
      </c>
      <c r="D120" s="165">
        <v>45246</v>
      </c>
      <c r="E120" s="164">
        <v>30</v>
      </c>
      <c r="F120" s="165">
        <v>45276</v>
      </c>
      <c r="G120" s="164">
        <v>15</v>
      </c>
      <c r="H120" s="166"/>
      <c r="I120" s="166">
        <v>70000</v>
      </c>
      <c r="J120" s="164"/>
      <c r="K120" s="164"/>
      <c r="L120" s="164"/>
    </row>
    <row r="121" spans="1:12">
      <c r="A121" s="213" t="s">
        <v>50</v>
      </c>
      <c r="B121" s="233">
        <v>827500</v>
      </c>
      <c r="C121" s="234" t="s">
        <v>454</v>
      </c>
      <c r="D121" s="165">
        <v>45246</v>
      </c>
      <c r="E121" s="164">
        <v>30</v>
      </c>
      <c r="F121" s="165">
        <v>45276</v>
      </c>
      <c r="G121" s="164">
        <v>15</v>
      </c>
      <c r="H121" s="166"/>
      <c r="I121" s="166">
        <v>827500</v>
      </c>
      <c r="J121" s="164"/>
      <c r="K121" s="164"/>
      <c r="L121" s="164"/>
    </row>
    <row r="122" spans="1:12">
      <c r="A122" s="213" t="s">
        <v>50</v>
      </c>
      <c r="B122" s="233">
        <v>90000</v>
      </c>
      <c r="C122" s="234" t="s">
        <v>455</v>
      </c>
      <c r="D122" s="165">
        <v>45252</v>
      </c>
      <c r="E122" s="164">
        <v>30</v>
      </c>
      <c r="F122" s="165">
        <v>45282</v>
      </c>
      <c r="G122" s="164">
        <v>9</v>
      </c>
      <c r="H122" s="166"/>
      <c r="I122" s="166">
        <v>90000</v>
      </c>
      <c r="J122" s="164"/>
      <c r="K122" s="164"/>
      <c r="L122" s="164"/>
    </row>
    <row r="123" spans="1:12">
      <c r="A123" s="213" t="s">
        <v>50</v>
      </c>
      <c r="B123" s="233">
        <v>160000</v>
      </c>
      <c r="C123" s="234" t="s">
        <v>456</v>
      </c>
      <c r="D123" s="165">
        <v>45258</v>
      </c>
      <c r="E123" s="164">
        <v>30</v>
      </c>
      <c r="F123" s="165">
        <v>45288</v>
      </c>
      <c r="G123" s="164">
        <v>3</v>
      </c>
      <c r="H123" s="166"/>
      <c r="I123" s="166">
        <v>160000</v>
      </c>
      <c r="J123" s="164"/>
      <c r="K123" s="164"/>
      <c r="L123" s="164"/>
    </row>
    <row r="124" spans="1:12">
      <c r="A124" s="213" t="s">
        <v>50</v>
      </c>
      <c r="B124" s="233">
        <v>3070000</v>
      </c>
      <c r="C124" s="234" t="s">
        <v>457</v>
      </c>
      <c r="D124" s="165">
        <v>45265</v>
      </c>
      <c r="E124" s="164">
        <v>30</v>
      </c>
      <c r="F124" s="165">
        <v>45295</v>
      </c>
      <c r="G124" s="164">
        <v>-4</v>
      </c>
      <c r="H124" s="166">
        <v>3070000</v>
      </c>
      <c r="I124" s="164"/>
      <c r="J124" s="164"/>
      <c r="K124" s="164"/>
      <c r="L124" s="164"/>
    </row>
    <row r="125" spans="1:12">
      <c r="A125" s="213"/>
      <c r="B125" s="229"/>
      <c r="C125" s="164"/>
      <c r="D125" s="165"/>
      <c r="E125" s="164"/>
      <c r="F125" s="165"/>
      <c r="G125" s="164"/>
      <c r="H125" s="166"/>
      <c r="I125" s="164"/>
      <c r="J125" s="164"/>
      <c r="K125" s="164"/>
      <c r="L125" s="164"/>
    </row>
    <row r="126" spans="1:12">
      <c r="A126" s="213" t="s">
        <v>458</v>
      </c>
      <c r="B126" s="229">
        <v>2350000</v>
      </c>
      <c r="C126" s="164">
        <v>679</v>
      </c>
      <c r="D126" s="165">
        <v>45139</v>
      </c>
      <c r="E126" s="164">
        <v>30</v>
      </c>
      <c r="F126" s="165">
        <v>45169</v>
      </c>
      <c r="G126" s="164">
        <v>122</v>
      </c>
      <c r="H126" s="166"/>
      <c r="I126" s="164"/>
      <c r="J126" s="164"/>
      <c r="K126" s="164"/>
      <c r="L126" s="166">
        <v>2350000</v>
      </c>
    </row>
    <row r="127" spans="1:12">
      <c r="A127" s="213" t="s">
        <v>458</v>
      </c>
      <c r="B127" s="229">
        <v>5875021</v>
      </c>
      <c r="C127" s="164">
        <v>888</v>
      </c>
      <c r="D127" s="165">
        <v>45215</v>
      </c>
      <c r="E127" s="164">
        <v>30</v>
      </c>
      <c r="F127" s="165">
        <v>45245</v>
      </c>
      <c r="G127" s="164">
        <v>46</v>
      </c>
      <c r="H127" s="166"/>
      <c r="I127" s="164"/>
      <c r="J127" s="166">
        <v>5875021</v>
      </c>
      <c r="K127" s="164"/>
      <c r="L127" s="164"/>
    </row>
    <row r="128" spans="1:12">
      <c r="A128" s="213" t="s">
        <v>458</v>
      </c>
      <c r="B128" s="229">
        <v>1500000</v>
      </c>
      <c r="C128" s="164">
        <v>892</v>
      </c>
      <c r="D128" s="165">
        <v>45216</v>
      </c>
      <c r="E128" s="164">
        <v>30</v>
      </c>
      <c r="F128" s="165">
        <v>45246</v>
      </c>
      <c r="G128" s="164">
        <v>45</v>
      </c>
      <c r="H128" s="166"/>
      <c r="I128" s="164"/>
      <c r="J128" s="166">
        <v>1500000</v>
      </c>
      <c r="K128" s="164"/>
      <c r="L128" s="164"/>
    </row>
    <row r="129" spans="1:12">
      <c r="A129" s="213" t="s">
        <v>458</v>
      </c>
      <c r="B129" s="229">
        <v>1345000</v>
      </c>
      <c r="C129" s="164">
        <v>975</v>
      </c>
      <c r="D129" s="165">
        <v>45252</v>
      </c>
      <c r="E129" s="164">
        <v>30</v>
      </c>
      <c r="F129" s="165">
        <v>45282</v>
      </c>
      <c r="G129" s="164">
        <v>9</v>
      </c>
      <c r="H129" s="166"/>
      <c r="I129" s="166">
        <v>1345000</v>
      </c>
      <c r="J129" s="164"/>
      <c r="K129" s="164"/>
      <c r="L129" s="164"/>
    </row>
    <row r="130" spans="1:12">
      <c r="A130" s="213"/>
      <c r="B130" s="229"/>
      <c r="C130" s="164"/>
      <c r="D130" s="165"/>
      <c r="E130" s="164"/>
      <c r="F130" s="165"/>
      <c r="G130" s="164"/>
      <c r="H130" s="166"/>
      <c r="I130" s="164"/>
      <c r="J130" s="164"/>
      <c r="K130" s="164"/>
      <c r="L130" s="164"/>
    </row>
    <row r="131" spans="1:12">
      <c r="A131" s="213" t="s">
        <v>35</v>
      </c>
      <c r="B131" s="229">
        <v>10528350</v>
      </c>
      <c r="C131" s="217" t="s">
        <v>439</v>
      </c>
      <c r="D131" s="165">
        <v>45139</v>
      </c>
      <c r="E131" s="164">
        <v>30</v>
      </c>
      <c r="F131" s="165">
        <v>45169</v>
      </c>
      <c r="G131" s="164">
        <v>122</v>
      </c>
      <c r="H131" s="166"/>
      <c r="I131" s="164"/>
      <c r="J131" s="164"/>
      <c r="K131" s="164"/>
      <c r="L131" s="166">
        <v>10528350</v>
      </c>
    </row>
    <row r="132" spans="1:12">
      <c r="A132" s="213" t="s">
        <v>35</v>
      </c>
      <c r="B132" s="229">
        <v>2615160</v>
      </c>
      <c r="C132" s="217" t="s">
        <v>459</v>
      </c>
      <c r="D132" s="165">
        <v>45142</v>
      </c>
      <c r="E132" s="164">
        <v>30</v>
      </c>
      <c r="F132" s="165">
        <v>45172</v>
      </c>
      <c r="G132" s="164">
        <v>119</v>
      </c>
      <c r="H132" s="166"/>
      <c r="I132" s="164"/>
      <c r="J132" s="164"/>
      <c r="K132" s="164"/>
      <c r="L132" s="166">
        <v>2615160</v>
      </c>
    </row>
    <row r="133" spans="1:12">
      <c r="A133" s="213" t="s">
        <v>35</v>
      </c>
      <c r="B133" s="229">
        <v>2634252</v>
      </c>
      <c r="C133" s="217" t="s">
        <v>460</v>
      </c>
      <c r="D133" s="165">
        <v>45149</v>
      </c>
      <c r="E133" s="164">
        <v>30</v>
      </c>
      <c r="F133" s="165">
        <v>45179</v>
      </c>
      <c r="G133" s="164">
        <v>112</v>
      </c>
      <c r="H133" s="166"/>
      <c r="I133" s="164"/>
      <c r="J133" s="164"/>
      <c r="K133" s="164"/>
      <c r="L133" s="166">
        <v>2634252</v>
      </c>
    </row>
    <row r="134" spans="1:12">
      <c r="A134" s="213" t="s">
        <v>35</v>
      </c>
      <c r="B134" s="229">
        <v>2490840</v>
      </c>
      <c r="C134" s="217" t="s">
        <v>461</v>
      </c>
      <c r="D134" s="165">
        <v>45149</v>
      </c>
      <c r="E134" s="164">
        <v>30</v>
      </c>
      <c r="F134" s="165">
        <v>45179</v>
      </c>
      <c r="G134" s="164">
        <v>112</v>
      </c>
      <c r="H134" s="166"/>
      <c r="I134" s="164"/>
      <c r="J134" s="164"/>
      <c r="K134" s="164"/>
      <c r="L134" s="166">
        <v>2490840</v>
      </c>
    </row>
    <row r="135" spans="1:12">
      <c r="A135" s="213" t="s">
        <v>35</v>
      </c>
      <c r="B135" s="229">
        <v>283050</v>
      </c>
      <c r="C135" s="217" t="s">
        <v>462</v>
      </c>
      <c r="D135" s="165">
        <v>45150</v>
      </c>
      <c r="E135" s="164">
        <v>30</v>
      </c>
      <c r="F135" s="165">
        <v>45180</v>
      </c>
      <c r="G135" s="164">
        <v>111</v>
      </c>
      <c r="H135" s="166"/>
      <c r="I135" s="164"/>
      <c r="J135" s="164"/>
      <c r="K135" s="164"/>
      <c r="L135" s="166">
        <v>283050</v>
      </c>
    </row>
    <row r="136" spans="1:12">
      <c r="A136" s="213" t="s">
        <v>35</v>
      </c>
      <c r="B136" s="229">
        <v>708402</v>
      </c>
      <c r="C136" s="217" t="s">
        <v>463</v>
      </c>
      <c r="D136" s="165">
        <v>45156</v>
      </c>
      <c r="E136" s="164">
        <v>30</v>
      </c>
      <c r="F136" s="165">
        <v>45186</v>
      </c>
      <c r="G136" s="164">
        <v>105</v>
      </c>
      <c r="H136" s="166"/>
      <c r="I136" s="164"/>
      <c r="J136" s="164"/>
      <c r="K136" s="164"/>
      <c r="L136" s="166">
        <v>708402</v>
      </c>
    </row>
    <row r="137" spans="1:12">
      <c r="A137" s="213" t="s">
        <v>35</v>
      </c>
      <c r="B137" s="229">
        <v>149850</v>
      </c>
      <c r="C137" s="217" t="s">
        <v>464</v>
      </c>
      <c r="D137" s="165">
        <v>45200</v>
      </c>
      <c r="E137" s="164">
        <v>30</v>
      </c>
      <c r="F137" s="165">
        <v>45230</v>
      </c>
      <c r="G137" s="164">
        <v>61</v>
      </c>
      <c r="H137" s="166"/>
      <c r="I137" s="164"/>
      <c r="J137" s="164"/>
      <c r="K137" s="166">
        <v>149850</v>
      </c>
      <c r="L137" s="164"/>
    </row>
    <row r="138" spans="1:12">
      <c r="A138" s="213" t="s">
        <v>35</v>
      </c>
      <c r="B138" s="229">
        <v>4945050</v>
      </c>
      <c r="C138" s="217" t="s">
        <v>465</v>
      </c>
      <c r="D138" s="165">
        <v>45200</v>
      </c>
      <c r="E138" s="164">
        <v>30</v>
      </c>
      <c r="F138" s="165">
        <v>45230</v>
      </c>
      <c r="G138" s="164">
        <v>61</v>
      </c>
      <c r="H138" s="166"/>
      <c r="I138" s="164"/>
      <c r="J138" s="164"/>
      <c r="K138" s="166">
        <v>4945050</v>
      </c>
      <c r="L138" s="164"/>
    </row>
    <row r="139" spans="1:12">
      <c r="A139" s="213" t="s">
        <v>35</v>
      </c>
      <c r="B139" s="229">
        <v>1082250</v>
      </c>
      <c r="C139" s="217" t="s">
        <v>466</v>
      </c>
      <c r="D139" s="165">
        <v>45201</v>
      </c>
      <c r="E139" s="164">
        <v>30</v>
      </c>
      <c r="F139" s="165">
        <v>45231</v>
      </c>
      <c r="G139" s="164">
        <v>60</v>
      </c>
      <c r="H139" s="166"/>
      <c r="I139" s="164"/>
      <c r="J139" s="166">
        <v>1082250</v>
      </c>
      <c r="K139" s="164"/>
      <c r="L139" s="164"/>
    </row>
    <row r="140" spans="1:12">
      <c r="A140" s="213" t="s">
        <v>35</v>
      </c>
      <c r="B140" s="229">
        <v>219780</v>
      </c>
      <c r="C140" s="217" t="s">
        <v>467</v>
      </c>
      <c r="D140" s="165">
        <v>45209</v>
      </c>
      <c r="E140" s="164">
        <v>30</v>
      </c>
      <c r="F140" s="165">
        <v>45239</v>
      </c>
      <c r="G140" s="164">
        <v>52</v>
      </c>
      <c r="H140" s="166"/>
      <c r="I140" s="164"/>
      <c r="J140" s="166">
        <v>219780</v>
      </c>
      <c r="K140" s="164"/>
      <c r="L140" s="164"/>
    </row>
    <row r="141" spans="1:12">
      <c r="A141" s="213" t="s">
        <v>35</v>
      </c>
      <c r="B141" s="229">
        <v>1068375</v>
      </c>
      <c r="C141" s="217" t="s">
        <v>468</v>
      </c>
      <c r="D141" s="165">
        <v>45211</v>
      </c>
      <c r="E141" s="164">
        <v>30</v>
      </c>
      <c r="F141" s="165">
        <v>45241</v>
      </c>
      <c r="G141" s="164">
        <v>50</v>
      </c>
      <c r="H141" s="166"/>
      <c r="I141" s="164"/>
      <c r="J141" s="166">
        <v>1068375</v>
      </c>
      <c r="K141" s="164"/>
      <c r="L141" s="164"/>
    </row>
    <row r="142" spans="1:12">
      <c r="A142" s="213" t="s">
        <v>35</v>
      </c>
      <c r="B142" s="229">
        <v>1148850</v>
      </c>
      <c r="C142" s="217" t="s">
        <v>469</v>
      </c>
      <c r="D142" s="165">
        <v>45213</v>
      </c>
      <c r="E142" s="164">
        <v>30</v>
      </c>
      <c r="F142" s="165">
        <v>45243</v>
      </c>
      <c r="G142" s="164">
        <v>48</v>
      </c>
      <c r="H142" s="166"/>
      <c r="I142" s="164"/>
      <c r="J142" s="166">
        <v>1148850</v>
      </c>
      <c r="K142" s="164"/>
      <c r="L142" s="164"/>
    </row>
    <row r="143" spans="1:12">
      <c r="A143" s="213" t="s">
        <v>35</v>
      </c>
      <c r="B143" s="229">
        <v>7080690</v>
      </c>
      <c r="C143" s="217" t="s">
        <v>470</v>
      </c>
      <c r="D143" s="165">
        <v>45213</v>
      </c>
      <c r="E143" s="164">
        <v>30</v>
      </c>
      <c r="F143" s="165">
        <v>45243</v>
      </c>
      <c r="G143" s="164">
        <v>48</v>
      </c>
      <c r="H143" s="166"/>
      <c r="I143" s="164"/>
      <c r="J143" s="166">
        <v>7080690</v>
      </c>
      <c r="K143" s="164"/>
      <c r="L143" s="164"/>
    </row>
    <row r="144" spans="1:12">
      <c r="A144" s="213" t="s">
        <v>35</v>
      </c>
      <c r="B144" s="229">
        <v>2475300</v>
      </c>
      <c r="C144" s="217" t="s">
        <v>471</v>
      </c>
      <c r="D144" s="165">
        <v>45215</v>
      </c>
      <c r="E144" s="164">
        <v>30</v>
      </c>
      <c r="F144" s="165">
        <v>45245</v>
      </c>
      <c r="G144" s="164">
        <v>46</v>
      </c>
      <c r="H144" s="166"/>
      <c r="I144" s="164"/>
      <c r="J144" s="166">
        <v>2475300</v>
      </c>
      <c r="K144" s="164"/>
      <c r="L144" s="164"/>
    </row>
    <row r="145" spans="1:12">
      <c r="A145" s="213" t="s">
        <v>35</v>
      </c>
      <c r="B145" s="229">
        <v>471750</v>
      </c>
      <c r="C145" s="217" t="s">
        <v>472</v>
      </c>
      <c r="D145" s="165">
        <v>45218</v>
      </c>
      <c r="E145" s="164">
        <v>30</v>
      </c>
      <c r="F145" s="165">
        <v>45248</v>
      </c>
      <c r="G145" s="164">
        <v>43</v>
      </c>
      <c r="H145" s="166"/>
      <c r="I145" s="164"/>
      <c r="J145" s="166">
        <v>471750</v>
      </c>
      <c r="K145" s="164"/>
      <c r="L145" s="164"/>
    </row>
    <row r="146" spans="1:12">
      <c r="A146" s="213" t="s">
        <v>35</v>
      </c>
      <c r="B146" s="229">
        <v>1598400</v>
      </c>
      <c r="C146" s="217" t="s">
        <v>473</v>
      </c>
      <c r="D146" s="165">
        <v>45224</v>
      </c>
      <c r="E146" s="164">
        <v>30</v>
      </c>
      <c r="F146" s="165">
        <v>45254</v>
      </c>
      <c r="G146" s="164">
        <v>37</v>
      </c>
      <c r="H146" s="166"/>
      <c r="I146" s="164"/>
      <c r="J146" s="166">
        <v>1598400</v>
      </c>
      <c r="K146" s="164"/>
      <c r="L146" s="164"/>
    </row>
    <row r="147" spans="1:12">
      <c r="A147" s="213" t="s">
        <v>35</v>
      </c>
      <c r="B147" s="229">
        <v>571650</v>
      </c>
      <c r="C147" s="217" t="s">
        <v>474</v>
      </c>
      <c r="D147" s="165">
        <v>45232</v>
      </c>
      <c r="E147" s="164">
        <v>30</v>
      </c>
      <c r="F147" s="165">
        <v>45262</v>
      </c>
      <c r="G147" s="164">
        <v>29</v>
      </c>
      <c r="H147" s="166"/>
      <c r="I147" s="166">
        <v>571650</v>
      </c>
      <c r="J147" s="164"/>
      <c r="K147" s="164"/>
      <c r="L147" s="164"/>
    </row>
    <row r="148" spans="1:12">
      <c r="A148" s="213" t="s">
        <v>35</v>
      </c>
      <c r="B148" s="229">
        <v>1085580</v>
      </c>
      <c r="C148" s="217" t="s">
        <v>475</v>
      </c>
      <c r="D148" s="165">
        <v>45232</v>
      </c>
      <c r="E148" s="164">
        <v>30</v>
      </c>
      <c r="F148" s="165">
        <v>45262</v>
      </c>
      <c r="G148" s="164">
        <v>29</v>
      </c>
      <c r="H148" s="166"/>
      <c r="I148" s="166">
        <v>1085580</v>
      </c>
      <c r="J148" s="164"/>
      <c r="K148" s="164"/>
      <c r="L148" s="164"/>
    </row>
    <row r="149" spans="1:12">
      <c r="A149" s="213" t="s">
        <v>35</v>
      </c>
      <c r="B149" s="229">
        <v>93240</v>
      </c>
      <c r="C149" s="217" t="s">
        <v>476</v>
      </c>
      <c r="D149" s="165">
        <v>45234</v>
      </c>
      <c r="E149" s="164">
        <v>30</v>
      </c>
      <c r="F149" s="165">
        <v>45264</v>
      </c>
      <c r="G149" s="164">
        <v>27</v>
      </c>
      <c r="H149" s="166"/>
      <c r="I149" s="166">
        <v>93240</v>
      </c>
      <c r="J149" s="164"/>
      <c r="K149" s="164"/>
      <c r="L149" s="164"/>
    </row>
    <row r="150" spans="1:12">
      <c r="A150" s="213" t="s">
        <v>35</v>
      </c>
      <c r="B150" s="229">
        <v>4595400</v>
      </c>
      <c r="C150" s="217" t="s">
        <v>477</v>
      </c>
      <c r="D150" s="165">
        <v>45236</v>
      </c>
      <c r="E150" s="164">
        <v>30</v>
      </c>
      <c r="F150" s="165">
        <v>45266</v>
      </c>
      <c r="G150" s="164">
        <v>25</v>
      </c>
      <c r="H150" s="166"/>
      <c r="I150" s="166">
        <v>4595400</v>
      </c>
      <c r="J150" s="164"/>
      <c r="K150" s="164"/>
      <c r="L150" s="164"/>
    </row>
    <row r="151" spans="1:12">
      <c r="A151" s="213" t="s">
        <v>35</v>
      </c>
      <c r="B151" s="229">
        <v>388500</v>
      </c>
      <c r="C151" s="217" t="s">
        <v>478</v>
      </c>
      <c r="D151" s="165">
        <v>45237</v>
      </c>
      <c r="E151" s="164">
        <v>30</v>
      </c>
      <c r="F151" s="165">
        <v>45267</v>
      </c>
      <c r="G151" s="164">
        <v>24</v>
      </c>
      <c r="H151" s="166"/>
      <c r="I151" s="166">
        <v>388500</v>
      </c>
      <c r="J151" s="164"/>
      <c r="K151" s="164"/>
      <c r="L151" s="164"/>
    </row>
    <row r="152" spans="1:12">
      <c r="A152" s="213" t="s">
        <v>35</v>
      </c>
      <c r="B152" s="229">
        <v>222000</v>
      </c>
      <c r="C152" s="217" t="s">
        <v>479</v>
      </c>
      <c r="D152" s="165">
        <v>45264</v>
      </c>
      <c r="E152" s="164">
        <v>30</v>
      </c>
      <c r="F152" s="165">
        <v>45294</v>
      </c>
      <c r="G152" s="164">
        <v>-3</v>
      </c>
      <c r="H152" s="166">
        <v>222000</v>
      </c>
      <c r="I152" s="164"/>
      <c r="J152" s="164"/>
      <c r="K152" s="164"/>
      <c r="L152" s="164"/>
    </row>
    <row r="153" spans="1:12">
      <c r="A153" s="213" t="s">
        <v>35</v>
      </c>
      <c r="B153" s="229">
        <v>266400</v>
      </c>
      <c r="C153" s="217" t="s">
        <v>480</v>
      </c>
      <c r="D153" s="165">
        <v>45264</v>
      </c>
      <c r="E153" s="164">
        <v>30</v>
      </c>
      <c r="F153" s="165">
        <v>45294</v>
      </c>
      <c r="G153" s="164">
        <v>-3</v>
      </c>
      <c r="H153" s="166">
        <v>266400</v>
      </c>
      <c r="I153" s="164"/>
      <c r="J153" s="164"/>
      <c r="K153" s="164"/>
      <c r="L153" s="164"/>
    </row>
    <row r="154" spans="1:12">
      <c r="A154" s="213" t="s">
        <v>35</v>
      </c>
      <c r="B154" s="229">
        <v>10867800</v>
      </c>
      <c r="C154" s="217" t="s">
        <v>481</v>
      </c>
      <c r="D154" s="165">
        <v>45264</v>
      </c>
      <c r="E154" s="164">
        <v>30</v>
      </c>
      <c r="F154" s="165">
        <v>45294</v>
      </c>
      <c r="G154" s="164">
        <v>-3</v>
      </c>
      <c r="H154" s="166">
        <v>10867800</v>
      </c>
      <c r="I154" s="164"/>
      <c r="J154" s="164"/>
      <c r="K154" s="164"/>
      <c r="L154" s="164"/>
    </row>
    <row r="155" spans="1:12">
      <c r="A155" s="213" t="s">
        <v>35</v>
      </c>
      <c r="B155" s="229">
        <v>802974</v>
      </c>
      <c r="C155" s="217" t="s">
        <v>482</v>
      </c>
      <c r="D155" s="165">
        <v>45276</v>
      </c>
      <c r="E155" s="164">
        <v>30</v>
      </c>
      <c r="F155" s="165">
        <v>45306</v>
      </c>
      <c r="G155" s="164">
        <v>-15</v>
      </c>
      <c r="H155" s="166">
        <v>802974</v>
      </c>
      <c r="I155" s="164"/>
      <c r="J155" s="164"/>
      <c r="K155" s="164"/>
      <c r="L155" s="164"/>
    </row>
    <row r="156" spans="1:12">
      <c r="A156" s="213"/>
      <c r="B156" s="229"/>
      <c r="C156" s="164"/>
      <c r="D156" s="165"/>
      <c r="E156" s="164"/>
      <c r="F156" s="165"/>
      <c r="G156" s="164"/>
      <c r="H156" s="166"/>
      <c r="I156" s="164"/>
      <c r="J156" s="164"/>
      <c r="K156" s="164"/>
      <c r="L156" s="164"/>
    </row>
    <row r="157" spans="1:12">
      <c r="A157" s="213" t="s">
        <v>483</v>
      </c>
      <c r="B157" s="229">
        <v>50680602</v>
      </c>
      <c r="C157" s="164">
        <v>930</v>
      </c>
      <c r="D157" s="165">
        <v>45236</v>
      </c>
      <c r="E157" s="164">
        <v>30</v>
      </c>
      <c r="F157" s="165">
        <v>45266</v>
      </c>
      <c r="G157" s="164">
        <v>25</v>
      </c>
      <c r="H157" s="166"/>
      <c r="I157" s="166">
        <v>50680602</v>
      </c>
      <c r="J157" s="164"/>
      <c r="K157" s="164"/>
      <c r="L157" s="164"/>
    </row>
    <row r="158" spans="1:12">
      <c r="A158" s="213" t="s">
        <v>483</v>
      </c>
      <c r="B158" s="229">
        <v>54875558</v>
      </c>
      <c r="C158" s="164">
        <v>1028</v>
      </c>
      <c r="D158" s="165">
        <v>45266</v>
      </c>
      <c r="E158" s="164">
        <v>30</v>
      </c>
      <c r="F158" s="165">
        <v>45296</v>
      </c>
      <c r="G158" s="164">
        <v>-5</v>
      </c>
      <c r="H158" s="166">
        <v>54875558</v>
      </c>
      <c r="I158" s="164"/>
      <c r="J158" s="164"/>
      <c r="K158" s="164"/>
      <c r="L158" s="164"/>
    </row>
    <row r="159" spans="1:12">
      <c r="A159" s="213" t="s">
        <v>483</v>
      </c>
      <c r="B159" s="229">
        <v>16068360</v>
      </c>
      <c r="C159" s="164">
        <v>1042</v>
      </c>
      <c r="D159" s="165">
        <v>45271</v>
      </c>
      <c r="E159" s="164">
        <v>30</v>
      </c>
      <c r="F159" s="165">
        <v>45301</v>
      </c>
      <c r="G159" s="164">
        <v>-10</v>
      </c>
      <c r="H159" s="166">
        <v>16068360</v>
      </c>
      <c r="I159" s="164"/>
      <c r="J159" s="164"/>
      <c r="K159" s="164"/>
      <c r="L159" s="164"/>
    </row>
    <row r="160" spans="1:12">
      <c r="A160" s="213"/>
      <c r="B160" s="229"/>
      <c r="C160" s="164"/>
      <c r="D160" s="165"/>
      <c r="E160" s="164"/>
      <c r="F160" s="165"/>
      <c r="G160" s="164"/>
      <c r="H160" s="166"/>
      <c r="I160" s="164"/>
      <c r="J160" s="164"/>
      <c r="K160" s="164"/>
      <c r="L160" s="164"/>
    </row>
    <row r="161" spans="1:19">
      <c r="A161" s="213" t="s">
        <v>484</v>
      </c>
      <c r="B161" s="229">
        <v>31635000</v>
      </c>
      <c r="C161" s="164">
        <v>993</v>
      </c>
      <c r="D161" s="165">
        <v>45257</v>
      </c>
      <c r="E161" s="164">
        <v>30</v>
      </c>
      <c r="F161" s="165">
        <v>45287</v>
      </c>
      <c r="G161" s="164">
        <v>4</v>
      </c>
      <c r="H161" s="166"/>
      <c r="I161" s="166">
        <v>31635000</v>
      </c>
      <c r="J161" s="164"/>
      <c r="K161" s="164"/>
      <c r="L161" s="164"/>
    </row>
    <row r="162" spans="1:19">
      <c r="A162" s="213"/>
      <c r="B162" s="229"/>
      <c r="C162" s="164"/>
      <c r="D162" s="165"/>
      <c r="E162" s="164"/>
      <c r="F162" s="165"/>
      <c r="G162" s="164"/>
      <c r="H162" s="166"/>
      <c r="I162" s="164"/>
      <c r="J162" s="164"/>
      <c r="K162" s="164"/>
      <c r="L162" s="164"/>
    </row>
    <row r="163" spans="1:19">
      <c r="A163" s="213" t="s">
        <v>485</v>
      </c>
      <c r="B163" s="229">
        <v>205810216.2800293</v>
      </c>
      <c r="C163" s="164"/>
      <c r="D163" s="165"/>
      <c r="E163" s="164"/>
      <c r="F163" s="165"/>
      <c r="G163" s="164"/>
      <c r="H163" s="164"/>
      <c r="I163" s="166">
        <v>205810216.2800293</v>
      </c>
      <c r="J163" s="164"/>
      <c r="K163" s="166"/>
      <c r="L163" s="164"/>
    </row>
    <row r="164" spans="1:19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6">
        <f>SUM(H6:H163)</f>
        <v>6514309916.7599983</v>
      </c>
      <c r="N164" s="16">
        <f>SUM(I6:I163)</f>
        <v>1444937835.8000293</v>
      </c>
      <c r="O164" s="16">
        <f>SUM(J6:J163)</f>
        <v>756696191</v>
      </c>
      <c r="P164" s="16">
        <f>SUM(K6:K163)</f>
        <v>544556812</v>
      </c>
      <c r="Q164" s="16">
        <f>SUM(L6:L163)</f>
        <v>2317052351.6599998</v>
      </c>
      <c r="R164" s="23">
        <f>SUM(M164:Q164)</f>
        <v>11577553107.220028</v>
      </c>
      <c r="S164" s="18"/>
    </row>
    <row r="165" spans="1:19">
      <c r="A165" s="164" t="s">
        <v>486</v>
      </c>
      <c r="B165" s="173">
        <v>62518053072.279999</v>
      </c>
      <c r="C165" s="164"/>
      <c r="D165" s="165"/>
      <c r="E165" s="174">
        <v>30</v>
      </c>
      <c r="F165" s="165">
        <v>30</v>
      </c>
      <c r="G165" s="164">
        <v>45261</v>
      </c>
      <c r="H165" s="235">
        <v>56390102719.362251</v>
      </c>
      <c r="I165" s="235">
        <v>1124432546.7602689</v>
      </c>
      <c r="J165" s="235"/>
      <c r="K165" s="235">
        <v>1501648057.1369178</v>
      </c>
      <c r="L165" s="235">
        <v>3501869749.0205603</v>
      </c>
      <c r="Q165" s="195" t="s">
        <v>243</v>
      </c>
      <c r="R165" s="236">
        <v>11577553109</v>
      </c>
    </row>
    <row r="166" spans="1:19">
      <c r="A166" s="164" t="s">
        <v>486</v>
      </c>
      <c r="B166" s="173"/>
      <c r="C166" s="164"/>
      <c r="D166" s="165"/>
      <c r="E166" s="174">
        <v>30</v>
      </c>
      <c r="F166" s="165">
        <v>30</v>
      </c>
      <c r="G166" s="164">
        <v>45261</v>
      </c>
      <c r="H166" s="166">
        <v>0</v>
      </c>
      <c r="I166" s="164"/>
      <c r="J166" s="164"/>
      <c r="K166" s="164"/>
      <c r="L166" s="164"/>
      <c r="R166" s="18">
        <f>R164-R165</f>
        <v>-1.7799720764160156</v>
      </c>
    </row>
    <row r="167" spans="1:19">
      <c r="A167" s="164" t="s">
        <v>486</v>
      </c>
      <c r="B167" s="173"/>
      <c r="C167" s="164"/>
      <c r="D167" s="165"/>
      <c r="E167" s="174">
        <v>30</v>
      </c>
      <c r="F167" s="165">
        <v>30</v>
      </c>
      <c r="G167" s="164">
        <v>45261</v>
      </c>
      <c r="H167" s="166">
        <v>0</v>
      </c>
      <c r="I167" s="164"/>
      <c r="J167" s="164"/>
      <c r="K167" s="164"/>
      <c r="L167" s="164"/>
    </row>
    <row r="168" spans="1:19">
      <c r="A168" s="164" t="s">
        <v>486</v>
      </c>
      <c r="B168" s="173"/>
      <c r="C168" s="164"/>
      <c r="D168" s="165"/>
      <c r="E168" s="174">
        <v>30</v>
      </c>
      <c r="F168" s="165">
        <v>30</v>
      </c>
      <c r="G168" s="164">
        <v>45261</v>
      </c>
      <c r="H168" s="166">
        <v>0</v>
      </c>
      <c r="I168" s="164"/>
      <c r="J168" s="164"/>
      <c r="K168" s="164"/>
      <c r="L168" s="164"/>
    </row>
    <row r="169" spans="1:19">
      <c r="A169" s="164" t="s">
        <v>486</v>
      </c>
      <c r="B169" s="173"/>
      <c r="C169" s="164"/>
      <c r="D169" s="165"/>
      <c r="E169" s="174">
        <v>30</v>
      </c>
      <c r="F169" s="165">
        <v>30</v>
      </c>
      <c r="G169" s="164">
        <v>45261</v>
      </c>
      <c r="H169" s="166">
        <v>0</v>
      </c>
      <c r="I169" s="164"/>
      <c r="J169" s="164"/>
      <c r="K169" s="164"/>
      <c r="L169" s="164"/>
    </row>
    <row r="170" spans="1:19">
      <c r="A170" s="164" t="s">
        <v>486</v>
      </c>
      <c r="B170" s="173"/>
      <c r="C170" s="164"/>
      <c r="D170" s="165"/>
      <c r="E170" s="174">
        <v>30</v>
      </c>
      <c r="F170" s="165">
        <v>30</v>
      </c>
      <c r="G170" s="164">
        <v>45261</v>
      </c>
      <c r="H170" s="166">
        <v>0</v>
      </c>
      <c r="I170" s="164"/>
      <c r="J170" s="164"/>
      <c r="K170" s="164"/>
      <c r="L170" s="164"/>
    </row>
    <row r="171" spans="1:19">
      <c r="A171" s="164" t="s">
        <v>486</v>
      </c>
      <c r="B171" s="173"/>
      <c r="C171" s="164"/>
      <c r="D171" s="165"/>
      <c r="E171" s="174">
        <v>30</v>
      </c>
      <c r="F171" s="165">
        <v>30</v>
      </c>
      <c r="G171" s="164">
        <v>45261</v>
      </c>
      <c r="H171" s="166">
        <v>0</v>
      </c>
      <c r="I171" s="164"/>
      <c r="J171" s="164"/>
      <c r="K171" s="164"/>
      <c r="L171" s="164"/>
    </row>
    <row r="172" spans="1:19">
      <c r="A172" s="164" t="s">
        <v>486</v>
      </c>
      <c r="B172" s="173"/>
      <c r="C172" s="164"/>
      <c r="D172" s="165"/>
      <c r="E172" s="174">
        <v>30</v>
      </c>
      <c r="F172" s="165">
        <v>30</v>
      </c>
      <c r="G172" s="164">
        <v>45261</v>
      </c>
      <c r="H172" s="166">
        <v>0</v>
      </c>
      <c r="I172" s="164"/>
      <c r="J172" s="164"/>
      <c r="K172" s="164"/>
      <c r="L172" s="164"/>
    </row>
    <row r="173" spans="1:19">
      <c r="A173" s="164" t="s">
        <v>486</v>
      </c>
      <c r="B173" s="173"/>
      <c r="C173" s="164"/>
      <c r="D173" s="165"/>
      <c r="E173" s="174">
        <v>30</v>
      </c>
      <c r="F173" s="165">
        <v>30</v>
      </c>
      <c r="G173" s="164">
        <v>45261</v>
      </c>
      <c r="H173" s="166">
        <v>0</v>
      </c>
      <c r="I173" s="164"/>
      <c r="J173" s="164"/>
      <c r="K173" s="164"/>
      <c r="L173" s="164"/>
    </row>
    <row r="174" spans="1:19">
      <c r="A174" s="164" t="s">
        <v>486</v>
      </c>
      <c r="B174" s="173"/>
      <c r="C174" s="164"/>
      <c r="D174" s="165"/>
      <c r="E174" s="174">
        <v>30</v>
      </c>
      <c r="F174" s="165">
        <v>30</v>
      </c>
      <c r="G174" s="164">
        <v>45261</v>
      </c>
      <c r="H174" s="166">
        <v>0</v>
      </c>
      <c r="I174" s="164"/>
      <c r="J174" s="164"/>
      <c r="K174" s="164"/>
      <c r="L174" s="164"/>
    </row>
    <row r="175" spans="1:19">
      <c r="A175" s="164" t="s">
        <v>486</v>
      </c>
      <c r="B175" s="173"/>
      <c r="C175" s="164"/>
      <c r="D175" s="165"/>
      <c r="E175" s="174">
        <v>30</v>
      </c>
      <c r="F175" s="165">
        <v>30</v>
      </c>
      <c r="G175" s="164">
        <v>45261</v>
      </c>
      <c r="H175" s="166">
        <v>0</v>
      </c>
      <c r="I175" s="164"/>
      <c r="J175" s="164"/>
      <c r="K175" s="164"/>
      <c r="L175" s="164"/>
    </row>
    <row r="176" spans="1:19">
      <c r="A176" s="164" t="s">
        <v>486</v>
      </c>
      <c r="B176" s="173"/>
      <c r="C176" s="164"/>
      <c r="D176" s="165"/>
      <c r="E176" s="174">
        <v>30</v>
      </c>
      <c r="F176" s="165">
        <v>30</v>
      </c>
      <c r="G176" s="164">
        <v>45261</v>
      </c>
      <c r="H176" s="166">
        <v>0</v>
      </c>
      <c r="I176" s="164"/>
      <c r="J176" s="164"/>
      <c r="K176" s="164"/>
      <c r="L176" s="164"/>
    </row>
    <row r="177" spans="1:12">
      <c r="A177" s="164" t="s">
        <v>486</v>
      </c>
      <c r="B177" s="173"/>
      <c r="C177" s="164"/>
      <c r="D177" s="165"/>
      <c r="E177" s="174">
        <v>30</v>
      </c>
      <c r="F177" s="165">
        <v>30</v>
      </c>
      <c r="G177" s="164">
        <v>45261</v>
      </c>
      <c r="H177" s="166">
        <v>0</v>
      </c>
      <c r="I177" s="164"/>
      <c r="J177" s="164"/>
      <c r="K177" s="164"/>
      <c r="L177" s="164"/>
    </row>
    <row r="178" spans="1:12">
      <c r="A178" s="164" t="s">
        <v>486</v>
      </c>
      <c r="B178" s="173"/>
      <c r="C178" s="164"/>
      <c r="D178" s="165"/>
      <c r="E178" s="174">
        <v>30</v>
      </c>
      <c r="F178" s="165">
        <v>30</v>
      </c>
      <c r="G178" s="164">
        <v>45261</v>
      </c>
      <c r="H178" s="166">
        <v>0</v>
      </c>
      <c r="I178" s="164"/>
      <c r="J178" s="164"/>
      <c r="K178" s="164"/>
      <c r="L178" s="164"/>
    </row>
    <row r="179" spans="1:12">
      <c r="A179" s="164" t="s">
        <v>486</v>
      </c>
      <c r="B179" s="173"/>
      <c r="C179" s="164"/>
      <c r="D179" s="165"/>
      <c r="E179" s="174">
        <v>30</v>
      </c>
      <c r="F179" s="165">
        <v>30</v>
      </c>
      <c r="G179" s="164">
        <v>45261</v>
      </c>
      <c r="H179" s="166">
        <v>0</v>
      </c>
      <c r="I179" s="164"/>
      <c r="J179" s="164"/>
      <c r="K179" s="164"/>
      <c r="L179" s="164"/>
    </row>
    <row r="180" spans="1:12">
      <c r="A180" s="164" t="s">
        <v>486</v>
      </c>
      <c r="B180" s="173"/>
      <c r="C180" s="164"/>
      <c r="D180" s="165"/>
      <c r="E180" s="174">
        <v>30</v>
      </c>
      <c r="F180" s="165">
        <v>30</v>
      </c>
      <c r="G180" s="164">
        <v>45261</v>
      </c>
      <c r="H180" s="166">
        <v>0</v>
      </c>
      <c r="I180" s="164"/>
      <c r="J180" s="164"/>
      <c r="K180" s="164"/>
      <c r="L180" s="164"/>
    </row>
    <row r="181" spans="1:12">
      <c r="A181" s="164" t="s">
        <v>486</v>
      </c>
      <c r="B181" s="173"/>
      <c r="C181" s="164"/>
      <c r="D181" s="165"/>
      <c r="E181" s="174">
        <v>30</v>
      </c>
      <c r="F181" s="165">
        <v>30</v>
      </c>
      <c r="G181" s="164">
        <v>45261</v>
      </c>
      <c r="H181" s="166">
        <v>0</v>
      </c>
      <c r="I181" s="164"/>
      <c r="J181" s="164"/>
      <c r="K181" s="164"/>
      <c r="L181" s="164"/>
    </row>
    <row r="182" spans="1:12">
      <c r="A182" s="164" t="s">
        <v>486</v>
      </c>
      <c r="B182" s="173"/>
      <c r="C182" s="164"/>
      <c r="D182" s="165"/>
      <c r="E182" s="174">
        <v>30</v>
      </c>
      <c r="F182" s="165">
        <v>30</v>
      </c>
      <c r="G182" s="164">
        <v>45261</v>
      </c>
      <c r="H182" s="166">
        <v>0</v>
      </c>
      <c r="I182" s="164"/>
      <c r="J182" s="164"/>
      <c r="K182" s="164"/>
      <c r="L182" s="164"/>
    </row>
    <row r="183" spans="1:12">
      <c r="A183" s="164" t="s">
        <v>486</v>
      </c>
      <c r="B183" s="173"/>
      <c r="C183" s="164"/>
      <c r="D183" s="165"/>
      <c r="E183" s="174">
        <v>30</v>
      </c>
      <c r="F183" s="165">
        <v>30</v>
      </c>
      <c r="G183" s="164">
        <v>45261</v>
      </c>
      <c r="H183" s="164"/>
      <c r="I183" s="164"/>
      <c r="J183" s="164"/>
      <c r="K183" s="164"/>
      <c r="L183" s="166">
        <v>0</v>
      </c>
    </row>
    <row r="184" spans="1:12">
      <c r="A184" s="164" t="s">
        <v>486</v>
      </c>
      <c r="B184" s="173"/>
      <c r="C184" s="164"/>
      <c r="D184" s="165"/>
      <c r="E184" s="174">
        <v>30</v>
      </c>
      <c r="F184" s="165">
        <v>30</v>
      </c>
      <c r="G184" s="164">
        <v>45261</v>
      </c>
      <c r="H184" s="164"/>
      <c r="I184" s="164"/>
      <c r="J184" s="164"/>
      <c r="K184" s="164"/>
      <c r="L184" s="166">
        <v>0</v>
      </c>
    </row>
    <row r="185" spans="1:12">
      <c r="A185" s="164" t="s">
        <v>486</v>
      </c>
      <c r="B185" s="173"/>
      <c r="C185" s="164"/>
      <c r="D185" s="165"/>
      <c r="E185" s="174">
        <v>30</v>
      </c>
      <c r="F185" s="165">
        <v>30</v>
      </c>
      <c r="G185" s="164">
        <v>45261</v>
      </c>
      <c r="H185" s="164"/>
      <c r="I185" s="164"/>
      <c r="J185" s="164"/>
      <c r="K185" s="166">
        <v>0</v>
      </c>
      <c r="L185" s="164"/>
    </row>
    <row r="186" spans="1:12">
      <c r="A186" s="164" t="s">
        <v>486</v>
      </c>
      <c r="B186" s="173"/>
      <c r="C186" s="164"/>
      <c r="D186" s="165"/>
      <c r="E186" s="174">
        <v>30</v>
      </c>
      <c r="F186" s="165">
        <v>30</v>
      </c>
      <c r="G186" s="164">
        <v>45261</v>
      </c>
      <c r="H186" s="164"/>
      <c r="I186" s="164"/>
      <c r="J186" s="164"/>
      <c r="K186" s="164"/>
      <c r="L186" s="166">
        <v>0</v>
      </c>
    </row>
    <row r="187" spans="1:12">
      <c r="A187" s="164" t="s">
        <v>486</v>
      </c>
      <c r="B187" s="173"/>
      <c r="C187" s="164"/>
      <c r="D187" s="165"/>
      <c r="E187" s="174">
        <v>30</v>
      </c>
      <c r="F187" s="165">
        <v>30</v>
      </c>
      <c r="G187" s="164">
        <v>45261</v>
      </c>
      <c r="H187" s="164"/>
      <c r="I187" s="166">
        <v>0</v>
      </c>
      <c r="J187" s="164"/>
      <c r="K187" s="164"/>
      <c r="L187" s="164"/>
    </row>
    <row r="188" spans="1:12">
      <c r="A188" s="164" t="s">
        <v>486</v>
      </c>
      <c r="B188" s="173"/>
      <c r="C188" s="164"/>
      <c r="D188" s="165"/>
      <c r="E188" s="174">
        <v>30</v>
      </c>
      <c r="F188" s="165">
        <v>30</v>
      </c>
      <c r="G188" s="164">
        <v>45261</v>
      </c>
      <c r="H188" s="166">
        <v>0</v>
      </c>
      <c r="I188" s="164"/>
      <c r="J188" s="164"/>
      <c r="K188" s="164"/>
      <c r="L188" s="164"/>
    </row>
    <row r="189" spans="1:12">
      <c r="A189" s="164" t="s">
        <v>486</v>
      </c>
      <c r="B189" s="173"/>
      <c r="C189" s="164"/>
      <c r="D189" s="165"/>
      <c r="E189" s="174">
        <v>30</v>
      </c>
      <c r="F189" s="165">
        <v>30</v>
      </c>
      <c r="G189" s="164">
        <v>45261</v>
      </c>
      <c r="H189" s="166">
        <v>0</v>
      </c>
      <c r="I189" s="164"/>
      <c r="J189" s="164"/>
      <c r="K189" s="164"/>
      <c r="L189" s="164"/>
    </row>
    <row r="190" spans="1:12">
      <c r="A190" s="164" t="s">
        <v>486</v>
      </c>
      <c r="B190" s="173"/>
      <c r="C190" s="164"/>
      <c r="D190" s="165"/>
      <c r="E190" s="174">
        <v>30</v>
      </c>
      <c r="F190" s="165">
        <v>30</v>
      </c>
      <c r="G190" s="164">
        <v>45261</v>
      </c>
      <c r="H190" s="166">
        <v>0</v>
      </c>
      <c r="I190" s="164"/>
      <c r="J190" s="164"/>
      <c r="K190" s="164"/>
      <c r="L190" s="164"/>
    </row>
    <row r="191" spans="1:12">
      <c r="A191" s="164" t="s">
        <v>486</v>
      </c>
      <c r="B191" s="173"/>
      <c r="C191" s="164"/>
      <c r="D191" s="165"/>
      <c r="E191" s="174">
        <v>30</v>
      </c>
      <c r="F191" s="165">
        <v>30</v>
      </c>
      <c r="G191" s="164">
        <v>45261</v>
      </c>
      <c r="H191" s="166">
        <v>0</v>
      </c>
      <c r="I191" s="164"/>
      <c r="J191" s="164"/>
      <c r="K191" s="164"/>
      <c r="L191" s="164"/>
    </row>
    <row r="192" spans="1:12">
      <c r="A192" s="164" t="s">
        <v>486</v>
      </c>
      <c r="B192" s="173"/>
      <c r="C192" s="164"/>
      <c r="D192" s="165"/>
      <c r="E192" s="174">
        <v>30</v>
      </c>
      <c r="F192" s="165">
        <v>30</v>
      </c>
      <c r="G192" s="164">
        <v>45261</v>
      </c>
      <c r="H192" s="166">
        <v>0</v>
      </c>
      <c r="I192" s="164"/>
      <c r="J192" s="164"/>
      <c r="K192" s="164"/>
      <c r="L192" s="164"/>
    </row>
    <row r="193" spans="1:12">
      <c r="A193" s="164" t="s">
        <v>486</v>
      </c>
      <c r="B193" s="173"/>
      <c r="C193" s="164"/>
      <c r="D193" s="165"/>
      <c r="E193" s="174">
        <v>30</v>
      </c>
      <c r="F193" s="165">
        <v>30</v>
      </c>
      <c r="G193" s="164">
        <v>45261</v>
      </c>
      <c r="H193" s="166">
        <v>0</v>
      </c>
      <c r="I193" s="164"/>
      <c r="J193" s="164"/>
      <c r="K193" s="164"/>
      <c r="L193" s="164"/>
    </row>
    <row r="194" spans="1:12">
      <c r="A194" s="164" t="s">
        <v>486</v>
      </c>
      <c r="B194" s="173"/>
      <c r="C194" s="164"/>
      <c r="D194" s="165"/>
      <c r="E194" s="174">
        <v>30</v>
      </c>
      <c r="F194" s="165">
        <v>30</v>
      </c>
      <c r="G194" s="164">
        <v>45261</v>
      </c>
      <c r="H194" s="166">
        <v>0</v>
      </c>
      <c r="I194" s="164"/>
      <c r="J194" s="164"/>
      <c r="K194" s="164"/>
      <c r="L194" s="164"/>
    </row>
    <row r="195" spans="1:12">
      <c r="A195" s="164" t="s">
        <v>486</v>
      </c>
      <c r="B195" s="173"/>
      <c r="C195" s="164"/>
      <c r="D195" s="165"/>
      <c r="E195" s="174">
        <v>30</v>
      </c>
      <c r="F195" s="165">
        <v>30</v>
      </c>
      <c r="G195" s="164">
        <v>45261</v>
      </c>
      <c r="H195" s="166">
        <v>0</v>
      </c>
      <c r="I195" s="164"/>
      <c r="J195" s="164"/>
      <c r="K195" s="164"/>
      <c r="L195" s="164"/>
    </row>
    <row r="196" spans="1:12">
      <c r="A196" s="164" t="s">
        <v>486</v>
      </c>
      <c r="B196" s="173"/>
      <c r="C196" s="164"/>
      <c r="D196" s="165"/>
      <c r="E196" s="174">
        <v>30</v>
      </c>
      <c r="F196" s="165">
        <v>30</v>
      </c>
      <c r="G196" s="164">
        <v>45261</v>
      </c>
      <c r="H196" s="166">
        <v>0</v>
      </c>
      <c r="I196" s="164"/>
      <c r="J196" s="164"/>
      <c r="K196" s="164"/>
      <c r="L196" s="164"/>
    </row>
    <row r="197" spans="1:12">
      <c r="A197" s="164" t="s">
        <v>486</v>
      </c>
      <c r="B197" s="173"/>
      <c r="C197" s="164"/>
      <c r="D197" s="165"/>
      <c r="E197" s="174">
        <v>30</v>
      </c>
      <c r="F197" s="165">
        <v>30</v>
      </c>
      <c r="G197" s="164">
        <v>45261</v>
      </c>
      <c r="H197" s="164"/>
      <c r="I197" s="164"/>
      <c r="J197" s="164"/>
      <c r="K197" s="166">
        <v>0</v>
      </c>
      <c r="L197" s="164"/>
    </row>
    <row r="198" spans="1:12">
      <c r="A198" s="164" t="s">
        <v>486</v>
      </c>
      <c r="B198" s="173"/>
      <c r="C198" s="164"/>
      <c r="D198" s="165"/>
      <c r="E198" s="174">
        <v>30</v>
      </c>
      <c r="F198" s="165">
        <v>30</v>
      </c>
      <c r="G198" s="164">
        <v>45261</v>
      </c>
      <c r="H198" s="164"/>
      <c r="I198" s="164"/>
      <c r="J198" s="164"/>
      <c r="K198" s="164"/>
      <c r="L198" s="166">
        <v>0</v>
      </c>
    </row>
    <row r="199" spans="1:12">
      <c r="A199" s="164" t="s">
        <v>486</v>
      </c>
      <c r="B199" s="173"/>
      <c r="C199" s="164"/>
      <c r="D199" s="165"/>
      <c r="E199" s="174">
        <v>30</v>
      </c>
      <c r="F199" s="165">
        <v>30</v>
      </c>
      <c r="G199" s="164">
        <v>45261</v>
      </c>
      <c r="H199" s="164"/>
      <c r="I199" s="164"/>
      <c r="J199" s="164"/>
      <c r="K199" s="164"/>
      <c r="L199" s="166">
        <v>0</v>
      </c>
    </row>
    <row r="200" spans="1:12">
      <c r="A200" s="164" t="s">
        <v>486</v>
      </c>
      <c r="B200" s="173"/>
      <c r="C200" s="164"/>
      <c r="D200" s="165"/>
      <c r="E200" s="174">
        <v>30</v>
      </c>
      <c r="F200" s="165">
        <v>30</v>
      </c>
      <c r="G200" s="164">
        <v>45261</v>
      </c>
      <c r="H200" s="164"/>
      <c r="I200" s="164"/>
      <c r="J200" s="164"/>
      <c r="K200" s="164"/>
      <c r="L200" s="166">
        <v>0</v>
      </c>
    </row>
    <row r="201" spans="1:12">
      <c r="A201" s="164" t="s">
        <v>486</v>
      </c>
      <c r="B201" s="173"/>
      <c r="C201" s="164"/>
      <c r="D201" s="165"/>
      <c r="E201" s="174">
        <v>30</v>
      </c>
      <c r="F201" s="165">
        <v>30</v>
      </c>
      <c r="G201" s="164">
        <v>45261</v>
      </c>
      <c r="H201" s="166">
        <v>0</v>
      </c>
      <c r="I201" s="164"/>
      <c r="J201" s="164"/>
      <c r="K201" s="164"/>
      <c r="L201" s="164"/>
    </row>
    <row r="202" spans="1:12">
      <c r="A202" s="164" t="s">
        <v>486</v>
      </c>
      <c r="B202" s="173"/>
      <c r="C202" s="164"/>
      <c r="D202" s="165"/>
      <c r="E202" s="174">
        <v>30</v>
      </c>
      <c r="F202" s="165">
        <v>30</v>
      </c>
      <c r="G202" s="164">
        <v>45261</v>
      </c>
      <c r="H202" s="166">
        <v>0</v>
      </c>
      <c r="I202" s="164"/>
      <c r="J202" s="164"/>
      <c r="K202" s="164"/>
      <c r="L202" s="164"/>
    </row>
    <row r="203" spans="1:12">
      <c r="A203" s="164" t="s">
        <v>486</v>
      </c>
      <c r="B203" s="173"/>
      <c r="C203" s="164"/>
      <c r="D203" s="165"/>
      <c r="E203" s="174">
        <v>30</v>
      </c>
      <c r="F203" s="165">
        <v>30</v>
      </c>
      <c r="G203" s="164">
        <v>45261</v>
      </c>
      <c r="H203" s="166">
        <v>0</v>
      </c>
      <c r="I203" s="164"/>
      <c r="J203" s="164"/>
      <c r="K203" s="164"/>
      <c r="L203" s="164"/>
    </row>
    <row r="204" spans="1:12">
      <c r="A204" s="164" t="s">
        <v>486</v>
      </c>
      <c r="B204" s="173"/>
      <c r="C204" s="164"/>
      <c r="D204" s="165"/>
      <c r="E204" s="174">
        <v>30</v>
      </c>
      <c r="F204" s="165">
        <v>30</v>
      </c>
      <c r="G204" s="164">
        <v>45261</v>
      </c>
      <c r="H204" s="164"/>
      <c r="I204" s="164"/>
      <c r="J204" s="164"/>
      <c r="K204" s="164"/>
      <c r="L204" s="166">
        <v>0</v>
      </c>
    </row>
    <row r="205" spans="1:12">
      <c r="A205" s="164" t="s">
        <v>486</v>
      </c>
      <c r="B205" s="173"/>
      <c r="C205" s="164"/>
      <c r="D205" s="165"/>
      <c r="E205" s="174">
        <v>30</v>
      </c>
      <c r="F205" s="165">
        <v>30</v>
      </c>
      <c r="G205" s="164">
        <v>45261</v>
      </c>
      <c r="H205" s="164"/>
      <c r="I205" s="164"/>
      <c r="J205" s="164"/>
      <c r="K205" s="164"/>
      <c r="L205" s="166">
        <v>0</v>
      </c>
    </row>
    <row r="206" spans="1:12">
      <c r="A206" s="164" t="s">
        <v>486</v>
      </c>
      <c r="B206" s="173"/>
      <c r="C206" s="164"/>
      <c r="D206" s="165"/>
      <c r="E206" s="174">
        <v>30</v>
      </c>
      <c r="F206" s="165">
        <v>30</v>
      </c>
      <c r="G206" s="164">
        <v>45261</v>
      </c>
      <c r="H206" s="166">
        <v>0</v>
      </c>
      <c r="I206" s="164"/>
      <c r="J206" s="164"/>
      <c r="K206" s="164"/>
      <c r="L206" s="164"/>
    </row>
    <row r="207" spans="1:12">
      <c r="A207" s="164" t="s">
        <v>486</v>
      </c>
      <c r="B207" s="173"/>
      <c r="C207" s="164"/>
      <c r="D207" s="165"/>
      <c r="E207" s="174">
        <v>30</v>
      </c>
      <c r="F207" s="165">
        <v>30</v>
      </c>
      <c r="G207" s="164">
        <v>45261</v>
      </c>
      <c r="H207" s="164"/>
      <c r="I207" s="164"/>
      <c r="J207" s="164"/>
      <c r="K207" s="166">
        <v>0</v>
      </c>
      <c r="L207" s="164"/>
    </row>
    <row r="208" spans="1:12">
      <c r="A208" s="164" t="s">
        <v>486</v>
      </c>
      <c r="B208" s="173"/>
      <c r="C208" s="164"/>
      <c r="D208" s="165"/>
      <c r="E208" s="174">
        <v>30</v>
      </c>
      <c r="F208" s="165">
        <v>30</v>
      </c>
      <c r="G208" s="164">
        <v>45261</v>
      </c>
      <c r="H208" s="166">
        <v>0</v>
      </c>
      <c r="I208" s="164"/>
      <c r="J208" s="164"/>
      <c r="K208" s="164"/>
      <c r="L208" s="164"/>
    </row>
    <row r="209" spans="1:12">
      <c r="A209" s="164" t="s">
        <v>486</v>
      </c>
      <c r="B209" s="173"/>
      <c r="C209" s="164"/>
      <c r="D209" s="165"/>
      <c r="E209" s="174">
        <v>30</v>
      </c>
      <c r="F209" s="165">
        <v>30</v>
      </c>
      <c r="G209" s="164">
        <v>45261</v>
      </c>
      <c r="H209" s="166">
        <v>0</v>
      </c>
      <c r="I209" s="164"/>
      <c r="J209" s="164"/>
      <c r="K209" s="164"/>
      <c r="L209" s="164"/>
    </row>
    <row r="210" spans="1:12">
      <c r="A210" s="164" t="s">
        <v>486</v>
      </c>
      <c r="B210" s="173"/>
      <c r="C210" s="164"/>
      <c r="D210" s="165"/>
      <c r="E210" s="174">
        <v>30</v>
      </c>
      <c r="F210" s="165">
        <v>30</v>
      </c>
      <c r="G210" s="164">
        <v>45261</v>
      </c>
      <c r="H210" s="166">
        <v>0</v>
      </c>
      <c r="I210" s="164"/>
      <c r="J210" s="164"/>
      <c r="K210" s="164"/>
      <c r="L210" s="164"/>
    </row>
    <row r="211" spans="1:12">
      <c r="A211" s="164" t="s">
        <v>486</v>
      </c>
      <c r="B211" s="173"/>
      <c r="C211" s="164"/>
      <c r="D211" s="165"/>
      <c r="E211" s="174">
        <v>30</v>
      </c>
      <c r="F211" s="165">
        <v>30</v>
      </c>
      <c r="G211" s="164">
        <v>45261</v>
      </c>
      <c r="H211" s="166">
        <v>0</v>
      </c>
      <c r="I211" s="164"/>
      <c r="J211" s="164"/>
      <c r="K211" s="164"/>
      <c r="L211" s="164"/>
    </row>
    <row r="212" spans="1:12">
      <c r="A212" s="164" t="s">
        <v>486</v>
      </c>
      <c r="B212" s="173"/>
      <c r="C212" s="164"/>
      <c r="D212" s="165"/>
      <c r="E212" s="174">
        <v>30</v>
      </c>
      <c r="F212" s="165">
        <v>30</v>
      </c>
      <c r="G212" s="164">
        <v>45261</v>
      </c>
      <c r="H212" s="166">
        <v>0</v>
      </c>
      <c r="I212" s="164"/>
      <c r="J212" s="164"/>
      <c r="K212" s="164"/>
      <c r="L212" s="164"/>
    </row>
    <row r="213" spans="1:12">
      <c r="A213" s="164" t="s">
        <v>486</v>
      </c>
      <c r="B213" s="173"/>
      <c r="C213" s="164"/>
      <c r="D213" s="165"/>
      <c r="E213" s="174">
        <v>30</v>
      </c>
      <c r="F213" s="165">
        <v>30</v>
      </c>
      <c r="G213" s="164">
        <v>45261</v>
      </c>
      <c r="H213" s="166">
        <v>0</v>
      </c>
      <c r="I213" s="164"/>
      <c r="J213" s="164"/>
      <c r="K213" s="164"/>
      <c r="L213" s="164"/>
    </row>
    <row r="214" spans="1:12">
      <c r="A214" s="164" t="s">
        <v>486</v>
      </c>
      <c r="B214" s="173"/>
      <c r="C214" s="164"/>
      <c r="D214" s="165"/>
      <c r="E214" s="174">
        <v>30</v>
      </c>
      <c r="F214" s="165">
        <v>30</v>
      </c>
      <c r="G214" s="164">
        <v>45261</v>
      </c>
      <c r="H214" s="166">
        <v>0</v>
      </c>
      <c r="I214" s="164"/>
      <c r="J214" s="164"/>
      <c r="K214" s="164"/>
      <c r="L214" s="164"/>
    </row>
    <row r="215" spans="1:12">
      <c r="A215" s="164" t="s">
        <v>486</v>
      </c>
      <c r="B215" s="173"/>
      <c r="C215" s="164"/>
      <c r="D215" s="165"/>
      <c r="E215" s="174">
        <v>30</v>
      </c>
      <c r="F215" s="165">
        <v>30</v>
      </c>
      <c r="G215" s="164">
        <v>45261</v>
      </c>
      <c r="H215" s="166">
        <v>0</v>
      </c>
      <c r="I215" s="164"/>
      <c r="J215" s="164"/>
      <c r="K215" s="164"/>
      <c r="L215" s="164"/>
    </row>
    <row r="216" spans="1:12">
      <c r="A216" s="164" t="s">
        <v>486</v>
      </c>
      <c r="B216" s="173"/>
      <c r="C216" s="164"/>
      <c r="D216" s="165"/>
      <c r="E216" s="174">
        <v>30</v>
      </c>
      <c r="F216" s="165">
        <v>30</v>
      </c>
      <c r="G216" s="164">
        <v>45261</v>
      </c>
      <c r="H216" s="166">
        <v>0</v>
      </c>
      <c r="I216" s="164"/>
      <c r="J216" s="164"/>
      <c r="K216" s="164"/>
      <c r="L216" s="164"/>
    </row>
    <row r="217" spans="1:12">
      <c r="A217" s="164" t="s">
        <v>486</v>
      </c>
      <c r="B217" s="173"/>
      <c r="C217" s="164"/>
      <c r="D217" s="165"/>
      <c r="E217" s="174">
        <v>30</v>
      </c>
      <c r="F217" s="165">
        <v>30</v>
      </c>
      <c r="G217" s="164">
        <v>45261</v>
      </c>
      <c r="H217" s="166">
        <v>0</v>
      </c>
      <c r="I217" s="164"/>
      <c r="J217" s="164"/>
      <c r="K217" s="164"/>
      <c r="L217" s="164"/>
    </row>
    <row r="218" spans="1:12">
      <c r="A218" s="164" t="s">
        <v>486</v>
      </c>
      <c r="B218" s="173"/>
      <c r="C218" s="164"/>
      <c r="D218" s="165"/>
      <c r="E218" s="174">
        <v>30</v>
      </c>
      <c r="F218" s="165">
        <v>30</v>
      </c>
      <c r="G218" s="164">
        <v>45261</v>
      </c>
      <c r="H218" s="166">
        <v>0</v>
      </c>
      <c r="I218" s="164"/>
      <c r="J218" s="164"/>
      <c r="K218" s="164"/>
      <c r="L218" s="164"/>
    </row>
    <row r="219" spans="1:12">
      <c r="A219" s="164" t="s">
        <v>486</v>
      </c>
      <c r="B219" s="173"/>
      <c r="C219" s="164"/>
      <c r="D219" s="165"/>
      <c r="E219" s="174">
        <v>30</v>
      </c>
      <c r="F219" s="165">
        <v>30</v>
      </c>
      <c r="G219" s="164">
        <v>45261</v>
      </c>
      <c r="H219" s="166">
        <v>0</v>
      </c>
      <c r="I219" s="164"/>
      <c r="J219" s="164"/>
      <c r="K219" s="164"/>
      <c r="L219" s="164"/>
    </row>
    <row r="220" spans="1:12">
      <c r="A220" s="164" t="s">
        <v>486</v>
      </c>
      <c r="B220" s="173"/>
      <c r="C220" s="164"/>
      <c r="D220" s="165"/>
      <c r="E220" s="174">
        <v>30</v>
      </c>
      <c r="F220" s="165">
        <v>30</v>
      </c>
      <c r="G220" s="164">
        <v>45261</v>
      </c>
      <c r="H220" s="166">
        <v>0</v>
      </c>
      <c r="I220" s="164"/>
      <c r="J220" s="164"/>
      <c r="K220" s="164"/>
      <c r="L220" s="164"/>
    </row>
    <row r="221" spans="1:12">
      <c r="A221" s="164" t="s">
        <v>486</v>
      </c>
      <c r="B221" s="173"/>
      <c r="C221" s="164"/>
      <c r="D221" s="165"/>
      <c r="E221" s="174">
        <v>30</v>
      </c>
      <c r="F221" s="165">
        <v>30</v>
      </c>
      <c r="G221" s="164">
        <v>45261</v>
      </c>
      <c r="H221" s="166">
        <v>0</v>
      </c>
      <c r="I221" s="164"/>
      <c r="J221" s="164"/>
      <c r="K221" s="164"/>
      <c r="L221" s="164"/>
    </row>
    <row r="222" spans="1:12">
      <c r="A222" s="164" t="s">
        <v>486</v>
      </c>
      <c r="B222" s="173"/>
      <c r="C222" s="164"/>
      <c r="D222" s="165"/>
      <c r="E222" s="174">
        <v>30</v>
      </c>
      <c r="F222" s="165">
        <v>30</v>
      </c>
      <c r="G222" s="164">
        <v>45261</v>
      </c>
      <c r="H222" s="166">
        <v>0</v>
      </c>
      <c r="I222" s="164"/>
      <c r="J222" s="164"/>
      <c r="K222" s="164"/>
      <c r="L222" s="164"/>
    </row>
    <row r="223" spans="1:12">
      <c r="A223" s="164" t="s">
        <v>486</v>
      </c>
      <c r="B223" s="173"/>
      <c r="C223" s="164"/>
      <c r="D223" s="165"/>
      <c r="E223" s="174">
        <v>30</v>
      </c>
      <c r="F223" s="165">
        <v>30</v>
      </c>
      <c r="G223" s="164">
        <v>45261</v>
      </c>
      <c r="H223" s="166">
        <v>0</v>
      </c>
      <c r="I223" s="164"/>
      <c r="J223" s="164"/>
      <c r="K223" s="164"/>
      <c r="L223" s="164"/>
    </row>
    <row r="224" spans="1:12">
      <c r="A224" s="164" t="s">
        <v>486</v>
      </c>
      <c r="B224" s="173"/>
      <c r="C224" s="164"/>
      <c r="D224" s="165"/>
      <c r="E224" s="174">
        <v>30</v>
      </c>
      <c r="F224" s="165">
        <v>30</v>
      </c>
      <c r="G224" s="164">
        <v>45261</v>
      </c>
      <c r="H224" s="166">
        <v>0</v>
      </c>
      <c r="I224" s="164"/>
      <c r="J224" s="164"/>
      <c r="K224" s="164"/>
      <c r="L224" s="164"/>
    </row>
    <row r="225" spans="1:12">
      <c r="A225" s="164" t="s">
        <v>486</v>
      </c>
      <c r="B225" s="173"/>
      <c r="C225" s="164"/>
      <c r="D225" s="165"/>
      <c r="E225" s="174">
        <v>30</v>
      </c>
      <c r="F225" s="165">
        <v>30</v>
      </c>
      <c r="G225" s="164">
        <v>45261</v>
      </c>
      <c r="H225" s="166">
        <v>0</v>
      </c>
      <c r="I225" s="164"/>
      <c r="J225" s="164"/>
      <c r="K225" s="164"/>
      <c r="L225" s="164"/>
    </row>
    <row r="226" spans="1:12">
      <c r="A226" s="164" t="s">
        <v>486</v>
      </c>
      <c r="B226" s="173"/>
      <c r="C226" s="164"/>
      <c r="D226" s="165"/>
      <c r="E226" s="174">
        <v>30</v>
      </c>
      <c r="F226" s="165">
        <v>30</v>
      </c>
      <c r="G226" s="164">
        <v>45261</v>
      </c>
      <c r="H226" s="166">
        <v>0</v>
      </c>
      <c r="I226" s="164"/>
      <c r="J226" s="164"/>
      <c r="K226" s="164"/>
      <c r="L226" s="164"/>
    </row>
    <row r="227" spans="1:12">
      <c r="A227" s="164" t="s">
        <v>486</v>
      </c>
      <c r="B227" s="173"/>
      <c r="C227" s="164"/>
      <c r="D227" s="165"/>
      <c r="E227" s="174">
        <v>30</v>
      </c>
      <c r="F227" s="165">
        <v>30</v>
      </c>
      <c r="G227" s="164">
        <v>45261</v>
      </c>
      <c r="H227" s="166">
        <v>0</v>
      </c>
      <c r="I227" s="164"/>
      <c r="J227" s="164"/>
      <c r="K227" s="164"/>
      <c r="L227" s="164"/>
    </row>
    <row r="228" spans="1:12">
      <c r="A228" s="176" t="s">
        <v>246</v>
      </c>
      <c r="B228" s="177">
        <v>74095606179.500031</v>
      </c>
      <c r="C228" s="158"/>
      <c r="D228" s="158"/>
      <c r="E228" s="158"/>
      <c r="F228" s="158"/>
      <c r="G228" s="158"/>
      <c r="H228" s="177">
        <v>62904412636.122253</v>
      </c>
      <c r="I228" s="177">
        <v>2569370382.560298</v>
      </c>
      <c r="J228" s="177">
        <v>756696191</v>
      </c>
      <c r="K228" s="177">
        <v>2046204869.1369178</v>
      </c>
      <c r="L228" s="177">
        <v>5818922100.6805601</v>
      </c>
    </row>
    <row r="229" spans="1:12">
      <c r="A229" s="178" t="s">
        <v>243</v>
      </c>
      <c r="B229" s="179">
        <v>74095606182</v>
      </c>
    </row>
    <row r="230" spans="1:12">
      <c r="B230" s="180">
        <v>-2.499969482421875</v>
      </c>
    </row>
    <row r="231" spans="1:12">
      <c r="H231" s="206">
        <v>0.90198110702787015</v>
      </c>
      <c r="I231" s="206">
        <v>1.7985725586499961E-2</v>
      </c>
      <c r="J231" s="206"/>
      <c r="K231" s="206">
        <v>2.4019430921829784E-2</v>
      </c>
      <c r="L231" s="206">
        <v>5.6013736463800104E-2</v>
      </c>
    </row>
    <row r="232" spans="1:12">
      <c r="B232" s="235"/>
      <c r="H232" s="235">
        <v>56390102719.362251</v>
      </c>
      <c r="I232" s="235">
        <v>1124432546.7602689</v>
      </c>
      <c r="J232" s="235"/>
      <c r="K232" s="235">
        <v>1501648057.1369178</v>
      </c>
      <c r="L232" s="235">
        <v>3501869749.0205603</v>
      </c>
    </row>
    <row r="233" spans="1:12">
      <c r="B233" s="18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2473-8CF8-4433-A57D-BD591FEA0D77}">
  <sheetPr>
    <tabColor rgb="FFFC92CA"/>
  </sheetPr>
  <dimension ref="A1:R82"/>
  <sheetViews>
    <sheetView zoomScale="87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8" sqref="F8"/>
    </sheetView>
  </sheetViews>
  <sheetFormatPr defaultRowHeight="14.5"/>
  <cols>
    <col min="1" max="1" width="26.08984375" bestFit="1" customWidth="1"/>
    <col min="2" max="2" width="17.36328125" bestFit="1" customWidth="1"/>
    <col min="3" max="3" width="11.54296875" bestFit="1" customWidth="1"/>
    <col min="4" max="4" width="10.453125" bestFit="1" customWidth="1"/>
    <col min="5" max="5" width="12.08984375" bestFit="1" customWidth="1"/>
    <col min="6" max="6" width="18.6328125" bestFit="1" customWidth="1"/>
    <col min="7" max="7" width="10.453125" customWidth="1"/>
    <col min="8" max="8" width="18.08984375" bestFit="1" customWidth="1"/>
    <col min="9" max="9" width="18.36328125" style="16" customWidth="1"/>
    <col min="10" max="10" width="17.453125" style="16" bestFit="1" customWidth="1"/>
    <col min="11" max="11" width="10.453125" customWidth="1"/>
    <col min="12" max="12" width="16.90625" bestFit="1" customWidth="1"/>
    <col min="13" max="13" width="18.54296875" bestFit="1" customWidth="1"/>
    <col min="14" max="14" width="15.36328125" bestFit="1" customWidth="1"/>
    <col min="15" max="15" width="10.1796875" bestFit="1" customWidth="1"/>
    <col min="18" max="18" width="12.1796875" bestFit="1" customWidth="1"/>
  </cols>
  <sheetData>
    <row r="1" spans="1:13">
      <c r="A1" s="198" t="s">
        <v>145</v>
      </c>
    </row>
    <row r="2" spans="1:13">
      <c r="A2" s="198" t="s">
        <v>268</v>
      </c>
    </row>
    <row r="3" spans="1:13">
      <c r="A3" s="199">
        <v>45291</v>
      </c>
    </row>
    <row r="5" spans="1:13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  <c r="M5" s="2"/>
    </row>
    <row r="6" spans="1:13">
      <c r="A6" s="2" t="s">
        <v>2</v>
      </c>
      <c r="B6" s="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265" t="s">
        <v>178</v>
      </c>
      <c r="J6" s="265" t="s">
        <v>175</v>
      </c>
      <c r="K6" s="112" t="s">
        <v>176</v>
      </c>
      <c r="L6" s="112" t="s">
        <v>177</v>
      </c>
      <c r="M6" s="2" t="s">
        <v>269</v>
      </c>
    </row>
    <row r="7" spans="1:13">
      <c r="A7" s="2" t="s">
        <v>355</v>
      </c>
      <c r="B7" s="3"/>
      <c r="C7" s="2"/>
      <c r="D7" s="4"/>
      <c r="E7" s="1"/>
      <c r="F7" s="4"/>
      <c r="G7" s="1"/>
      <c r="H7" s="62"/>
      <c r="I7" s="39"/>
      <c r="J7" s="39"/>
      <c r="K7" s="1"/>
      <c r="L7" s="1"/>
      <c r="M7" s="4"/>
    </row>
    <row r="8" spans="1:13">
      <c r="A8" s="1" t="s">
        <v>356</v>
      </c>
      <c r="B8" s="26">
        <f>1700816901-8172720-4780769</f>
        <v>1687863412</v>
      </c>
      <c r="C8" s="1" t="s">
        <v>489</v>
      </c>
      <c r="D8" s="4">
        <v>45282</v>
      </c>
      <c r="E8" s="1">
        <v>60</v>
      </c>
      <c r="F8" s="4">
        <f t="shared" ref="F8:F22" si="0">D8+E8</f>
        <v>45342</v>
      </c>
      <c r="G8" s="1">
        <f t="shared" ref="G8:G22" si="1">$A$3-F8</f>
        <v>-51</v>
      </c>
      <c r="H8" s="62">
        <f>B8</f>
        <v>1687863412</v>
      </c>
      <c r="I8" s="39"/>
      <c r="J8" s="39"/>
      <c r="K8" s="4"/>
      <c r="L8" s="4"/>
      <c r="M8" s="4"/>
    </row>
    <row r="9" spans="1:13">
      <c r="A9" s="1"/>
      <c r="B9" s="26">
        <f>1563815841-8172720-4780769</f>
        <v>1550862352</v>
      </c>
      <c r="C9" s="1" t="s">
        <v>490</v>
      </c>
      <c r="D9" s="4">
        <v>45282</v>
      </c>
      <c r="E9" s="1">
        <v>60</v>
      </c>
      <c r="F9" s="4">
        <f t="shared" si="0"/>
        <v>45342</v>
      </c>
      <c r="G9" s="1">
        <f t="shared" si="1"/>
        <v>-51</v>
      </c>
      <c r="H9" s="62">
        <f t="shared" ref="H9:H12" si="2">B9</f>
        <v>1550862352</v>
      </c>
      <c r="I9" s="39"/>
      <c r="J9" s="39"/>
      <c r="K9" s="4"/>
      <c r="L9" s="4"/>
      <c r="M9" s="4"/>
    </row>
    <row r="10" spans="1:13">
      <c r="A10" s="1"/>
      <c r="B10" s="26">
        <f>1687786758-8172720-4780769</f>
        <v>1674833269</v>
      </c>
      <c r="C10" s="1" t="s">
        <v>491</v>
      </c>
      <c r="D10" s="4">
        <v>45288</v>
      </c>
      <c r="E10" s="1">
        <v>60</v>
      </c>
      <c r="F10" s="4">
        <f t="shared" si="0"/>
        <v>45348</v>
      </c>
      <c r="G10" s="1">
        <f t="shared" si="1"/>
        <v>-57</v>
      </c>
      <c r="H10" s="62">
        <f t="shared" si="2"/>
        <v>1674833269</v>
      </c>
      <c r="I10" s="39"/>
      <c r="J10" s="39"/>
      <c r="K10" s="4"/>
      <c r="L10" s="4"/>
      <c r="M10" s="4"/>
    </row>
    <row r="11" spans="1:13">
      <c r="A11" s="39"/>
      <c r="B11" s="87">
        <f>1673758800-8172720-4780769</f>
        <v>1660805311</v>
      </c>
      <c r="C11" s="250" t="s">
        <v>492</v>
      </c>
      <c r="D11" s="185">
        <v>45290</v>
      </c>
      <c r="E11" s="1">
        <v>60</v>
      </c>
      <c r="F11" s="4">
        <f t="shared" si="0"/>
        <v>45350</v>
      </c>
      <c r="G11" s="1">
        <f t="shared" si="1"/>
        <v>-59</v>
      </c>
      <c r="H11" s="62">
        <f t="shared" si="2"/>
        <v>1660805311</v>
      </c>
      <c r="I11" s="39"/>
      <c r="J11" s="39"/>
      <c r="K11" s="4"/>
      <c r="L11" s="4"/>
      <c r="M11" s="4"/>
    </row>
    <row r="12" spans="1:13">
      <c r="A12" s="27"/>
      <c r="B12" s="87">
        <f>1501018400-8172720-4780769</f>
        <v>1488064911</v>
      </c>
      <c r="C12" s="250" t="s">
        <v>493</v>
      </c>
      <c r="D12" s="185">
        <v>45290</v>
      </c>
      <c r="E12" s="1">
        <v>60</v>
      </c>
      <c r="F12" s="4">
        <f t="shared" si="0"/>
        <v>45350</v>
      </c>
      <c r="G12" s="1">
        <f t="shared" si="1"/>
        <v>-59</v>
      </c>
      <c r="H12" s="62">
        <f t="shared" si="2"/>
        <v>1488064911</v>
      </c>
      <c r="I12" s="39"/>
      <c r="J12" s="39"/>
      <c r="K12" s="4"/>
      <c r="L12" s="4"/>
      <c r="M12" s="4"/>
    </row>
    <row r="13" spans="1:13">
      <c r="A13" s="1"/>
      <c r="B13" s="26"/>
      <c r="C13" s="1"/>
      <c r="D13" s="4"/>
      <c r="E13" s="1"/>
      <c r="F13" s="4"/>
      <c r="G13" s="1"/>
      <c r="H13" s="62"/>
      <c r="I13" s="39"/>
      <c r="J13" s="39"/>
      <c r="K13" s="4"/>
      <c r="L13" s="4"/>
      <c r="M13" s="4"/>
    </row>
    <row r="14" spans="1:13">
      <c r="A14" s="1" t="s">
        <v>357</v>
      </c>
      <c r="B14" s="26">
        <v>1661844800.0000029</v>
      </c>
      <c r="C14" s="1" t="s">
        <v>494</v>
      </c>
      <c r="D14" s="4">
        <v>45290</v>
      </c>
      <c r="E14" s="1">
        <v>60</v>
      </c>
      <c r="F14" s="4">
        <f>D14+E14</f>
        <v>45350</v>
      </c>
      <c r="G14" s="1">
        <f>$A$3-F14</f>
        <v>-59</v>
      </c>
      <c r="H14" s="62">
        <f>B14</f>
        <v>1661844800.0000029</v>
      </c>
      <c r="I14" s="39"/>
      <c r="J14" s="39"/>
      <c r="K14" s="1"/>
      <c r="L14" s="1"/>
      <c r="M14" s="4"/>
    </row>
    <row r="15" spans="1:13">
      <c r="A15" s="1"/>
      <c r="B15" s="26"/>
      <c r="C15" s="1"/>
      <c r="D15" s="4"/>
      <c r="E15" s="1"/>
      <c r="F15" s="4"/>
      <c r="G15" s="1"/>
      <c r="H15" s="62"/>
      <c r="I15" s="39"/>
      <c r="J15" s="39"/>
      <c r="K15" s="1"/>
      <c r="L15" s="1"/>
      <c r="M15" s="4"/>
    </row>
    <row r="16" spans="1:13">
      <c r="A16" s="1" t="s">
        <v>358</v>
      </c>
      <c r="B16" s="26">
        <v>550050587.79999995</v>
      </c>
      <c r="C16" s="1" t="s">
        <v>495</v>
      </c>
      <c r="D16" s="4">
        <v>45290</v>
      </c>
      <c r="E16" s="1">
        <v>60</v>
      </c>
      <c r="F16" s="4">
        <f t="shared" si="0"/>
        <v>45350</v>
      </c>
      <c r="G16" s="1">
        <f t="shared" si="1"/>
        <v>-59</v>
      </c>
      <c r="H16" s="62">
        <f>B16</f>
        <v>550050587.79999995</v>
      </c>
      <c r="I16" s="39"/>
      <c r="J16" s="39"/>
      <c r="K16" s="1"/>
      <c r="L16" s="1"/>
      <c r="M16" s="4"/>
    </row>
    <row r="17" spans="1:18">
      <c r="A17" s="1"/>
      <c r="B17" s="26"/>
      <c r="C17" s="1"/>
      <c r="D17" s="4"/>
      <c r="E17" s="1"/>
      <c r="F17" s="4"/>
      <c r="G17" s="1"/>
      <c r="H17" s="62"/>
      <c r="I17" s="39"/>
      <c r="J17" s="39"/>
      <c r="K17" s="1"/>
      <c r="L17" s="1"/>
      <c r="M17" s="4"/>
    </row>
    <row r="18" spans="1:18">
      <c r="A18" s="1" t="s">
        <v>359</v>
      </c>
      <c r="B18" s="26">
        <v>953225970</v>
      </c>
      <c r="C18" s="1" t="s">
        <v>496</v>
      </c>
      <c r="D18" s="4">
        <v>45290</v>
      </c>
      <c r="E18" s="1">
        <v>60</v>
      </c>
      <c r="F18" s="4">
        <f t="shared" si="0"/>
        <v>45350</v>
      </c>
      <c r="G18" s="1">
        <f t="shared" si="1"/>
        <v>-59</v>
      </c>
      <c r="H18" s="62">
        <f t="shared" ref="H18:H19" si="3">B18</f>
        <v>953225970</v>
      </c>
      <c r="I18" s="39"/>
      <c r="J18" s="39"/>
      <c r="K18" s="1"/>
      <c r="L18" s="1"/>
      <c r="M18" s="1"/>
    </row>
    <row r="19" spans="1:18">
      <c r="A19" s="1" t="s">
        <v>359</v>
      </c>
      <c r="B19" s="26">
        <v>1075673790</v>
      </c>
      <c r="C19" s="1" t="s">
        <v>497</v>
      </c>
      <c r="D19" s="4">
        <v>45290</v>
      </c>
      <c r="E19" s="1">
        <v>60</v>
      </c>
      <c r="F19" s="4">
        <f t="shared" si="0"/>
        <v>45350</v>
      </c>
      <c r="G19" s="1">
        <f t="shared" si="1"/>
        <v>-59</v>
      </c>
      <c r="H19" s="62">
        <f t="shared" si="3"/>
        <v>1075673790</v>
      </c>
      <c r="I19" s="39"/>
      <c r="J19" s="39"/>
      <c r="K19" s="1"/>
      <c r="L19" s="1"/>
      <c r="M19" s="1"/>
    </row>
    <row r="20" spans="1:18">
      <c r="A20" s="1"/>
      <c r="B20" s="26"/>
      <c r="C20" s="1"/>
      <c r="D20" s="4"/>
      <c r="E20" s="1"/>
      <c r="F20" s="4"/>
      <c r="G20" s="1"/>
      <c r="H20" s="62"/>
      <c r="I20" s="39"/>
      <c r="J20" s="39"/>
      <c r="K20" s="1"/>
      <c r="L20" s="1"/>
      <c r="M20" s="1"/>
    </row>
    <row r="21" spans="1:18">
      <c r="A21" s="1" t="s">
        <v>360</v>
      </c>
      <c r="B21" s="26">
        <v>624270919.5999999</v>
      </c>
      <c r="C21" s="1" t="s">
        <v>498</v>
      </c>
      <c r="D21" s="4">
        <v>45290</v>
      </c>
      <c r="E21" s="1">
        <v>60</v>
      </c>
      <c r="F21" s="4">
        <f t="shared" si="0"/>
        <v>45350</v>
      </c>
      <c r="G21" s="1">
        <f t="shared" si="1"/>
        <v>-59</v>
      </c>
      <c r="H21" s="62">
        <f t="shared" ref="H21:H22" si="4">B21</f>
        <v>624270919.5999999</v>
      </c>
      <c r="I21" s="39"/>
      <c r="J21" s="39"/>
      <c r="K21" s="4"/>
      <c r="L21" s="4"/>
      <c r="M21" s="1"/>
    </row>
    <row r="22" spans="1:18">
      <c r="A22" s="1" t="s">
        <v>361</v>
      </c>
      <c r="B22" s="26">
        <v>890273999.75</v>
      </c>
      <c r="C22" s="1" t="s">
        <v>499</v>
      </c>
      <c r="D22" s="4">
        <v>45290</v>
      </c>
      <c r="E22" s="1">
        <v>60</v>
      </c>
      <c r="F22" s="4">
        <f t="shared" si="0"/>
        <v>45350</v>
      </c>
      <c r="G22" s="1">
        <f t="shared" si="1"/>
        <v>-59</v>
      </c>
      <c r="H22" s="62">
        <f t="shared" si="4"/>
        <v>890273999.75</v>
      </c>
      <c r="I22" s="39"/>
      <c r="J22" s="39"/>
      <c r="K22" s="4"/>
      <c r="L22" s="4"/>
      <c r="M22" s="1"/>
    </row>
    <row r="23" spans="1:18">
      <c r="A23" s="6"/>
      <c r="B23" s="183"/>
      <c r="C23" s="6"/>
      <c r="D23" s="6"/>
      <c r="E23" s="6"/>
      <c r="F23" s="6"/>
      <c r="G23" s="6"/>
      <c r="H23" s="6"/>
      <c r="I23" s="266"/>
      <c r="J23" s="266"/>
      <c r="K23" s="6"/>
      <c r="L23" s="6"/>
      <c r="M23" s="6"/>
    </row>
    <row r="24" spans="1:18">
      <c r="A24" s="2" t="s">
        <v>362</v>
      </c>
      <c r="B24" s="3"/>
      <c r="C24" s="1"/>
      <c r="D24" s="4"/>
      <c r="E24" s="1">
        <v>30</v>
      </c>
      <c r="F24" s="4">
        <f t="shared" ref="F24:F26" si="5">D24+E24</f>
        <v>30</v>
      </c>
      <c r="G24" s="1">
        <f t="shared" ref="G24:G26" si="6">$A$3-F24</f>
        <v>45261</v>
      </c>
      <c r="H24" s="62"/>
      <c r="I24" s="39">
        <f>B24</f>
        <v>0</v>
      </c>
      <c r="J24" s="39"/>
      <c r="K24" s="1"/>
      <c r="L24" s="1"/>
      <c r="M24" s="4"/>
    </row>
    <row r="25" spans="1:18">
      <c r="A25" s="1" t="s">
        <v>363</v>
      </c>
      <c r="B25" s="26">
        <v>211054410</v>
      </c>
      <c r="C25" s="1"/>
      <c r="D25" s="4"/>
      <c r="E25" s="1">
        <v>30</v>
      </c>
      <c r="F25" s="4">
        <f t="shared" si="5"/>
        <v>30</v>
      </c>
      <c r="G25" s="1">
        <f t="shared" si="6"/>
        <v>45261</v>
      </c>
      <c r="H25" s="62"/>
      <c r="I25" s="39"/>
      <c r="J25" s="39"/>
      <c r="K25" s="1"/>
      <c r="L25" s="27">
        <f>B25</f>
        <v>211054410</v>
      </c>
      <c r="M25" s="4"/>
    </row>
    <row r="26" spans="1:18">
      <c r="A26" s="1" t="s">
        <v>364</v>
      </c>
      <c r="B26" s="26">
        <v>1480185</v>
      </c>
      <c r="C26" s="1"/>
      <c r="D26" s="4"/>
      <c r="E26" s="1">
        <v>30</v>
      </c>
      <c r="F26" s="4">
        <f t="shared" si="5"/>
        <v>30</v>
      </c>
      <c r="G26" s="1">
        <f t="shared" si="6"/>
        <v>45261</v>
      </c>
      <c r="H26" s="62"/>
      <c r="I26" s="39">
        <v>1480185</v>
      </c>
      <c r="J26" s="39"/>
      <c r="K26" s="1"/>
      <c r="L26" s="1"/>
      <c r="M26" s="4"/>
    </row>
    <row r="27" spans="1:18">
      <c r="A27" s="8"/>
      <c r="B27" s="186"/>
      <c r="C27" s="8"/>
      <c r="D27" s="8"/>
      <c r="E27" s="8"/>
      <c r="F27" s="8"/>
      <c r="G27" s="8"/>
      <c r="H27" s="8"/>
      <c r="I27" s="267"/>
      <c r="J27" s="267"/>
      <c r="K27" s="8"/>
      <c r="L27" s="8"/>
      <c r="M27" s="8"/>
      <c r="N27" s="18">
        <f>SUM(H8:H26)</f>
        <v>13817769322.150003</v>
      </c>
      <c r="O27" s="16">
        <f>SUM(I8:I26)</f>
        <v>1480185</v>
      </c>
      <c r="P27" s="18">
        <f>SUM(J8:J26)</f>
        <v>0</v>
      </c>
      <c r="Q27" s="18">
        <f>SUM(K8:K26)</f>
        <v>0</v>
      </c>
      <c r="R27" s="16">
        <f>SUM(L8:L26)</f>
        <v>211054410</v>
      </c>
    </row>
    <row r="28" spans="1:18">
      <c r="A28" s="2" t="s">
        <v>365</v>
      </c>
      <c r="B28" s="3"/>
      <c r="C28" s="1"/>
      <c r="D28" s="1"/>
      <c r="E28" s="1"/>
      <c r="F28" s="1"/>
      <c r="G28" s="1"/>
      <c r="H28" s="1"/>
      <c r="I28" s="39"/>
      <c r="J28" s="39"/>
      <c r="K28" s="1"/>
      <c r="L28" s="62">
        <f t="shared" ref="L28" si="7">B28</f>
        <v>0</v>
      </c>
      <c r="M28" s="1"/>
    </row>
    <row r="29" spans="1:18">
      <c r="A29" s="218" t="s">
        <v>172</v>
      </c>
      <c r="B29" s="201">
        <v>389330720.72000003</v>
      </c>
      <c r="C29" s="182" t="s">
        <v>304</v>
      </c>
      <c r="D29" s="4">
        <v>44963</v>
      </c>
      <c r="E29" s="101">
        <v>30</v>
      </c>
      <c r="F29" s="4">
        <f t="shared" ref="F29:F79" si="8">D29+E29</f>
        <v>44993</v>
      </c>
      <c r="G29" s="1">
        <f t="shared" ref="G29:G79" si="9">$A$3-F29</f>
        <v>298</v>
      </c>
      <c r="H29" s="62"/>
      <c r="I29" s="39"/>
      <c r="J29" s="39"/>
      <c r="K29" s="1"/>
      <c r="L29" s="58">
        <f>B29</f>
        <v>389330720.72000003</v>
      </c>
      <c r="M29" s="1"/>
    </row>
    <row r="30" spans="1:18">
      <c r="A30" s="218" t="s">
        <v>172</v>
      </c>
      <c r="B30" s="202">
        <v>19885325.030000001</v>
      </c>
      <c r="C30" s="182" t="s">
        <v>305</v>
      </c>
      <c r="D30" s="4">
        <v>44986</v>
      </c>
      <c r="E30" s="101">
        <v>30</v>
      </c>
      <c r="F30" s="4">
        <f t="shared" si="8"/>
        <v>45016</v>
      </c>
      <c r="G30" s="1">
        <f t="shared" si="9"/>
        <v>275</v>
      </c>
      <c r="H30" s="62"/>
      <c r="I30" s="39"/>
      <c r="J30" s="39"/>
      <c r="K30" s="1"/>
      <c r="L30" s="58">
        <f t="shared" ref="L30:L42" si="10">B30</f>
        <v>19885325.030000001</v>
      </c>
      <c r="M30" s="1"/>
    </row>
    <row r="31" spans="1:18">
      <c r="A31" s="218" t="s">
        <v>172</v>
      </c>
      <c r="B31" s="202">
        <v>23165676.600000001</v>
      </c>
      <c r="C31" s="182" t="s">
        <v>306</v>
      </c>
      <c r="D31" s="4">
        <v>45078</v>
      </c>
      <c r="E31" s="101">
        <v>30</v>
      </c>
      <c r="F31" s="4">
        <f t="shared" si="8"/>
        <v>45108</v>
      </c>
      <c r="G31" s="1">
        <f t="shared" si="9"/>
        <v>183</v>
      </c>
      <c r="H31" s="62"/>
      <c r="I31" s="39"/>
      <c r="J31" s="39"/>
      <c r="K31" s="1"/>
      <c r="L31" s="58">
        <f t="shared" si="10"/>
        <v>23165676.600000001</v>
      </c>
      <c r="M31" s="1"/>
    </row>
    <row r="32" spans="1:18">
      <c r="A32" s="218" t="s">
        <v>172</v>
      </c>
      <c r="B32" s="202">
        <v>19583812.699999999</v>
      </c>
      <c r="C32" s="182" t="s">
        <v>307</v>
      </c>
      <c r="D32" s="4">
        <v>45082</v>
      </c>
      <c r="E32" s="101">
        <v>30</v>
      </c>
      <c r="F32" s="4">
        <f t="shared" si="8"/>
        <v>45112</v>
      </c>
      <c r="G32" s="1">
        <f t="shared" si="9"/>
        <v>179</v>
      </c>
      <c r="H32" s="1"/>
      <c r="I32" s="39"/>
      <c r="J32" s="39"/>
      <c r="K32" s="1"/>
      <c r="L32" s="58">
        <f t="shared" si="10"/>
        <v>19583812.699999999</v>
      </c>
      <c r="M32" s="1"/>
    </row>
    <row r="33" spans="1:13">
      <c r="A33" s="218" t="s">
        <v>172</v>
      </c>
      <c r="B33" s="202">
        <v>73079258.900000006</v>
      </c>
      <c r="C33" s="182" t="s">
        <v>308</v>
      </c>
      <c r="D33" s="4">
        <v>45092</v>
      </c>
      <c r="E33" s="101">
        <v>30</v>
      </c>
      <c r="F33" s="4">
        <f t="shared" si="8"/>
        <v>45122</v>
      </c>
      <c r="G33" s="1">
        <f t="shared" si="9"/>
        <v>169</v>
      </c>
      <c r="H33" s="1"/>
      <c r="I33" s="39"/>
      <c r="J33" s="39"/>
      <c r="K33" s="1"/>
      <c r="L33" s="58">
        <f t="shared" si="10"/>
        <v>73079258.900000006</v>
      </c>
      <c r="M33" s="1"/>
    </row>
    <row r="34" spans="1:13">
      <c r="A34" s="218" t="s">
        <v>172</v>
      </c>
      <c r="B34" s="202">
        <v>293730339.68000001</v>
      </c>
      <c r="C34" s="182" t="s">
        <v>309</v>
      </c>
      <c r="D34" s="4">
        <v>45117</v>
      </c>
      <c r="E34" s="101">
        <v>30</v>
      </c>
      <c r="F34" s="4">
        <f t="shared" si="8"/>
        <v>45147</v>
      </c>
      <c r="G34" s="1">
        <f t="shared" si="9"/>
        <v>144</v>
      </c>
      <c r="H34" s="1"/>
      <c r="I34" s="39"/>
      <c r="J34" s="39"/>
      <c r="K34" s="1"/>
      <c r="L34" s="58">
        <f t="shared" si="10"/>
        <v>293730339.68000001</v>
      </c>
      <c r="M34" s="1"/>
    </row>
    <row r="35" spans="1:13">
      <c r="A35" s="218" t="s">
        <v>172</v>
      </c>
      <c r="B35" s="202">
        <v>128619151.61</v>
      </c>
      <c r="C35" s="182" t="s">
        <v>310</v>
      </c>
      <c r="D35" s="4">
        <v>45126</v>
      </c>
      <c r="E35" s="101">
        <v>30</v>
      </c>
      <c r="F35" s="4">
        <f t="shared" si="8"/>
        <v>45156</v>
      </c>
      <c r="G35" s="1">
        <f t="shared" si="9"/>
        <v>135</v>
      </c>
      <c r="H35" s="1"/>
      <c r="I35" s="39"/>
      <c r="J35" s="39"/>
      <c r="K35" s="1"/>
      <c r="L35" s="58">
        <f t="shared" si="10"/>
        <v>128619151.61</v>
      </c>
      <c r="M35" s="1"/>
    </row>
    <row r="36" spans="1:13">
      <c r="A36" s="218" t="s">
        <v>172</v>
      </c>
      <c r="B36" s="202">
        <v>278829226.13</v>
      </c>
      <c r="C36" s="182" t="s">
        <v>311</v>
      </c>
      <c r="D36" s="4">
        <v>45127</v>
      </c>
      <c r="E36" s="101">
        <v>30</v>
      </c>
      <c r="F36" s="4">
        <f t="shared" si="8"/>
        <v>45157</v>
      </c>
      <c r="G36" s="1">
        <f t="shared" si="9"/>
        <v>134</v>
      </c>
      <c r="H36" s="1"/>
      <c r="I36" s="39"/>
      <c r="J36" s="39"/>
      <c r="K36" s="1"/>
      <c r="L36" s="58">
        <f t="shared" si="10"/>
        <v>278829226.13</v>
      </c>
      <c r="M36" s="1"/>
    </row>
    <row r="37" spans="1:13">
      <c r="A37" s="218" t="s">
        <v>172</v>
      </c>
      <c r="B37" s="202">
        <v>51135884.75</v>
      </c>
      <c r="C37" s="182" t="s">
        <v>312</v>
      </c>
      <c r="D37" s="4">
        <v>45140</v>
      </c>
      <c r="E37" s="101">
        <v>30</v>
      </c>
      <c r="F37" s="4">
        <f t="shared" si="8"/>
        <v>45170</v>
      </c>
      <c r="G37" s="1">
        <f t="shared" si="9"/>
        <v>121</v>
      </c>
      <c r="H37" s="1"/>
      <c r="I37" s="39"/>
      <c r="J37" s="39"/>
      <c r="K37" s="1"/>
      <c r="L37" s="58">
        <f t="shared" si="10"/>
        <v>51135884.75</v>
      </c>
      <c r="M37" s="1"/>
    </row>
    <row r="38" spans="1:13">
      <c r="A38" s="218" t="s">
        <v>172</v>
      </c>
      <c r="B38" s="202">
        <v>9524466.3800000008</v>
      </c>
      <c r="C38" s="182" t="s">
        <v>313</v>
      </c>
      <c r="D38" s="4">
        <v>45153</v>
      </c>
      <c r="E38" s="101">
        <v>30</v>
      </c>
      <c r="F38" s="4">
        <f t="shared" si="8"/>
        <v>45183</v>
      </c>
      <c r="G38" s="1">
        <f t="shared" si="9"/>
        <v>108</v>
      </c>
      <c r="H38" s="1"/>
      <c r="I38" s="39"/>
      <c r="J38" s="39"/>
      <c r="K38" s="1"/>
      <c r="L38" s="58">
        <f t="shared" si="10"/>
        <v>9524466.3800000008</v>
      </c>
      <c r="M38" s="1"/>
    </row>
    <row r="39" spans="1:13">
      <c r="A39" s="218" t="s">
        <v>172</v>
      </c>
      <c r="B39" s="202">
        <v>25021919.550000001</v>
      </c>
      <c r="C39" s="182" t="s">
        <v>314</v>
      </c>
      <c r="D39" s="4">
        <v>45170</v>
      </c>
      <c r="E39" s="101">
        <v>30</v>
      </c>
      <c r="F39" s="4">
        <f t="shared" si="8"/>
        <v>45200</v>
      </c>
      <c r="G39" s="1">
        <f t="shared" si="9"/>
        <v>91</v>
      </c>
      <c r="H39" s="1"/>
      <c r="I39" s="39"/>
      <c r="J39" s="39"/>
      <c r="K39" s="1"/>
      <c r="L39" s="58">
        <f t="shared" si="10"/>
        <v>25021919.550000001</v>
      </c>
      <c r="M39" s="1"/>
    </row>
    <row r="40" spans="1:13">
      <c r="A40" s="218" t="s">
        <v>172</v>
      </c>
      <c r="B40" s="202">
        <v>59800283.729999997</v>
      </c>
      <c r="C40" s="182" t="s">
        <v>315</v>
      </c>
      <c r="D40" s="4">
        <v>45170</v>
      </c>
      <c r="E40" s="101">
        <v>30</v>
      </c>
      <c r="F40" s="4">
        <f t="shared" si="8"/>
        <v>45200</v>
      </c>
      <c r="G40" s="1">
        <f t="shared" si="9"/>
        <v>91</v>
      </c>
      <c r="H40" s="1"/>
      <c r="I40" s="39"/>
      <c r="J40" s="39"/>
      <c r="K40" s="1"/>
      <c r="L40" s="58">
        <f t="shared" si="10"/>
        <v>59800283.729999997</v>
      </c>
      <c r="M40" s="1"/>
    </row>
    <row r="41" spans="1:13">
      <c r="A41" s="218" t="s">
        <v>172</v>
      </c>
      <c r="B41" s="202">
        <v>376535815.38</v>
      </c>
      <c r="C41" s="182" t="s">
        <v>316</v>
      </c>
      <c r="D41" s="4">
        <v>45170</v>
      </c>
      <c r="E41" s="101">
        <v>30</v>
      </c>
      <c r="F41" s="4">
        <f t="shared" si="8"/>
        <v>45200</v>
      </c>
      <c r="G41" s="1">
        <f t="shared" si="9"/>
        <v>91</v>
      </c>
      <c r="H41" s="1"/>
      <c r="I41" s="39"/>
      <c r="J41" s="39"/>
      <c r="K41" s="1"/>
      <c r="L41" s="58">
        <f t="shared" si="10"/>
        <v>376535815.38</v>
      </c>
      <c r="M41" s="1"/>
    </row>
    <row r="42" spans="1:13">
      <c r="A42" s="218" t="s">
        <v>172</v>
      </c>
      <c r="B42" s="202">
        <v>504401174.76999998</v>
      </c>
      <c r="C42" s="182" t="s">
        <v>317</v>
      </c>
      <c r="D42" s="4">
        <v>45170</v>
      </c>
      <c r="E42" s="101">
        <v>30</v>
      </c>
      <c r="F42" s="4">
        <f t="shared" si="8"/>
        <v>45200</v>
      </c>
      <c r="G42" s="1">
        <f t="shared" si="9"/>
        <v>91</v>
      </c>
      <c r="H42" s="1"/>
      <c r="I42" s="39"/>
      <c r="J42" s="39"/>
      <c r="K42" s="1"/>
      <c r="L42" s="58">
        <f t="shared" si="10"/>
        <v>504401174.76999998</v>
      </c>
      <c r="M42" s="1"/>
    </row>
    <row r="43" spans="1:13">
      <c r="A43" s="218" t="s">
        <v>172</v>
      </c>
      <c r="B43" s="202">
        <v>226321967.52000001</v>
      </c>
      <c r="C43" s="182" t="s">
        <v>318</v>
      </c>
      <c r="D43" s="4">
        <v>45201</v>
      </c>
      <c r="E43" s="101">
        <v>30</v>
      </c>
      <c r="F43" s="4">
        <f t="shared" si="8"/>
        <v>45231</v>
      </c>
      <c r="G43" s="1">
        <f t="shared" si="9"/>
        <v>60</v>
      </c>
      <c r="H43" s="1"/>
      <c r="I43" s="39"/>
      <c r="J43" s="39">
        <f>B43</f>
        <v>226321967.52000001</v>
      </c>
      <c r="K43" s="1"/>
      <c r="L43" s="58"/>
      <c r="M43" s="1"/>
    </row>
    <row r="44" spans="1:13">
      <c r="A44" s="218" t="s">
        <v>172</v>
      </c>
      <c r="B44" s="202">
        <v>123743424.58</v>
      </c>
      <c r="C44" s="182" t="s">
        <v>319</v>
      </c>
      <c r="D44" s="4">
        <v>45201</v>
      </c>
      <c r="E44" s="101">
        <v>30</v>
      </c>
      <c r="F44" s="4">
        <f t="shared" si="8"/>
        <v>45231</v>
      </c>
      <c r="G44" s="1">
        <f t="shared" si="9"/>
        <v>60</v>
      </c>
      <c r="H44" s="1"/>
      <c r="I44" s="39"/>
      <c r="J44" s="39">
        <f t="shared" ref="J44:J55" si="11">B44</f>
        <v>123743424.58</v>
      </c>
      <c r="K44" s="1"/>
      <c r="L44" s="58"/>
      <c r="M44" s="1"/>
    </row>
    <row r="45" spans="1:13">
      <c r="A45" s="218" t="s">
        <v>172</v>
      </c>
      <c r="B45" s="202">
        <v>100468840.94</v>
      </c>
      <c r="C45" s="182" t="s">
        <v>320</v>
      </c>
      <c r="D45" s="4">
        <v>45201</v>
      </c>
      <c r="E45" s="101">
        <v>30</v>
      </c>
      <c r="F45" s="4">
        <f t="shared" si="8"/>
        <v>45231</v>
      </c>
      <c r="G45" s="1">
        <f t="shared" si="9"/>
        <v>60</v>
      </c>
      <c r="H45" s="1"/>
      <c r="I45" s="39"/>
      <c r="J45" s="39">
        <f t="shared" si="11"/>
        <v>100468840.94</v>
      </c>
      <c r="K45" s="1"/>
      <c r="L45" s="58"/>
      <c r="M45" s="1"/>
    </row>
    <row r="46" spans="1:13">
      <c r="A46" s="218" t="s">
        <v>172</v>
      </c>
      <c r="B46" s="202">
        <v>95717868.530000001</v>
      </c>
      <c r="C46" s="182" t="s">
        <v>321</v>
      </c>
      <c r="D46" s="4">
        <v>45202</v>
      </c>
      <c r="E46" s="101">
        <v>30</v>
      </c>
      <c r="F46" s="4">
        <f t="shared" si="8"/>
        <v>45232</v>
      </c>
      <c r="G46" s="1">
        <f t="shared" si="9"/>
        <v>59</v>
      </c>
      <c r="H46" s="1"/>
      <c r="I46" s="39"/>
      <c r="J46" s="39">
        <f t="shared" si="11"/>
        <v>95717868.530000001</v>
      </c>
      <c r="K46" s="1"/>
      <c r="L46" s="58"/>
      <c r="M46" s="1"/>
    </row>
    <row r="47" spans="1:13">
      <c r="A47" s="218" t="s">
        <v>172</v>
      </c>
      <c r="B47" s="202">
        <v>11060256.859999999</v>
      </c>
      <c r="C47" s="182" t="s">
        <v>322</v>
      </c>
      <c r="D47" s="4">
        <v>45203</v>
      </c>
      <c r="E47" s="101">
        <v>30</v>
      </c>
      <c r="F47" s="4">
        <f t="shared" si="8"/>
        <v>45233</v>
      </c>
      <c r="G47" s="1">
        <f t="shared" si="9"/>
        <v>58</v>
      </c>
      <c r="H47" s="1"/>
      <c r="I47" s="39"/>
      <c r="J47" s="39">
        <f t="shared" si="11"/>
        <v>11060256.859999999</v>
      </c>
      <c r="K47" s="1"/>
      <c r="L47" s="58"/>
      <c r="M47" s="1"/>
    </row>
    <row r="48" spans="1:13">
      <c r="A48" s="218" t="s">
        <v>172</v>
      </c>
      <c r="B48" s="202">
        <v>124825097.68000001</v>
      </c>
      <c r="C48" s="182" t="s">
        <v>323</v>
      </c>
      <c r="D48" s="4">
        <v>45208</v>
      </c>
      <c r="E48" s="101">
        <v>30</v>
      </c>
      <c r="F48" s="4">
        <f t="shared" si="8"/>
        <v>45238</v>
      </c>
      <c r="G48" s="1">
        <f t="shared" si="9"/>
        <v>53</v>
      </c>
      <c r="H48" s="1"/>
      <c r="I48" s="39"/>
      <c r="J48" s="39">
        <f t="shared" si="11"/>
        <v>124825097.68000001</v>
      </c>
      <c r="K48" s="1"/>
      <c r="L48" s="58"/>
      <c r="M48" s="1"/>
    </row>
    <row r="49" spans="1:13">
      <c r="A49" s="218" t="s">
        <v>172</v>
      </c>
      <c r="B49" s="202">
        <v>122125506.3</v>
      </c>
      <c r="C49" s="182" t="s">
        <v>324</v>
      </c>
      <c r="D49" s="4">
        <v>45209</v>
      </c>
      <c r="E49" s="101">
        <v>30</v>
      </c>
      <c r="F49" s="4">
        <f t="shared" si="8"/>
        <v>45239</v>
      </c>
      <c r="G49" s="1">
        <f t="shared" si="9"/>
        <v>52</v>
      </c>
      <c r="H49" s="1"/>
      <c r="I49" s="39"/>
      <c r="J49" s="39">
        <f t="shared" si="11"/>
        <v>122125506.3</v>
      </c>
      <c r="K49" s="1"/>
      <c r="L49" s="58"/>
      <c r="M49" s="1"/>
    </row>
    <row r="50" spans="1:13">
      <c r="A50" s="218" t="s">
        <v>172</v>
      </c>
      <c r="B50" s="202">
        <v>33697073.030000001</v>
      </c>
      <c r="C50" s="182" t="s">
        <v>325</v>
      </c>
      <c r="D50" s="4">
        <v>45210</v>
      </c>
      <c r="E50" s="101">
        <v>30</v>
      </c>
      <c r="F50" s="4">
        <f t="shared" si="8"/>
        <v>45240</v>
      </c>
      <c r="G50" s="1">
        <f t="shared" si="9"/>
        <v>51</v>
      </c>
      <c r="H50" s="1"/>
      <c r="I50" s="39"/>
      <c r="J50" s="39">
        <f t="shared" si="11"/>
        <v>33697073.030000001</v>
      </c>
      <c r="K50" s="1"/>
      <c r="L50" s="58"/>
      <c r="M50" s="1"/>
    </row>
    <row r="51" spans="1:13">
      <c r="A51" s="218" t="s">
        <v>172</v>
      </c>
      <c r="B51" s="202">
        <v>19753874.91</v>
      </c>
      <c r="C51" s="182" t="s">
        <v>326</v>
      </c>
      <c r="D51" s="4">
        <v>45210</v>
      </c>
      <c r="E51" s="101">
        <v>30</v>
      </c>
      <c r="F51" s="4">
        <f t="shared" si="8"/>
        <v>45240</v>
      </c>
      <c r="G51" s="1">
        <f t="shared" si="9"/>
        <v>51</v>
      </c>
      <c r="H51" s="1"/>
      <c r="I51" s="39"/>
      <c r="J51" s="39">
        <f t="shared" si="11"/>
        <v>19753874.91</v>
      </c>
      <c r="K51" s="1"/>
      <c r="L51" s="58"/>
      <c r="M51" s="1"/>
    </row>
    <row r="52" spans="1:13">
      <c r="A52" s="218" t="s">
        <v>172</v>
      </c>
      <c r="B52" s="202">
        <v>26165359.98</v>
      </c>
      <c r="C52" s="182" t="s">
        <v>327</v>
      </c>
      <c r="D52" s="4">
        <v>45212</v>
      </c>
      <c r="E52" s="101">
        <v>30</v>
      </c>
      <c r="F52" s="4">
        <f t="shared" si="8"/>
        <v>45242</v>
      </c>
      <c r="G52" s="1">
        <f t="shared" si="9"/>
        <v>49</v>
      </c>
      <c r="H52" s="1"/>
      <c r="I52" s="39"/>
      <c r="J52" s="39">
        <f t="shared" si="11"/>
        <v>26165359.98</v>
      </c>
      <c r="K52" s="1"/>
      <c r="L52" s="58"/>
      <c r="M52" s="1"/>
    </row>
    <row r="53" spans="1:13">
      <c r="A53" s="218" t="s">
        <v>172</v>
      </c>
      <c r="B53" s="202">
        <v>50822997.259999998</v>
      </c>
      <c r="C53" s="182" t="s">
        <v>328</v>
      </c>
      <c r="D53" s="4">
        <v>45213</v>
      </c>
      <c r="E53" s="101">
        <v>30</v>
      </c>
      <c r="F53" s="4">
        <f t="shared" si="8"/>
        <v>45243</v>
      </c>
      <c r="G53" s="1">
        <f t="shared" si="9"/>
        <v>48</v>
      </c>
      <c r="H53" s="1"/>
      <c r="I53" s="39"/>
      <c r="J53" s="39">
        <f t="shared" si="11"/>
        <v>50822997.259999998</v>
      </c>
      <c r="K53" s="1"/>
      <c r="L53" s="58"/>
      <c r="M53" s="1"/>
    </row>
    <row r="54" spans="1:13">
      <c r="A54" s="218" t="s">
        <v>172</v>
      </c>
      <c r="B54" s="202">
        <v>157402079.55000001</v>
      </c>
      <c r="C54" s="182" t="s">
        <v>329</v>
      </c>
      <c r="D54" s="4">
        <v>45220</v>
      </c>
      <c r="E54" s="101">
        <v>30</v>
      </c>
      <c r="F54" s="4">
        <f t="shared" si="8"/>
        <v>45250</v>
      </c>
      <c r="G54" s="1">
        <f t="shared" si="9"/>
        <v>41</v>
      </c>
      <c r="H54" s="1"/>
      <c r="I54" s="39"/>
      <c r="J54" s="39">
        <f t="shared" si="11"/>
        <v>157402079.55000001</v>
      </c>
      <c r="K54" s="1"/>
      <c r="L54" s="58"/>
      <c r="M54" s="1"/>
    </row>
    <row r="55" spans="1:13">
      <c r="A55" s="218" t="s">
        <v>172</v>
      </c>
      <c r="B55" s="202">
        <v>232511998.09</v>
      </c>
      <c r="C55" s="182" t="s">
        <v>330</v>
      </c>
      <c r="D55" s="4">
        <v>45222</v>
      </c>
      <c r="E55" s="101">
        <v>30</v>
      </c>
      <c r="F55" s="4">
        <f t="shared" si="8"/>
        <v>45252</v>
      </c>
      <c r="G55" s="1">
        <f t="shared" si="9"/>
        <v>39</v>
      </c>
      <c r="H55" s="1"/>
      <c r="I55" s="39"/>
      <c r="J55" s="39">
        <f t="shared" si="11"/>
        <v>232511998.09</v>
      </c>
      <c r="K55" s="1"/>
      <c r="L55" s="58"/>
      <c r="M55" s="1"/>
    </row>
    <row r="56" spans="1:13">
      <c r="A56" s="218" t="s">
        <v>172</v>
      </c>
      <c r="B56" s="202">
        <v>21952350.52</v>
      </c>
      <c r="C56" s="182" t="s">
        <v>331</v>
      </c>
      <c r="D56" s="4">
        <v>45231</v>
      </c>
      <c r="E56" s="101">
        <v>30</v>
      </c>
      <c r="F56" s="4">
        <f t="shared" si="8"/>
        <v>45261</v>
      </c>
      <c r="G56" s="1">
        <f t="shared" si="9"/>
        <v>30</v>
      </c>
      <c r="H56" s="1"/>
      <c r="I56" s="39">
        <f>B56</f>
        <v>21952350.52</v>
      </c>
      <c r="J56" s="39"/>
      <c r="K56" s="1"/>
      <c r="L56" s="58"/>
      <c r="M56" s="1"/>
    </row>
    <row r="57" spans="1:13">
      <c r="A57" s="218" t="s">
        <v>172</v>
      </c>
      <c r="B57" s="202">
        <v>211656466.53</v>
      </c>
      <c r="C57" s="182" t="s">
        <v>332</v>
      </c>
      <c r="D57" s="4">
        <v>45232</v>
      </c>
      <c r="E57" s="101">
        <v>30</v>
      </c>
      <c r="F57" s="4">
        <f t="shared" si="8"/>
        <v>45262</v>
      </c>
      <c r="G57" s="1">
        <f t="shared" si="9"/>
        <v>29</v>
      </c>
      <c r="H57" s="1"/>
      <c r="I57" s="39">
        <f t="shared" ref="I57:I60" si="12">B57</f>
        <v>211656466.53</v>
      </c>
      <c r="J57" s="39"/>
      <c r="K57" s="1"/>
      <c r="L57" s="58"/>
      <c r="M57" s="1"/>
    </row>
    <row r="58" spans="1:13">
      <c r="A58" s="218" t="s">
        <v>172</v>
      </c>
      <c r="B58" s="202">
        <v>222878121.13999999</v>
      </c>
      <c r="C58" s="182" t="s">
        <v>333</v>
      </c>
      <c r="D58" s="4">
        <v>45236</v>
      </c>
      <c r="E58" s="101">
        <v>30</v>
      </c>
      <c r="F58" s="4">
        <f t="shared" si="8"/>
        <v>45266</v>
      </c>
      <c r="G58" s="1">
        <f t="shared" si="9"/>
        <v>25</v>
      </c>
      <c r="H58" s="1"/>
      <c r="I58" s="39">
        <f t="shared" si="12"/>
        <v>222878121.13999999</v>
      </c>
      <c r="J58" s="39"/>
      <c r="K58" s="1"/>
      <c r="L58" s="58"/>
      <c r="M58" s="1"/>
    </row>
    <row r="59" spans="1:13">
      <c r="A59" s="218" t="s">
        <v>172</v>
      </c>
      <c r="B59" s="202">
        <v>85184465.099999994</v>
      </c>
      <c r="C59" s="182" t="s">
        <v>334</v>
      </c>
      <c r="D59" s="4">
        <v>45238</v>
      </c>
      <c r="E59" s="101">
        <v>30</v>
      </c>
      <c r="F59" s="4">
        <f t="shared" si="8"/>
        <v>45268</v>
      </c>
      <c r="G59" s="1">
        <f t="shared" si="9"/>
        <v>23</v>
      </c>
      <c r="H59" s="1"/>
      <c r="I59" s="39">
        <f t="shared" si="12"/>
        <v>85184465.099999994</v>
      </c>
      <c r="J59" s="39"/>
      <c r="K59" s="1"/>
      <c r="L59" s="58"/>
      <c r="M59" s="1"/>
    </row>
    <row r="60" spans="1:13">
      <c r="A60" s="218" t="s">
        <v>172</v>
      </c>
      <c r="B60" s="202">
        <v>58572545.549999997</v>
      </c>
      <c r="C60" s="182" t="s">
        <v>335</v>
      </c>
      <c r="D60" s="4">
        <v>45246</v>
      </c>
      <c r="E60" s="101">
        <v>30</v>
      </c>
      <c r="F60" s="4">
        <f t="shared" si="8"/>
        <v>45276</v>
      </c>
      <c r="G60" s="1">
        <f t="shared" si="9"/>
        <v>15</v>
      </c>
      <c r="H60" s="1"/>
      <c r="I60" s="39">
        <f t="shared" si="12"/>
        <v>58572545.549999997</v>
      </c>
      <c r="J60" s="39"/>
      <c r="K60" s="1"/>
      <c r="L60" s="58"/>
      <c r="M60" s="1"/>
    </row>
    <row r="61" spans="1:13">
      <c r="A61" s="218" t="s">
        <v>172</v>
      </c>
      <c r="B61" s="202">
        <v>132037186.11</v>
      </c>
      <c r="C61" s="182" t="s">
        <v>336</v>
      </c>
      <c r="D61" s="4">
        <v>45261</v>
      </c>
      <c r="E61" s="101">
        <v>30</v>
      </c>
      <c r="F61" s="4">
        <f t="shared" si="8"/>
        <v>45291</v>
      </c>
      <c r="G61" s="1">
        <f t="shared" si="9"/>
        <v>0</v>
      </c>
      <c r="H61" s="58">
        <f>B61</f>
        <v>132037186.11</v>
      </c>
      <c r="I61" s="39"/>
      <c r="J61" s="39"/>
      <c r="K61" s="1"/>
      <c r="L61" s="58"/>
      <c r="M61" s="1"/>
    </row>
    <row r="62" spans="1:13">
      <c r="A62" s="218" t="s">
        <v>172</v>
      </c>
      <c r="B62" s="202">
        <v>232641132.31</v>
      </c>
      <c r="C62" s="182" t="s">
        <v>337</v>
      </c>
      <c r="D62" s="4">
        <v>45261</v>
      </c>
      <c r="E62" s="101">
        <v>30</v>
      </c>
      <c r="F62" s="4">
        <f t="shared" si="8"/>
        <v>45291</v>
      </c>
      <c r="G62" s="1">
        <f t="shared" si="9"/>
        <v>0</v>
      </c>
      <c r="H62" s="58">
        <f t="shared" ref="H62:H64" si="13">B62</f>
        <v>232641132.31</v>
      </c>
      <c r="I62" s="39"/>
      <c r="J62" s="39"/>
      <c r="K62" s="1"/>
      <c r="L62" s="58"/>
      <c r="M62" s="1"/>
    </row>
    <row r="63" spans="1:13">
      <c r="A63" s="218" t="s">
        <v>172</v>
      </c>
      <c r="B63" s="202">
        <v>241566814.08000001</v>
      </c>
      <c r="C63" s="182" t="s">
        <v>338</v>
      </c>
      <c r="D63" s="4">
        <v>45261</v>
      </c>
      <c r="E63" s="101">
        <v>30</v>
      </c>
      <c r="F63" s="4">
        <f t="shared" si="8"/>
        <v>45291</v>
      </c>
      <c r="G63" s="1">
        <f t="shared" si="9"/>
        <v>0</v>
      </c>
      <c r="H63" s="58">
        <f t="shared" si="13"/>
        <v>241566814.08000001</v>
      </c>
      <c r="I63" s="39"/>
      <c r="J63" s="39"/>
      <c r="K63" s="1"/>
      <c r="L63" s="58"/>
      <c r="M63" s="1"/>
    </row>
    <row r="64" spans="1:13">
      <c r="A64" s="218" t="s">
        <v>172</v>
      </c>
      <c r="B64" s="202">
        <v>265321746.55000001</v>
      </c>
      <c r="C64" s="182" t="s">
        <v>339</v>
      </c>
      <c r="D64" s="4">
        <v>45261</v>
      </c>
      <c r="E64" s="101">
        <v>30</v>
      </c>
      <c r="F64" s="4">
        <f t="shared" si="8"/>
        <v>45291</v>
      </c>
      <c r="G64" s="1">
        <f t="shared" si="9"/>
        <v>0</v>
      </c>
      <c r="H64" s="58">
        <f t="shared" si="13"/>
        <v>265321746.55000001</v>
      </c>
      <c r="I64" s="39"/>
      <c r="J64" s="39"/>
      <c r="K64" s="1"/>
      <c r="L64" s="58"/>
      <c r="M64" s="1"/>
    </row>
    <row r="65" spans="1:13">
      <c r="A65" s="218" t="s">
        <v>172</v>
      </c>
      <c r="B65" s="202">
        <v>223018878.5</v>
      </c>
      <c r="C65" s="182" t="s">
        <v>340</v>
      </c>
      <c r="D65" s="4">
        <v>45264</v>
      </c>
      <c r="E65" s="101">
        <v>30</v>
      </c>
      <c r="F65" s="4">
        <f t="shared" si="8"/>
        <v>45294</v>
      </c>
      <c r="G65" s="1">
        <f t="shared" si="9"/>
        <v>-3</v>
      </c>
      <c r="H65" s="58">
        <f>B65</f>
        <v>223018878.5</v>
      </c>
      <c r="I65" s="39"/>
      <c r="J65" s="39"/>
      <c r="K65" s="1"/>
      <c r="L65" s="58"/>
      <c r="M65" s="1"/>
    </row>
    <row r="66" spans="1:13">
      <c r="A66" s="218" t="s">
        <v>172</v>
      </c>
      <c r="B66" s="202">
        <v>269385057.23000002</v>
      </c>
      <c r="C66" s="182" t="s">
        <v>341</v>
      </c>
      <c r="D66" s="4">
        <v>45267</v>
      </c>
      <c r="E66" s="101">
        <v>30</v>
      </c>
      <c r="F66" s="4">
        <f t="shared" si="8"/>
        <v>45297</v>
      </c>
      <c r="G66" s="1">
        <f t="shared" si="9"/>
        <v>-6</v>
      </c>
      <c r="H66" s="58">
        <f t="shared" ref="H66:H79" si="14">B66</f>
        <v>269385057.23000002</v>
      </c>
      <c r="I66" s="39"/>
      <c r="J66" s="39"/>
      <c r="K66" s="1"/>
      <c r="L66" s="58"/>
      <c r="M66" s="1"/>
    </row>
    <row r="67" spans="1:13">
      <c r="A67" s="218" t="s">
        <v>172</v>
      </c>
      <c r="B67" s="202">
        <v>81264355.920000002</v>
      </c>
      <c r="C67" s="182" t="s">
        <v>342</v>
      </c>
      <c r="D67" s="4">
        <v>45267</v>
      </c>
      <c r="E67" s="101">
        <v>30</v>
      </c>
      <c r="F67" s="4">
        <f t="shared" si="8"/>
        <v>45297</v>
      </c>
      <c r="G67" s="1">
        <f t="shared" si="9"/>
        <v>-6</v>
      </c>
      <c r="H67" s="58">
        <f t="shared" si="14"/>
        <v>81264355.920000002</v>
      </c>
      <c r="I67" s="39"/>
      <c r="J67" s="39"/>
      <c r="K67" s="1"/>
      <c r="L67" s="58"/>
      <c r="M67" s="1"/>
    </row>
    <row r="68" spans="1:13">
      <c r="A68" s="218" t="s">
        <v>172</v>
      </c>
      <c r="B68" s="202">
        <v>256550773.62</v>
      </c>
      <c r="C68" s="182" t="s">
        <v>343</v>
      </c>
      <c r="D68" s="4">
        <v>45268</v>
      </c>
      <c r="E68" s="101">
        <v>30</v>
      </c>
      <c r="F68" s="4">
        <f t="shared" si="8"/>
        <v>45298</v>
      </c>
      <c r="G68" s="1">
        <f t="shared" si="9"/>
        <v>-7</v>
      </c>
      <c r="H68" s="58">
        <f t="shared" si="14"/>
        <v>256550773.62</v>
      </c>
      <c r="I68" s="39"/>
      <c r="J68" s="39"/>
      <c r="K68" s="1"/>
      <c r="L68" s="58"/>
      <c r="M68" s="1"/>
    </row>
    <row r="69" spans="1:13">
      <c r="A69" s="218" t="s">
        <v>172</v>
      </c>
      <c r="B69" s="202">
        <v>127345424.45999999</v>
      </c>
      <c r="C69" s="182" t="s">
        <v>344</v>
      </c>
      <c r="D69" s="4">
        <v>45271</v>
      </c>
      <c r="E69" s="101">
        <v>30</v>
      </c>
      <c r="F69" s="4">
        <f t="shared" si="8"/>
        <v>45301</v>
      </c>
      <c r="G69" s="1">
        <f t="shared" si="9"/>
        <v>-10</v>
      </c>
      <c r="H69" s="58">
        <f t="shared" si="14"/>
        <v>127345424.45999999</v>
      </c>
      <c r="I69" s="39"/>
      <c r="J69" s="39"/>
      <c r="K69" s="1"/>
      <c r="L69" s="58"/>
      <c r="M69" s="1"/>
    </row>
    <row r="70" spans="1:13">
      <c r="A70" s="218" t="s">
        <v>172</v>
      </c>
      <c r="B70" s="202">
        <v>292088662.99000001</v>
      </c>
      <c r="C70" s="182" t="s">
        <v>345</v>
      </c>
      <c r="D70" s="4">
        <v>45271</v>
      </c>
      <c r="E70" s="101">
        <v>30</v>
      </c>
      <c r="F70" s="4">
        <f t="shared" si="8"/>
        <v>45301</v>
      </c>
      <c r="G70" s="1">
        <f t="shared" si="9"/>
        <v>-10</v>
      </c>
      <c r="H70" s="58">
        <f t="shared" si="14"/>
        <v>292088662.99000001</v>
      </c>
      <c r="I70" s="39"/>
      <c r="J70" s="39"/>
      <c r="K70" s="1"/>
      <c r="L70" s="58"/>
      <c r="M70" s="1"/>
    </row>
    <row r="71" spans="1:13">
      <c r="A71" s="218" t="s">
        <v>172</v>
      </c>
      <c r="B71" s="202">
        <v>278291103.5</v>
      </c>
      <c r="C71" s="182" t="s">
        <v>346</v>
      </c>
      <c r="D71" s="4">
        <v>45272</v>
      </c>
      <c r="E71" s="101">
        <v>30</v>
      </c>
      <c r="F71" s="4">
        <f t="shared" si="8"/>
        <v>45302</v>
      </c>
      <c r="G71" s="1">
        <f t="shared" si="9"/>
        <v>-11</v>
      </c>
      <c r="H71" s="58">
        <f t="shared" si="14"/>
        <v>278291103.5</v>
      </c>
      <c r="I71" s="39"/>
      <c r="J71" s="39"/>
      <c r="K71" s="1"/>
      <c r="L71" s="58"/>
      <c r="M71" s="1"/>
    </row>
    <row r="72" spans="1:13">
      <c r="A72" s="218" t="s">
        <v>172</v>
      </c>
      <c r="B72" s="201">
        <v>268098783.13999999</v>
      </c>
      <c r="C72" s="182" t="s">
        <v>347</v>
      </c>
      <c r="D72" s="4">
        <v>45273</v>
      </c>
      <c r="E72" s="101">
        <v>30</v>
      </c>
      <c r="F72" s="4">
        <f t="shared" si="8"/>
        <v>45303</v>
      </c>
      <c r="G72" s="1">
        <f t="shared" si="9"/>
        <v>-12</v>
      </c>
      <c r="H72" s="58">
        <f t="shared" si="14"/>
        <v>268098783.13999999</v>
      </c>
      <c r="I72" s="39"/>
      <c r="J72" s="39"/>
      <c r="K72" s="1"/>
      <c r="L72" s="58"/>
      <c r="M72" s="1"/>
    </row>
    <row r="73" spans="1:13">
      <c r="A73" s="218" t="s">
        <v>172</v>
      </c>
      <c r="B73" s="201">
        <v>265140985.81</v>
      </c>
      <c r="C73" s="182" t="s">
        <v>348</v>
      </c>
      <c r="D73" s="4">
        <v>45275</v>
      </c>
      <c r="E73" s="101">
        <v>30</v>
      </c>
      <c r="F73" s="4">
        <f t="shared" si="8"/>
        <v>45305</v>
      </c>
      <c r="G73" s="1">
        <f t="shared" si="9"/>
        <v>-14</v>
      </c>
      <c r="H73" s="58">
        <f t="shared" si="14"/>
        <v>265140985.81</v>
      </c>
      <c r="I73" s="39"/>
      <c r="J73" s="39"/>
      <c r="K73" s="1"/>
      <c r="L73" s="58"/>
      <c r="M73" s="1"/>
    </row>
    <row r="74" spans="1:13">
      <c r="A74" s="218" t="s">
        <v>172</v>
      </c>
      <c r="B74" s="201">
        <v>238731723.56999999</v>
      </c>
      <c r="C74" s="182" t="s">
        <v>349</v>
      </c>
      <c r="D74" s="4">
        <v>45276</v>
      </c>
      <c r="E74" s="101">
        <v>30</v>
      </c>
      <c r="F74" s="4">
        <f t="shared" si="8"/>
        <v>45306</v>
      </c>
      <c r="G74" s="1">
        <f t="shared" si="9"/>
        <v>-15</v>
      </c>
      <c r="H74" s="58">
        <f t="shared" si="14"/>
        <v>238731723.56999999</v>
      </c>
      <c r="I74" s="39"/>
      <c r="J74" s="39"/>
      <c r="K74" s="1"/>
      <c r="L74" s="58"/>
      <c r="M74" s="1"/>
    </row>
    <row r="75" spans="1:13">
      <c r="A75" s="218" t="s">
        <v>172</v>
      </c>
      <c r="B75" s="202">
        <v>142263665.53999999</v>
      </c>
      <c r="C75" s="182" t="s">
        <v>350</v>
      </c>
      <c r="D75" s="4">
        <v>45278</v>
      </c>
      <c r="E75" s="101">
        <v>30</v>
      </c>
      <c r="F75" s="4">
        <f t="shared" si="8"/>
        <v>45308</v>
      </c>
      <c r="G75" s="1">
        <f t="shared" si="9"/>
        <v>-17</v>
      </c>
      <c r="H75" s="58">
        <f t="shared" si="14"/>
        <v>142263665.53999999</v>
      </c>
      <c r="I75" s="39"/>
      <c r="J75" s="39"/>
      <c r="K75" s="1"/>
      <c r="L75" s="58"/>
      <c r="M75" s="1"/>
    </row>
    <row r="76" spans="1:13">
      <c r="A76" s="218" t="s">
        <v>172</v>
      </c>
      <c r="B76" s="202">
        <v>175461998.74000001</v>
      </c>
      <c r="C76" s="182" t="s">
        <v>351</v>
      </c>
      <c r="D76" s="4">
        <v>45280</v>
      </c>
      <c r="E76" s="101">
        <v>30</v>
      </c>
      <c r="F76" s="4">
        <f t="shared" si="8"/>
        <v>45310</v>
      </c>
      <c r="G76" s="1">
        <f t="shared" si="9"/>
        <v>-19</v>
      </c>
      <c r="H76" s="58">
        <f t="shared" si="14"/>
        <v>175461998.74000001</v>
      </c>
      <c r="I76" s="39"/>
      <c r="J76" s="39"/>
      <c r="K76" s="1"/>
      <c r="L76" s="58"/>
      <c r="M76" s="1"/>
    </row>
    <row r="77" spans="1:13">
      <c r="A77" s="218" t="s">
        <v>172</v>
      </c>
      <c r="B77" s="202">
        <v>97823153.799999997</v>
      </c>
      <c r="C77" s="182" t="s">
        <v>352</v>
      </c>
      <c r="D77" s="4">
        <v>45281</v>
      </c>
      <c r="E77" s="101">
        <v>30</v>
      </c>
      <c r="F77" s="4">
        <f t="shared" si="8"/>
        <v>45311</v>
      </c>
      <c r="G77" s="1">
        <f t="shared" si="9"/>
        <v>-20</v>
      </c>
      <c r="H77" s="58">
        <f t="shared" si="14"/>
        <v>97823153.799999997</v>
      </c>
      <c r="I77" s="39"/>
      <c r="J77" s="39"/>
      <c r="K77" s="1"/>
      <c r="L77" s="58"/>
      <c r="M77" s="1"/>
    </row>
    <row r="78" spans="1:13">
      <c r="A78" s="218" t="s">
        <v>172</v>
      </c>
      <c r="B78" s="202">
        <v>257468094.22</v>
      </c>
      <c r="C78" s="182" t="s">
        <v>353</v>
      </c>
      <c r="D78" s="4">
        <v>45281</v>
      </c>
      <c r="E78" s="101">
        <v>30</v>
      </c>
      <c r="F78" s="4">
        <f t="shared" si="8"/>
        <v>45311</v>
      </c>
      <c r="G78" s="1">
        <f t="shared" si="9"/>
        <v>-20</v>
      </c>
      <c r="H78" s="58">
        <f t="shared" si="14"/>
        <v>257468094.22</v>
      </c>
      <c r="I78" s="39"/>
      <c r="J78" s="39"/>
      <c r="K78" s="1"/>
      <c r="L78" s="58"/>
      <c r="M78" s="1"/>
    </row>
    <row r="79" spans="1:13">
      <c r="A79" s="218" t="s">
        <v>172</v>
      </c>
      <c r="B79" s="202">
        <v>57654470.630000003</v>
      </c>
      <c r="C79" s="182" t="s">
        <v>354</v>
      </c>
      <c r="D79" s="4">
        <v>45286</v>
      </c>
      <c r="E79" s="101">
        <v>30</v>
      </c>
      <c r="F79" s="4">
        <f t="shared" si="8"/>
        <v>45316</v>
      </c>
      <c r="G79" s="1">
        <f t="shared" si="9"/>
        <v>-25</v>
      </c>
      <c r="H79" s="58">
        <f t="shared" si="14"/>
        <v>57654470.630000003</v>
      </c>
      <c r="I79" s="39"/>
      <c r="J79" s="39"/>
      <c r="K79" s="1"/>
      <c r="L79" s="58"/>
      <c r="M79" s="1"/>
    </row>
    <row r="80" spans="1:13">
      <c r="B80" s="19">
        <f>SUM(B7:B79)</f>
        <v>22109961277.870003</v>
      </c>
      <c r="H80" s="224">
        <f>SUM(H7:H79)</f>
        <v>17719923332.870003</v>
      </c>
      <c r="I80" s="236">
        <f t="shared" ref="I80:L80" si="15">SUM(I7:I79)</f>
        <v>601724133.83999991</v>
      </c>
      <c r="J80" s="236">
        <f t="shared" si="15"/>
        <v>1324616345.23</v>
      </c>
      <c r="K80" s="224">
        <f t="shared" si="15"/>
        <v>0</v>
      </c>
      <c r="L80" s="224">
        <f t="shared" si="15"/>
        <v>2463697465.9299998</v>
      </c>
    </row>
    <row r="81" spans="1:2">
      <c r="A81" s="204" t="s">
        <v>243</v>
      </c>
      <c r="B81" s="24">
        <v>22109961279</v>
      </c>
    </row>
    <row r="82" spans="1:2">
      <c r="B82" s="203">
        <f>B80-B81</f>
        <v>-1.1299972534179688</v>
      </c>
    </row>
  </sheetData>
  <autoFilter ref="A6:M82" xr:uid="{00000000-0001-0000-0000-000000000000}"/>
  <mergeCells count="2">
    <mergeCell ref="C5:F5"/>
    <mergeCell ref="G5:L5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87E9-2DE1-49E9-AAD8-9F12AAA65669}">
  <sheetPr>
    <tabColor rgb="FFFC92CA"/>
  </sheetPr>
  <dimension ref="A1:R228"/>
  <sheetViews>
    <sheetView workbookViewId="0">
      <pane xSplit="2" ySplit="6" topLeftCell="C11" activePane="bottomRight" state="frozen"/>
      <selection pane="topRight" activeCell="C1" sqref="C1"/>
      <selection pane="bottomLeft" activeCell="A7" sqref="A7"/>
      <selection pane="bottomRight" activeCell="B15" sqref="B15:B16"/>
    </sheetView>
  </sheetViews>
  <sheetFormatPr defaultRowHeight="14.5"/>
  <cols>
    <col min="1" max="1" width="18.54296875" bestFit="1" customWidth="1"/>
    <col min="2" max="2" width="17.36328125" bestFit="1" customWidth="1"/>
    <col min="3" max="3" width="11.54296875" bestFit="1" customWidth="1"/>
    <col min="4" max="4" width="14.81640625" bestFit="1" customWidth="1"/>
    <col min="5" max="5" width="12.08984375" bestFit="1" customWidth="1"/>
    <col min="6" max="6" width="18.6328125" bestFit="1" customWidth="1"/>
    <col min="7" max="7" width="10.453125" customWidth="1"/>
    <col min="8" max="8" width="17.36328125" customWidth="1"/>
    <col min="9" max="9" width="16.26953125" customWidth="1"/>
    <col min="10" max="10" width="14.36328125" bestFit="1" customWidth="1"/>
    <col min="11" max="11" width="16.26953125" bestFit="1" customWidth="1"/>
    <col min="12" max="12" width="17.36328125" bestFit="1" customWidth="1"/>
    <col min="13" max="13" width="18.54296875" bestFit="1" customWidth="1"/>
    <col min="14" max="14" width="16.26953125" bestFit="1" customWidth="1"/>
    <col min="15" max="15" width="14.7265625" bestFit="1" customWidth="1"/>
  </cols>
  <sheetData>
    <row r="1" spans="1:14">
      <c r="A1" s="198" t="s">
        <v>172</v>
      </c>
    </row>
    <row r="2" spans="1:14">
      <c r="A2" s="198" t="s">
        <v>268</v>
      </c>
    </row>
    <row r="3" spans="1:14">
      <c r="A3" s="199">
        <v>45291</v>
      </c>
    </row>
    <row r="5" spans="1:14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  <c r="M5" s="2"/>
    </row>
    <row r="6" spans="1:14">
      <c r="A6" s="2" t="s">
        <v>2</v>
      </c>
      <c r="B6" s="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  <c r="M6" s="2" t="s">
        <v>269</v>
      </c>
    </row>
    <row r="7" spans="1:14">
      <c r="A7" s="1" t="s">
        <v>272</v>
      </c>
      <c r="B7" s="89">
        <v>1669629880</v>
      </c>
      <c r="C7" s="1" t="s">
        <v>500</v>
      </c>
      <c r="D7" s="4">
        <v>45289</v>
      </c>
      <c r="E7" s="1">
        <v>60</v>
      </c>
      <c r="F7" s="4">
        <f t="shared" ref="F7:F11" si="0">D7+E7</f>
        <v>45349</v>
      </c>
      <c r="G7" s="1">
        <f t="shared" ref="G7:G11" si="1">$A$3-F7</f>
        <v>-58</v>
      </c>
      <c r="H7" s="62">
        <f t="shared" ref="H7:H11" si="2">B7</f>
        <v>1669629880</v>
      </c>
      <c r="I7" s="62"/>
      <c r="J7" s="1"/>
      <c r="K7" s="1"/>
      <c r="L7" s="1"/>
      <c r="M7" s="39">
        <f>B7-H7</f>
        <v>0</v>
      </c>
    </row>
    <row r="8" spans="1:14">
      <c r="A8" s="1" t="s">
        <v>272</v>
      </c>
      <c r="B8" s="87">
        <v>1600797440</v>
      </c>
      <c r="C8" s="1" t="s">
        <v>501</v>
      </c>
      <c r="D8" s="4">
        <v>45290</v>
      </c>
      <c r="E8" s="1">
        <v>60</v>
      </c>
      <c r="F8" s="4">
        <f t="shared" si="0"/>
        <v>45350</v>
      </c>
      <c r="G8" s="1">
        <f t="shared" si="1"/>
        <v>-59</v>
      </c>
      <c r="H8" s="62">
        <f t="shared" si="2"/>
        <v>1600797440</v>
      </c>
      <c r="I8" s="62"/>
      <c r="J8" s="1"/>
      <c r="K8" s="1"/>
      <c r="L8" s="1"/>
      <c r="M8" s="39">
        <f t="shared" ref="M8:M11" si="3">B8-H8</f>
        <v>0</v>
      </c>
    </row>
    <row r="9" spans="1:14">
      <c r="A9" s="1" t="s">
        <v>259</v>
      </c>
      <c r="B9" s="89">
        <v>1762980076</v>
      </c>
      <c r="C9" s="1" t="s">
        <v>502</v>
      </c>
      <c r="D9" s="4">
        <v>45275</v>
      </c>
      <c r="E9" s="1">
        <v>60</v>
      </c>
      <c r="F9" s="4">
        <f t="shared" si="0"/>
        <v>45335</v>
      </c>
      <c r="G9" s="1">
        <f t="shared" si="1"/>
        <v>-44</v>
      </c>
      <c r="H9" s="62">
        <f t="shared" si="2"/>
        <v>1762980076</v>
      </c>
      <c r="I9" s="1"/>
      <c r="J9" s="1"/>
      <c r="K9" s="1"/>
      <c r="L9" s="1"/>
      <c r="M9" s="39">
        <f t="shared" si="3"/>
        <v>0</v>
      </c>
    </row>
    <row r="10" spans="1:14">
      <c r="A10" s="1" t="s">
        <v>259</v>
      </c>
      <c r="B10" s="89">
        <v>1219897362</v>
      </c>
      <c r="C10" s="1" t="s">
        <v>503</v>
      </c>
      <c r="D10" s="4">
        <v>45290</v>
      </c>
      <c r="E10" s="1">
        <v>60</v>
      </c>
      <c r="F10" s="4">
        <f t="shared" si="0"/>
        <v>45350</v>
      </c>
      <c r="G10" s="1">
        <f t="shared" si="1"/>
        <v>-59</v>
      </c>
      <c r="H10" s="62">
        <f t="shared" si="2"/>
        <v>1219897362</v>
      </c>
      <c r="I10" s="1"/>
      <c r="J10" s="1"/>
      <c r="K10" s="1"/>
      <c r="L10" s="1"/>
      <c r="M10" s="39">
        <f t="shared" si="3"/>
        <v>0</v>
      </c>
    </row>
    <row r="11" spans="1:14">
      <c r="A11" s="1" t="s">
        <v>259</v>
      </c>
      <c r="B11" s="87">
        <v>1243708783</v>
      </c>
      <c r="C11" s="1" t="s">
        <v>504</v>
      </c>
      <c r="D11" s="4">
        <v>45290</v>
      </c>
      <c r="E11" s="1">
        <v>60</v>
      </c>
      <c r="F11" s="4">
        <f t="shared" si="0"/>
        <v>45350</v>
      </c>
      <c r="G11" s="1">
        <f t="shared" si="1"/>
        <v>-59</v>
      </c>
      <c r="H11" s="62">
        <f t="shared" si="2"/>
        <v>1243708783</v>
      </c>
      <c r="I11" s="4"/>
      <c r="J11" s="4"/>
      <c r="K11" s="4"/>
      <c r="L11" s="4"/>
      <c r="M11" s="39">
        <f t="shared" si="3"/>
        <v>0</v>
      </c>
    </row>
    <row r="12" spans="1:14">
      <c r="A12" s="6"/>
      <c r="B12" s="183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07"/>
    </row>
    <row r="13" spans="1:14">
      <c r="A13" s="1" t="s">
        <v>113</v>
      </c>
      <c r="B13" s="251">
        <v>27282426.778242677</v>
      </c>
      <c r="C13" s="1"/>
      <c r="D13" s="4">
        <v>45260</v>
      </c>
      <c r="E13" s="1">
        <v>30</v>
      </c>
      <c r="F13" s="4">
        <f t="shared" ref="F13:F17" si="4">D13+E13</f>
        <v>45290</v>
      </c>
      <c r="G13" s="1">
        <f>$A$3-F13</f>
        <v>1</v>
      </c>
      <c r="H13" s="62"/>
      <c r="I13" s="39">
        <f>B13</f>
        <v>27282426.778242677</v>
      </c>
      <c r="J13" s="1"/>
      <c r="K13" s="1"/>
      <c r="L13" s="1"/>
      <c r="M13" s="39">
        <f>B13-SUM(H13:L13)</f>
        <v>0</v>
      </c>
      <c r="N13" s="207"/>
    </row>
    <row r="14" spans="1:14">
      <c r="A14" s="1" t="s">
        <v>113</v>
      </c>
      <c r="B14" s="251">
        <v>21017573.221757323</v>
      </c>
      <c r="C14" s="1"/>
      <c r="D14" s="4">
        <v>45280</v>
      </c>
      <c r="E14" s="1">
        <v>30</v>
      </c>
      <c r="F14" s="4">
        <f t="shared" si="4"/>
        <v>45310</v>
      </c>
      <c r="G14" s="1">
        <f>$A$3-F14</f>
        <v>-19</v>
      </c>
      <c r="H14" s="62">
        <f>B14</f>
        <v>21017573.221757323</v>
      </c>
      <c r="I14" s="39"/>
      <c r="J14" s="1"/>
      <c r="K14" s="1"/>
      <c r="L14" s="1"/>
      <c r="M14" s="39">
        <f t="shared" ref="M14:M21" si="5">B14-SUM(H14:L14)</f>
        <v>0</v>
      </c>
      <c r="N14" s="207"/>
    </row>
    <row r="15" spans="1:14">
      <c r="A15" s="1" t="s">
        <v>125</v>
      </c>
      <c r="B15" s="26">
        <v>81190864</v>
      </c>
      <c r="C15" s="1"/>
      <c r="D15" s="4">
        <v>45260</v>
      </c>
      <c r="E15" s="1">
        <v>30</v>
      </c>
      <c r="F15" s="4">
        <f t="shared" si="4"/>
        <v>45290</v>
      </c>
      <c r="G15" s="1">
        <f t="shared" ref="G15:G17" si="6">$A$3-F15</f>
        <v>1</v>
      </c>
      <c r="H15" s="62"/>
      <c r="I15" s="39">
        <f>B15</f>
        <v>81190864</v>
      </c>
      <c r="J15" s="1"/>
      <c r="K15" s="1"/>
      <c r="L15" s="1"/>
      <c r="M15" s="39">
        <f t="shared" si="5"/>
        <v>0</v>
      </c>
    </row>
    <row r="16" spans="1:14">
      <c r="A16" s="1" t="s">
        <v>125</v>
      </c>
      <c r="B16" s="26">
        <v>27129136</v>
      </c>
      <c r="C16" s="1"/>
      <c r="D16" s="4">
        <v>45291</v>
      </c>
      <c r="E16" s="1">
        <v>30</v>
      </c>
      <c r="F16" s="4">
        <f t="shared" si="4"/>
        <v>45321</v>
      </c>
      <c r="G16" s="1">
        <f t="shared" si="6"/>
        <v>-30</v>
      </c>
      <c r="H16" s="62">
        <f>B16</f>
        <v>27129136</v>
      </c>
      <c r="I16" s="1"/>
      <c r="J16" s="1"/>
      <c r="K16" s="1"/>
      <c r="L16" s="1"/>
      <c r="M16" s="39">
        <f t="shared" si="5"/>
        <v>0</v>
      </c>
    </row>
    <row r="17" spans="1:18">
      <c r="A17" s="208" t="s">
        <v>129</v>
      </c>
      <c r="B17" s="209">
        <v>49140000</v>
      </c>
      <c r="C17" s="92"/>
      <c r="D17" s="94">
        <v>45290</v>
      </c>
      <c r="E17" s="92">
        <v>30</v>
      </c>
      <c r="F17" s="94">
        <f t="shared" si="4"/>
        <v>45320</v>
      </c>
      <c r="G17" s="92">
        <f t="shared" si="6"/>
        <v>-29</v>
      </c>
      <c r="H17" s="62">
        <f>B17</f>
        <v>49140000</v>
      </c>
      <c r="I17" s="210"/>
      <c r="J17" s="92"/>
      <c r="K17" s="92"/>
      <c r="L17" s="92"/>
      <c r="M17" s="39">
        <f t="shared" si="5"/>
        <v>0</v>
      </c>
    </row>
    <row r="18" spans="1:18">
      <c r="A18" s="1" t="s">
        <v>277</v>
      </c>
      <c r="B18" s="26">
        <v>21370775</v>
      </c>
      <c r="C18" s="1"/>
      <c r="D18" s="4"/>
      <c r="E18" s="1"/>
      <c r="F18" s="4"/>
      <c r="G18" s="1"/>
      <c r="H18" s="62"/>
      <c r="I18" s="39">
        <f t="shared" ref="I18" si="7">B18</f>
        <v>21370775</v>
      </c>
      <c r="J18" s="1"/>
      <c r="K18" s="1"/>
      <c r="L18" s="1"/>
      <c r="M18" s="39">
        <f t="shared" si="5"/>
        <v>0</v>
      </c>
    </row>
    <row r="19" spans="1:18">
      <c r="A19" s="8"/>
      <c r="B19" s="3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203">
        <f>SUM(H7:H18)</f>
        <v>7594300250.2217569</v>
      </c>
      <c r="O19" s="203">
        <f>SUM(I7:I18)</f>
        <v>129844065.77824268</v>
      </c>
      <c r="P19" s="203">
        <f>SUM(J7:J18)</f>
        <v>0</v>
      </c>
      <c r="Q19" s="203">
        <f>SUM(K7:K18)</f>
        <v>0</v>
      </c>
      <c r="R19" s="203">
        <f>SUM(L7:L18)</f>
        <v>0</v>
      </c>
    </row>
    <row r="20" spans="1:18">
      <c r="A20" s="200" t="s">
        <v>145</v>
      </c>
      <c r="B20" s="211">
        <f>30969994.0553579</f>
        <v>30969994.0553579</v>
      </c>
      <c r="C20" s="1"/>
      <c r="D20" s="4">
        <v>45290</v>
      </c>
      <c r="E20" s="1">
        <v>30</v>
      </c>
      <c r="F20" s="4">
        <f t="shared" ref="F20:F21" si="8">D20+E20</f>
        <v>45320</v>
      </c>
      <c r="G20" s="1">
        <f t="shared" ref="G20:G21" si="9">$A$3-F20</f>
        <v>-29</v>
      </c>
      <c r="H20" s="27">
        <f>B20</f>
        <v>30969994.0553579</v>
      </c>
      <c r="I20" s="1"/>
      <c r="J20" s="1"/>
      <c r="K20" s="1"/>
      <c r="L20" s="1"/>
      <c r="M20" s="39">
        <f t="shared" si="5"/>
        <v>0</v>
      </c>
    </row>
    <row r="21" spans="1:18">
      <c r="A21" s="200" t="s">
        <v>145</v>
      </c>
      <c r="B21" s="211">
        <f>62487083078.2246</f>
        <v>62487083078.224602</v>
      </c>
      <c r="C21" s="1"/>
      <c r="D21" s="165">
        <v>45111</v>
      </c>
      <c r="E21" s="1">
        <v>30</v>
      </c>
      <c r="F21" s="4">
        <f t="shared" si="8"/>
        <v>45141</v>
      </c>
      <c r="G21" s="1">
        <f t="shared" si="9"/>
        <v>150</v>
      </c>
      <c r="H21" s="39">
        <f>56390102719.3623-H20</f>
        <v>56359132725.306938</v>
      </c>
      <c r="I21" s="39">
        <v>1124432546.7602689</v>
      </c>
      <c r="J21" s="39"/>
      <c r="K21" s="39">
        <v>1501648057.1369178</v>
      </c>
      <c r="L21" s="39">
        <v>3501869749.0205603</v>
      </c>
      <c r="M21" s="39">
        <f t="shared" si="5"/>
        <v>-8.392333984375E-5</v>
      </c>
    </row>
    <row r="22" spans="1:18">
      <c r="B22" s="19">
        <f>SUM(B7:B21)</f>
        <v>70242197388.279953</v>
      </c>
      <c r="H22" s="203">
        <f>SUM(H7:H21)</f>
        <v>63984402969.584053</v>
      </c>
      <c r="I22" s="203">
        <f t="shared" ref="I22:L22" si="10">SUM(I7:I21)</f>
        <v>1254276612.5385115</v>
      </c>
      <c r="J22" s="203">
        <f t="shared" si="10"/>
        <v>0</v>
      </c>
      <c r="K22" s="203">
        <f t="shared" si="10"/>
        <v>1501648057.1369178</v>
      </c>
      <c r="L22" s="203">
        <f t="shared" si="10"/>
        <v>3501869749.0205603</v>
      </c>
      <c r="M22" s="203"/>
    </row>
    <row r="23" spans="1:18">
      <c r="A23" s="204" t="s">
        <v>243</v>
      </c>
      <c r="B23" s="24">
        <v>70242197387</v>
      </c>
    </row>
    <row r="24" spans="1:18">
      <c r="B24" s="203">
        <f>B22-B23</f>
        <v>1.2799530029296875</v>
      </c>
    </row>
    <row r="25" spans="1:18">
      <c r="D25" s="16"/>
    </row>
    <row r="26" spans="1:18" hidden="1">
      <c r="A26" s="200" t="s">
        <v>145</v>
      </c>
      <c r="B26" s="24">
        <v>270544211</v>
      </c>
      <c r="C26">
        <v>36</v>
      </c>
      <c r="D26" s="252"/>
      <c r="E26" s="1">
        <v>30</v>
      </c>
      <c r="F26" s="4">
        <f t="shared" ref="F26:F89" si="11">D26+E26</f>
        <v>30</v>
      </c>
      <c r="G26" s="1">
        <f t="shared" ref="G26:G89" si="12">$A$3-F26</f>
        <v>45261</v>
      </c>
      <c r="L26" s="24">
        <f>B26</f>
        <v>270544211</v>
      </c>
    </row>
    <row r="27" spans="1:18" hidden="1">
      <c r="A27" s="200" t="s">
        <v>145</v>
      </c>
      <c r="B27" s="24">
        <v>274961884</v>
      </c>
      <c r="C27">
        <v>49</v>
      </c>
      <c r="D27" s="17"/>
      <c r="E27" s="1">
        <v>30</v>
      </c>
      <c r="F27" s="4">
        <f t="shared" si="11"/>
        <v>30</v>
      </c>
      <c r="G27" s="1">
        <f t="shared" si="12"/>
        <v>45261</v>
      </c>
      <c r="L27" s="24">
        <f t="shared" ref="L27:L90" si="13">B27</f>
        <v>274961884</v>
      </c>
    </row>
    <row r="28" spans="1:18" hidden="1">
      <c r="A28" s="200" t="s">
        <v>145</v>
      </c>
      <c r="B28" s="24">
        <v>332279557</v>
      </c>
      <c r="C28">
        <v>56</v>
      </c>
      <c r="D28" s="17"/>
      <c r="E28" s="1">
        <v>30</v>
      </c>
      <c r="F28" s="4">
        <f t="shared" si="11"/>
        <v>30</v>
      </c>
      <c r="G28" s="1">
        <f t="shared" si="12"/>
        <v>45261</v>
      </c>
      <c r="L28" s="24">
        <f t="shared" si="13"/>
        <v>332279557</v>
      </c>
    </row>
    <row r="29" spans="1:18" hidden="1">
      <c r="A29" s="200" t="s">
        <v>145</v>
      </c>
      <c r="B29" s="24">
        <v>332279557</v>
      </c>
      <c r="C29">
        <v>57</v>
      </c>
      <c r="D29" s="17"/>
      <c r="E29" s="1">
        <v>30</v>
      </c>
      <c r="F29" s="4">
        <f t="shared" si="11"/>
        <v>30</v>
      </c>
      <c r="G29" s="1">
        <f t="shared" si="12"/>
        <v>45261</v>
      </c>
      <c r="L29" s="24">
        <f t="shared" si="13"/>
        <v>332279557</v>
      </c>
    </row>
    <row r="30" spans="1:18" hidden="1">
      <c r="A30" s="200" t="s">
        <v>145</v>
      </c>
      <c r="B30" s="24">
        <v>332279557</v>
      </c>
      <c r="C30">
        <v>58</v>
      </c>
      <c r="D30" s="17"/>
      <c r="E30" s="1">
        <v>30</v>
      </c>
      <c r="F30" s="4">
        <f t="shared" si="11"/>
        <v>30</v>
      </c>
      <c r="G30" s="1">
        <f t="shared" si="12"/>
        <v>45261</v>
      </c>
      <c r="L30" s="24">
        <f t="shared" si="13"/>
        <v>332279557</v>
      </c>
    </row>
    <row r="31" spans="1:18" hidden="1">
      <c r="A31" s="200" t="s">
        <v>145</v>
      </c>
      <c r="B31" s="24">
        <v>332279557</v>
      </c>
      <c r="C31">
        <v>59</v>
      </c>
      <c r="D31" s="17"/>
      <c r="E31" s="1">
        <v>30</v>
      </c>
      <c r="F31" s="4">
        <f t="shared" si="11"/>
        <v>30</v>
      </c>
      <c r="G31" s="1">
        <f t="shared" si="12"/>
        <v>45261</v>
      </c>
      <c r="L31" s="24">
        <f t="shared" si="13"/>
        <v>332279557</v>
      </c>
    </row>
    <row r="32" spans="1:18" hidden="1">
      <c r="A32" s="200" t="s">
        <v>145</v>
      </c>
      <c r="B32" s="24">
        <v>332279557</v>
      </c>
      <c r="C32">
        <v>60</v>
      </c>
      <c r="D32" s="17"/>
      <c r="E32" s="1">
        <v>30</v>
      </c>
      <c r="F32" s="4">
        <f t="shared" si="11"/>
        <v>30</v>
      </c>
      <c r="G32" s="1">
        <f t="shared" si="12"/>
        <v>45261</v>
      </c>
      <c r="L32" s="24">
        <f t="shared" si="13"/>
        <v>332279557</v>
      </c>
    </row>
    <row r="33" spans="1:12" hidden="1">
      <c r="A33" s="200" t="s">
        <v>145</v>
      </c>
      <c r="B33" s="24">
        <v>296237346</v>
      </c>
      <c r="C33">
        <v>65</v>
      </c>
      <c r="D33" s="17"/>
      <c r="E33" s="1">
        <v>30</v>
      </c>
      <c r="F33" s="4">
        <f t="shared" si="11"/>
        <v>30</v>
      </c>
      <c r="G33" s="1">
        <f t="shared" si="12"/>
        <v>45261</v>
      </c>
      <c r="L33" s="24">
        <f t="shared" si="13"/>
        <v>296237346</v>
      </c>
    </row>
    <row r="34" spans="1:12" hidden="1">
      <c r="A34" s="200" t="s">
        <v>145</v>
      </c>
      <c r="B34" s="24">
        <v>277721145</v>
      </c>
      <c r="C34">
        <v>67</v>
      </c>
      <c r="D34" s="17"/>
      <c r="E34" s="1">
        <v>30</v>
      </c>
      <c r="F34" s="4">
        <f t="shared" si="11"/>
        <v>30</v>
      </c>
      <c r="G34" s="1">
        <f t="shared" si="12"/>
        <v>45261</v>
      </c>
      <c r="L34" s="24">
        <f t="shared" si="13"/>
        <v>277721145</v>
      </c>
    </row>
    <row r="35" spans="1:12" hidden="1">
      <c r="A35" s="200" t="s">
        <v>145</v>
      </c>
      <c r="B35" s="24">
        <v>232202810</v>
      </c>
      <c r="C35">
        <v>74</v>
      </c>
      <c r="D35" s="17"/>
      <c r="E35" s="1">
        <v>30</v>
      </c>
      <c r="F35" s="4">
        <f t="shared" si="11"/>
        <v>30</v>
      </c>
      <c r="G35" s="1">
        <f t="shared" si="12"/>
        <v>45261</v>
      </c>
      <c r="L35" s="24">
        <f t="shared" si="13"/>
        <v>232202810</v>
      </c>
    </row>
    <row r="36" spans="1:12" hidden="1">
      <c r="A36" s="200" t="s">
        <v>145</v>
      </c>
      <c r="B36" s="24">
        <v>288512413</v>
      </c>
      <c r="C36">
        <v>75</v>
      </c>
      <c r="D36" s="17"/>
      <c r="E36" s="1">
        <v>30</v>
      </c>
      <c r="F36" s="4">
        <f t="shared" si="11"/>
        <v>30</v>
      </c>
      <c r="G36" s="1">
        <f t="shared" si="12"/>
        <v>45261</v>
      </c>
      <c r="L36" s="24">
        <f t="shared" si="13"/>
        <v>288512413</v>
      </c>
    </row>
    <row r="37" spans="1:12" hidden="1">
      <c r="A37" s="200" t="s">
        <v>145</v>
      </c>
      <c r="B37" s="24">
        <v>329194218</v>
      </c>
      <c r="C37">
        <v>76</v>
      </c>
      <c r="D37" s="17"/>
      <c r="E37" s="1">
        <v>30</v>
      </c>
      <c r="F37" s="4">
        <f t="shared" si="11"/>
        <v>30</v>
      </c>
      <c r="G37" s="1">
        <f t="shared" si="12"/>
        <v>45261</v>
      </c>
      <c r="L37" s="24">
        <f t="shared" si="13"/>
        <v>329194218</v>
      </c>
    </row>
    <row r="38" spans="1:12" hidden="1">
      <c r="A38" s="200" t="s">
        <v>145</v>
      </c>
      <c r="B38" s="24">
        <v>212379818</v>
      </c>
      <c r="C38">
        <v>77</v>
      </c>
      <c r="D38" s="17"/>
      <c r="E38" s="1">
        <v>30</v>
      </c>
      <c r="F38" s="4">
        <f t="shared" si="11"/>
        <v>30</v>
      </c>
      <c r="G38" s="1">
        <f t="shared" si="12"/>
        <v>45261</v>
      </c>
      <c r="L38" s="24">
        <f t="shared" si="13"/>
        <v>212379818</v>
      </c>
    </row>
    <row r="39" spans="1:12" hidden="1">
      <c r="A39" s="200" t="s">
        <v>145</v>
      </c>
      <c r="B39" s="24">
        <v>287121533</v>
      </c>
      <c r="C39">
        <v>79</v>
      </c>
      <c r="D39" s="17"/>
      <c r="E39" s="1">
        <v>30</v>
      </c>
      <c r="F39" s="4">
        <f t="shared" si="11"/>
        <v>30</v>
      </c>
      <c r="G39" s="1">
        <f t="shared" si="12"/>
        <v>45261</v>
      </c>
      <c r="L39" s="24">
        <f t="shared" si="13"/>
        <v>287121533</v>
      </c>
    </row>
    <row r="40" spans="1:12" hidden="1">
      <c r="A40" s="200" t="s">
        <v>145</v>
      </c>
      <c r="B40" s="24">
        <v>286763264</v>
      </c>
      <c r="C40">
        <v>80</v>
      </c>
      <c r="D40" s="17"/>
      <c r="E40" s="1">
        <v>30</v>
      </c>
      <c r="F40" s="4">
        <f t="shared" si="11"/>
        <v>30</v>
      </c>
      <c r="G40" s="1">
        <f t="shared" si="12"/>
        <v>45261</v>
      </c>
      <c r="L40" s="24">
        <f t="shared" si="13"/>
        <v>286763264</v>
      </c>
    </row>
    <row r="41" spans="1:12" hidden="1">
      <c r="A41" s="200" t="s">
        <v>145</v>
      </c>
      <c r="B41" s="24">
        <v>286763264</v>
      </c>
      <c r="C41">
        <v>81</v>
      </c>
      <c r="D41" s="17"/>
      <c r="E41" s="1">
        <v>30</v>
      </c>
      <c r="F41" s="4">
        <f t="shared" si="11"/>
        <v>30</v>
      </c>
      <c r="G41" s="1">
        <f t="shared" si="12"/>
        <v>45261</v>
      </c>
      <c r="L41" s="24">
        <f t="shared" si="13"/>
        <v>286763264</v>
      </c>
    </row>
    <row r="42" spans="1:12" hidden="1">
      <c r="A42" s="200" t="s">
        <v>145</v>
      </c>
      <c r="B42" s="24">
        <v>261937378</v>
      </c>
      <c r="C42">
        <v>82</v>
      </c>
      <c r="D42" s="17"/>
      <c r="E42" s="1">
        <v>30</v>
      </c>
      <c r="F42" s="4">
        <f t="shared" si="11"/>
        <v>30</v>
      </c>
      <c r="G42" s="1">
        <f t="shared" si="12"/>
        <v>45261</v>
      </c>
      <c r="L42" s="24">
        <f t="shared" si="13"/>
        <v>261937378</v>
      </c>
    </row>
    <row r="43" spans="1:12" hidden="1">
      <c r="A43" s="200" t="s">
        <v>145</v>
      </c>
      <c r="B43" s="24">
        <v>253441787</v>
      </c>
      <c r="C43">
        <v>83</v>
      </c>
      <c r="D43" s="17"/>
      <c r="E43" s="1">
        <v>30</v>
      </c>
      <c r="F43" s="4">
        <f t="shared" si="11"/>
        <v>30</v>
      </c>
      <c r="G43" s="1">
        <f t="shared" si="12"/>
        <v>45261</v>
      </c>
      <c r="L43" s="24">
        <f t="shared" si="13"/>
        <v>253441787</v>
      </c>
    </row>
    <row r="44" spans="1:12" hidden="1">
      <c r="A44" s="200" t="s">
        <v>145</v>
      </c>
      <c r="B44" s="24">
        <v>302822681</v>
      </c>
      <c r="C44">
        <v>86</v>
      </c>
      <c r="D44" s="17"/>
      <c r="E44" s="1">
        <v>30</v>
      </c>
      <c r="F44" s="4">
        <f t="shared" si="11"/>
        <v>30</v>
      </c>
      <c r="G44" s="1">
        <f t="shared" si="12"/>
        <v>45261</v>
      </c>
      <c r="L44" s="24">
        <f t="shared" si="13"/>
        <v>302822681</v>
      </c>
    </row>
    <row r="45" spans="1:12" hidden="1">
      <c r="A45" s="200" t="s">
        <v>145</v>
      </c>
      <c r="B45" s="24">
        <v>353972806</v>
      </c>
      <c r="C45">
        <v>87</v>
      </c>
      <c r="D45" s="17"/>
      <c r="E45" s="1">
        <v>30</v>
      </c>
      <c r="F45" s="4">
        <f t="shared" si="11"/>
        <v>30</v>
      </c>
      <c r="G45" s="1">
        <f t="shared" si="12"/>
        <v>45261</v>
      </c>
      <c r="L45" s="24">
        <f t="shared" si="13"/>
        <v>353972806</v>
      </c>
    </row>
    <row r="46" spans="1:12" hidden="1">
      <c r="A46" s="200" t="s">
        <v>145</v>
      </c>
      <c r="B46" s="24">
        <v>353972806</v>
      </c>
      <c r="C46">
        <v>88</v>
      </c>
      <c r="D46" s="17"/>
      <c r="E46" s="1">
        <v>30</v>
      </c>
      <c r="F46" s="4">
        <f t="shared" si="11"/>
        <v>30</v>
      </c>
      <c r="G46" s="1">
        <f t="shared" si="12"/>
        <v>45261</v>
      </c>
      <c r="L46" s="24">
        <f t="shared" si="13"/>
        <v>353972806</v>
      </c>
    </row>
    <row r="47" spans="1:12" hidden="1">
      <c r="A47" s="200" t="s">
        <v>145</v>
      </c>
      <c r="B47" s="24">
        <v>353973072</v>
      </c>
      <c r="C47">
        <v>90</v>
      </c>
      <c r="D47" s="17"/>
      <c r="E47" s="1">
        <v>30</v>
      </c>
      <c r="F47" s="4">
        <f t="shared" si="11"/>
        <v>30</v>
      </c>
      <c r="G47" s="1">
        <f t="shared" si="12"/>
        <v>45261</v>
      </c>
      <c r="L47" s="24">
        <f t="shared" si="13"/>
        <v>353973072</v>
      </c>
    </row>
    <row r="48" spans="1:12" hidden="1">
      <c r="A48" s="200" t="s">
        <v>145</v>
      </c>
      <c r="B48" s="24">
        <v>353973072</v>
      </c>
      <c r="C48">
        <v>91</v>
      </c>
      <c r="D48" s="17"/>
      <c r="E48" s="1">
        <v>30</v>
      </c>
      <c r="F48" s="4">
        <f t="shared" si="11"/>
        <v>30</v>
      </c>
      <c r="G48" s="1">
        <f t="shared" si="12"/>
        <v>45261</v>
      </c>
      <c r="L48" s="24">
        <f t="shared" si="13"/>
        <v>353973072</v>
      </c>
    </row>
    <row r="49" spans="1:12" hidden="1">
      <c r="A49" s="200" t="s">
        <v>145</v>
      </c>
      <c r="B49" s="24">
        <v>324954102</v>
      </c>
      <c r="C49">
        <v>92</v>
      </c>
      <c r="D49" s="17"/>
      <c r="E49" s="1">
        <v>30</v>
      </c>
      <c r="F49" s="4">
        <f t="shared" si="11"/>
        <v>30</v>
      </c>
      <c r="G49" s="1">
        <f t="shared" si="12"/>
        <v>45261</v>
      </c>
      <c r="L49" s="24">
        <f t="shared" si="13"/>
        <v>324954102</v>
      </c>
    </row>
    <row r="50" spans="1:12" hidden="1">
      <c r="A50" s="200" t="s">
        <v>145</v>
      </c>
      <c r="B50" s="24">
        <v>270793418</v>
      </c>
      <c r="C50">
        <v>93</v>
      </c>
      <c r="D50" s="17"/>
      <c r="E50" s="1">
        <v>30</v>
      </c>
      <c r="F50" s="4">
        <f t="shared" si="11"/>
        <v>30</v>
      </c>
      <c r="G50" s="1">
        <f t="shared" si="12"/>
        <v>45261</v>
      </c>
      <c r="L50" s="24">
        <f t="shared" si="13"/>
        <v>270793418</v>
      </c>
    </row>
    <row r="51" spans="1:12" hidden="1">
      <c r="A51" s="200" t="s">
        <v>145</v>
      </c>
      <c r="B51" s="24">
        <v>270793418</v>
      </c>
      <c r="C51">
        <v>94</v>
      </c>
      <c r="D51" s="17"/>
      <c r="E51" s="1">
        <v>30</v>
      </c>
      <c r="F51" s="4">
        <f t="shared" si="11"/>
        <v>30</v>
      </c>
      <c r="G51" s="1">
        <f t="shared" si="12"/>
        <v>45261</v>
      </c>
      <c r="L51" s="24">
        <f t="shared" si="13"/>
        <v>270793418</v>
      </c>
    </row>
    <row r="52" spans="1:12" hidden="1">
      <c r="A52" s="200" t="s">
        <v>145</v>
      </c>
      <c r="B52" s="24">
        <v>270793418</v>
      </c>
      <c r="C52">
        <v>95</v>
      </c>
      <c r="D52" s="17"/>
      <c r="E52" s="1">
        <v>30</v>
      </c>
      <c r="F52" s="4">
        <f t="shared" si="11"/>
        <v>30</v>
      </c>
      <c r="G52" s="1">
        <f t="shared" si="12"/>
        <v>45261</v>
      </c>
      <c r="L52" s="24">
        <f t="shared" si="13"/>
        <v>270793418</v>
      </c>
    </row>
    <row r="53" spans="1:12" hidden="1">
      <c r="A53" s="200" t="s">
        <v>145</v>
      </c>
      <c r="B53" s="24">
        <v>270793418</v>
      </c>
      <c r="C53">
        <v>96</v>
      </c>
      <c r="D53" s="17"/>
      <c r="E53" s="1">
        <v>30</v>
      </c>
      <c r="F53" s="4">
        <f t="shared" si="11"/>
        <v>30</v>
      </c>
      <c r="G53" s="1">
        <f t="shared" si="12"/>
        <v>45261</v>
      </c>
      <c r="L53" s="24">
        <f t="shared" si="13"/>
        <v>270793418</v>
      </c>
    </row>
    <row r="54" spans="1:12" hidden="1">
      <c r="A54" s="200" t="s">
        <v>145</v>
      </c>
      <c r="B54" s="24">
        <v>345158234</v>
      </c>
      <c r="C54">
        <v>97</v>
      </c>
      <c r="D54" s="17"/>
      <c r="E54" s="1">
        <v>30</v>
      </c>
      <c r="F54" s="4">
        <f t="shared" si="11"/>
        <v>30</v>
      </c>
      <c r="G54" s="1">
        <f t="shared" si="12"/>
        <v>45261</v>
      </c>
      <c r="L54" s="24">
        <f t="shared" si="13"/>
        <v>345158234</v>
      </c>
    </row>
    <row r="55" spans="1:12" hidden="1">
      <c r="A55" s="200" t="s">
        <v>145</v>
      </c>
      <c r="B55" s="24">
        <v>259513411</v>
      </c>
      <c r="C55">
        <v>99</v>
      </c>
      <c r="D55" s="17"/>
      <c r="E55" s="1">
        <v>30</v>
      </c>
      <c r="F55" s="4">
        <f t="shared" si="11"/>
        <v>30</v>
      </c>
      <c r="G55" s="1">
        <f t="shared" si="12"/>
        <v>45261</v>
      </c>
      <c r="L55" s="24">
        <f t="shared" si="13"/>
        <v>259513411</v>
      </c>
    </row>
    <row r="56" spans="1:12" hidden="1">
      <c r="A56" s="200" t="s">
        <v>145</v>
      </c>
      <c r="B56" s="24">
        <v>259513411</v>
      </c>
      <c r="C56">
        <v>100</v>
      </c>
      <c r="D56" s="17"/>
      <c r="E56" s="1">
        <v>30</v>
      </c>
      <c r="F56" s="4">
        <f t="shared" si="11"/>
        <v>30</v>
      </c>
      <c r="G56" s="1">
        <f t="shared" si="12"/>
        <v>45261</v>
      </c>
      <c r="L56" s="24">
        <f t="shared" si="13"/>
        <v>259513411</v>
      </c>
    </row>
    <row r="57" spans="1:12" hidden="1">
      <c r="A57" s="200" t="s">
        <v>145</v>
      </c>
      <c r="B57" s="24">
        <v>259513411</v>
      </c>
      <c r="C57">
        <v>101</v>
      </c>
      <c r="D57" s="17"/>
      <c r="E57" s="1">
        <v>30</v>
      </c>
      <c r="F57" s="4">
        <f t="shared" si="11"/>
        <v>30</v>
      </c>
      <c r="G57" s="1">
        <f t="shared" si="12"/>
        <v>45261</v>
      </c>
      <c r="L57" s="24">
        <f t="shared" si="13"/>
        <v>259513411</v>
      </c>
    </row>
    <row r="58" spans="1:12" hidden="1">
      <c r="A58" s="200" t="s">
        <v>145</v>
      </c>
      <c r="B58" s="24">
        <v>309725075</v>
      </c>
      <c r="C58">
        <v>102</v>
      </c>
      <c r="D58" s="17"/>
      <c r="E58" s="1">
        <v>30</v>
      </c>
      <c r="F58" s="4">
        <f t="shared" si="11"/>
        <v>30</v>
      </c>
      <c r="G58" s="1">
        <f t="shared" si="12"/>
        <v>45261</v>
      </c>
      <c r="L58" s="24">
        <f t="shared" si="13"/>
        <v>309725075</v>
      </c>
    </row>
    <row r="59" spans="1:12" hidden="1">
      <c r="A59" s="200" t="s">
        <v>145</v>
      </c>
      <c r="B59" s="24">
        <v>309725075</v>
      </c>
      <c r="C59">
        <v>103</v>
      </c>
      <c r="D59" s="17"/>
      <c r="E59" s="1">
        <v>30</v>
      </c>
      <c r="F59" s="4">
        <f t="shared" si="11"/>
        <v>30</v>
      </c>
      <c r="G59" s="1">
        <f t="shared" si="12"/>
        <v>45261</v>
      </c>
      <c r="L59" s="24">
        <f t="shared" si="13"/>
        <v>309725075</v>
      </c>
    </row>
    <row r="60" spans="1:12" hidden="1">
      <c r="A60" s="200" t="s">
        <v>145</v>
      </c>
      <c r="B60" s="24">
        <v>246019594</v>
      </c>
      <c r="C60">
        <v>104</v>
      </c>
      <c r="D60" s="17"/>
      <c r="E60" s="1">
        <v>30</v>
      </c>
      <c r="F60" s="4">
        <f t="shared" si="11"/>
        <v>30</v>
      </c>
      <c r="G60" s="1">
        <f t="shared" si="12"/>
        <v>45261</v>
      </c>
      <c r="L60" s="24">
        <f t="shared" si="13"/>
        <v>246019594</v>
      </c>
    </row>
    <row r="61" spans="1:12" hidden="1">
      <c r="A61" s="200" t="s">
        <v>145</v>
      </c>
      <c r="B61" s="24">
        <v>295923458</v>
      </c>
      <c r="C61">
        <v>108</v>
      </c>
      <c r="D61" s="17"/>
      <c r="E61" s="1">
        <v>30</v>
      </c>
      <c r="F61" s="4">
        <f t="shared" si="11"/>
        <v>30</v>
      </c>
      <c r="G61" s="1">
        <f t="shared" si="12"/>
        <v>45261</v>
      </c>
      <c r="L61" s="24">
        <f t="shared" si="13"/>
        <v>295923458</v>
      </c>
    </row>
    <row r="62" spans="1:12" hidden="1">
      <c r="A62" s="200" t="s">
        <v>145</v>
      </c>
      <c r="B62" s="24">
        <v>321285318</v>
      </c>
      <c r="C62">
        <v>110</v>
      </c>
      <c r="D62" s="17"/>
      <c r="E62" s="1">
        <v>30</v>
      </c>
      <c r="F62" s="4">
        <f t="shared" si="11"/>
        <v>30</v>
      </c>
      <c r="G62" s="1">
        <f t="shared" si="12"/>
        <v>45261</v>
      </c>
      <c r="L62" s="24">
        <f t="shared" si="13"/>
        <v>321285318</v>
      </c>
    </row>
    <row r="63" spans="1:12" hidden="1">
      <c r="A63" s="200" t="s">
        <v>145</v>
      </c>
      <c r="B63" s="24">
        <v>321285318</v>
      </c>
      <c r="C63">
        <v>111</v>
      </c>
      <c r="D63" s="17"/>
      <c r="E63" s="1">
        <v>30</v>
      </c>
      <c r="F63" s="4">
        <f t="shared" si="11"/>
        <v>30</v>
      </c>
      <c r="G63" s="1">
        <f t="shared" si="12"/>
        <v>45261</v>
      </c>
      <c r="L63" s="24">
        <f t="shared" si="13"/>
        <v>321285318</v>
      </c>
    </row>
    <row r="64" spans="1:12" hidden="1">
      <c r="A64" s="200" t="s">
        <v>145</v>
      </c>
      <c r="B64" s="24">
        <v>321285318</v>
      </c>
      <c r="C64">
        <v>112</v>
      </c>
      <c r="D64" s="17"/>
      <c r="E64" s="1">
        <v>30</v>
      </c>
      <c r="F64" s="4">
        <f t="shared" si="11"/>
        <v>30</v>
      </c>
      <c r="G64" s="1">
        <f t="shared" si="12"/>
        <v>45261</v>
      </c>
      <c r="L64" s="24">
        <f t="shared" si="13"/>
        <v>321285318</v>
      </c>
    </row>
    <row r="65" spans="1:12" hidden="1">
      <c r="A65" s="200" t="s">
        <v>145</v>
      </c>
      <c r="B65" s="24">
        <v>321285318</v>
      </c>
      <c r="C65">
        <v>113</v>
      </c>
      <c r="D65" s="17"/>
      <c r="E65" s="1">
        <v>30</v>
      </c>
      <c r="F65" s="4">
        <f t="shared" si="11"/>
        <v>30</v>
      </c>
      <c r="G65" s="1">
        <f t="shared" si="12"/>
        <v>45261</v>
      </c>
      <c r="L65" s="24">
        <f t="shared" si="13"/>
        <v>321285318</v>
      </c>
    </row>
    <row r="66" spans="1:12" hidden="1">
      <c r="A66" s="200" t="s">
        <v>145</v>
      </c>
      <c r="B66" s="24">
        <v>321285318</v>
      </c>
      <c r="C66">
        <v>114</v>
      </c>
      <c r="D66" s="17"/>
      <c r="E66" s="1">
        <v>30</v>
      </c>
      <c r="F66" s="4">
        <f t="shared" si="11"/>
        <v>30</v>
      </c>
      <c r="G66" s="1">
        <f t="shared" si="12"/>
        <v>45261</v>
      </c>
      <c r="L66" s="24">
        <f t="shared" si="13"/>
        <v>321285318</v>
      </c>
    </row>
    <row r="67" spans="1:12" hidden="1">
      <c r="A67" s="200" t="s">
        <v>145</v>
      </c>
      <c r="B67" s="24">
        <v>19787915</v>
      </c>
      <c r="C67">
        <v>117</v>
      </c>
      <c r="D67" s="17"/>
      <c r="E67" s="1">
        <v>30</v>
      </c>
      <c r="F67" s="4">
        <f t="shared" si="11"/>
        <v>30</v>
      </c>
      <c r="G67" s="1">
        <f t="shared" si="12"/>
        <v>45261</v>
      </c>
      <c r="L67" s="24">
        <f t="shared" si="13"/>
        <v>19787915</v>
      </c>
    </row>
    <row r="68" spans="1:12" hidden="1">
      <c r="A68" s="200" t="s">
        <v>145</v>
      </c>
      <c r="B68" s="24">
        <v>281900107</v>
      </c>
      <c r="C68">
        <v>118</v>
      </c>
      <c r="D68" s="17"/>
      <c r="E68" s="1">
        <v>30</v>
      </c>
      <c r="F68" s="4">
        <f t="shared" si="11"/>
        <v>30</v>
      </c>
      <c r="G68" s="1">
        <f t="shared" si="12"/>
        <v>45261</v>
      </c>
      <c r="L68" s="24">
        <f t="shared" si="13"/>
        <v>281900107</v>
      </c>
    </row>
    <row r="69" spans="1:12" hidden="1">
      <c r="A69" s="200" t="s">
        <v>145</v>
      </c>
      <c r="B69" s="24">
        <v>281900107</v>
      </c>
      <c r="C69">
        <v>119</v>
      </c>
      <c r="D69" s="17"/>
      <c r="E69" s="1">
        <v>30</v>
      </c>
      <c r="F69" s="4">
        <f t="shared" si="11"/>
        <v>30</v>
      </c>
      <c r="G69" s="1">
        <f t="shared" si="12"/>
        <v>45261</v>
      </c>
      <c r="L69" s="24">
        <f t="shared" si="13"/>
        <v>281900107</v>
      </c>
    </row>
    <row r="70" spans="1:12" hidden="1">
      <c r="A70" s="200" t="s">
        <v>145</v>
      </c>
      <c r="B70" s="24">
        <v>282127769</v>
      </c>
      <c r="C70">
        <v>123</v>
      </c>
      <c r="D70" s="17"/>
      <c r="E70" s="1">
        <v>30</v>
      </c>
      <c r="F70" s="4">
        <f t="shared" si="11"/>
        <v>30</v>
      </c>
      <c r="G70" s="1">
        <f t="shared" si="12"/>
        <v>45261</v>
      </c>
      <c r="L70" s="24">
        <f t="shared" si="13"/>
        <v>282127769</v>
      </c>
    </row>
    <row r="71" spans="1:12" hidden="1">
      <c r="A71" s="200" t="s">
        <v>145</v>
      </c>
      <c r="B71" s="24">
        <v>282127769</v>
      </c>
      <c r="C71">
        <v>124</v>
      </c>
      <c r="D71" s="17"/>
      <c r="E71" s="1">
        <v>30</v>
      </c>
      <c r="F71" s="4">
        <f t="shared" si="11"/>
        <v>30</v>
      </c>
      <c r="G71" s="1">
        <f t="shared" si="12"/>
        <v>45261</v>
      </c>
      <c r="L71" s="24">
        <f t="shared" si="13"/>
        <v>282127769</v>
      </c>
    </row>
    <row r="72" spans="1:12" hidden="1">
      <c r="A72" s="200" t="s">
        <v>145</v>
      </c>
      <c r="B72" s="24">
        <v>282127769</v>
      </c>
      <c r="C72">
        <v>125</v>
      </c>
      <c r="D72" s="17"/>
      <c r="E72" s="1">
        <v>30</v>
      </c>
      <c r="F72" s="4">
        <f t="shared" si="11"/>
        <v>30</v>
      </c>
      <c r="G72" s="1">
        <f t="shared" si="12"/>
        <v>45261</v>
      </c>
      <c r="L72" s="24">
        <f t="shared" si="13"/>
        <v>282127769</v>
      </c>
    </row>
    <row r="73" spans="1:12" hidden="1">
      <c r="A73" s="200" t="s">
        <v>145</v>
      </c>
      <c r="B73" s="24">
        <v>282127769</v>
      </c>
      <c r="C73">
        <v>126</v>
      </c>
      <c r="D73" s="17"/>
      <c r="E73" s="1">
        <v>30</v>
      </c>
      <c r="F73" s="4">
        <f t="shared" si="11"/>
        <v>30</v>
      </c>
      <c r="G73" s="1">
        <f t="shared" si="12"/>
        <v>45261</v>
      </c>
      <c r="L73" s="24">
        <f t="shared" si="13"/>
        <v>282127769</v>
      </c>
    </row>
    <row r="74" spans="1:12" hidden="1">
      <c r="A74" s="200" t="s">
        <v>145</v>
      </c>
      <c r="B74" s="24">
        <v>282127769</v>
      </c>
      <c r="C74">
        <v>127</v>
      </c>
      <c r="D74" s="17"/>
      <c r="E74" s="1">
        <v>30</v>
      </c>
      <c r="F74" s="4">
        <f t="shared" si="11"/>
        <v>30</v>
      </c>
      <c r="G74" s="1">
        <f t="shared" si="12"/>
        <v>45261</v>
      </c>
      <c r="L74" s="24">
        <f t="shared" si="13"/>
        <v>282127769</v>
      </c>
    </row>
    <row r="75" spans="1:12" hidden="1">
      <c r="A75" s="200" t="s">
        <v>145</v>
      </c>
      <c r="B75" s="24">
        <v>332968203</v>
      </c>
      <c r="C75">
        <v>130</v>
      </c>
      <c r="D75" s="17"/>
      <c r="E75" s="1">
        <v>30</v>
      </c>
      <c r="F75" s="4">
        <f t="shared" si="11"/>
        <v>30</v>
      </c>
      <c r="G75" s="1">
        <f t="shared" si="12"/>
        <v>45261</v>
      </c>
      <c r="L75" s="24">
        <f t="shared" si="13"/>
        <v>332968203</v>
      </c>
    </row>
    <row r="76" spans="1:12" hidden="1">
      <c r="A76" s="200" t="s">
        <v>145</v>
      </c>
      <c r="B76" s="24">
        <v>259506553</v>
      </c>
      <c r="C76">
        <v>131</v>
      </c>
      <c r="D76" s="17"/>
      <c r="E76" s="1">
        <v>30</v>
      </c>
      <c r="F76" s="4">
        <f t="shared" si="11"/>
        <v>30</v>
      </c>
      <c r="G76" s="1">
        <f t="shared" si="12"/>
        <v>45261</v>
      </c>
      <c r="L76" s="24">
        <f t="shared" si="13"/>
        <v>259506553</v>
      </c>
    </row>
    <row r="77" spans="1:12" hidden="1">
      <c r="A77" s="200" t="s">
        <v>145</v>
      </c>
      <c r="B77" s="24">
        <v>294807494</v>
      </c>
      <c r="C77">
        <v>133</v>
      </c>
      <c r="D77" s="17"/>
      <c r="E77" s="1">
        <v>30</v>
      </c>
      <c r="F77" s="4">
        <f t="shared" si="11"/>
        <v>30</v>
      </c>
      <c r="G77" s="1">
        <f t="shared" si="12"/>
        <v>45261</v>
      </c>
      <c r="L77" s="24">
        <f t="shared" si="13"/>
        <v>294807494</v>
      </c>
    </row>
    <row r="78" spans="1:12" hidden="1">
      <c r="A78" s="200" t="s">
        <v>145</v>
      </c>
      <c r="B78" s="24">
        <v>324954102</v>
      </c>
      <c r="C78">
        <v>134</v>
      </c>
      <c r="D78" s="17"/>
      <c r="E78" s="1">
        <v>30</v>
      </c>
      <c r="F78" s="4">
        <f t="shared" si="11"/>
        <v>30</v>
      </c>
      <c r="G78" s="1">
        <f t="shared" si="12"/>
        <v>45261</v>
      </c>
      <c r="L78" s="24">
        <f t="shared" si="13"/>
        <v>324954102</v>
      </c>
    </row>
    <row r="79" spans="1:12" hidden="1">
      <c r="A79" s="200" t="s">
        <v>145</v>
      </c>
      <c r="B79" s="24">
        <v>376664153</v>
      </c>
      <c r="C79">
        <v>135</v>
      </c>
      <c r="D79" s="17"/>
      <c r="E79" s="1">
        <v>30</v>
      </c>
      <c r="F79" s="4">
        <f t="shared" si="11"/>
        <v>30</v>
      </c>
      <c r="G79" s="1">
        <f t="shared" si="12"/>
        <v>45261</v>
      </c>
      <c r="L79" s="24">
        <f t="shared" si="13"/>
        <v>376664153</v>
      </c>
    </row>
    <row r="80" spans="1:12" hidden="1">
      <c r="A80" s="200" t="s">
        <v>145</v>
      </c>
      <c r="B80" s="24">
        <v>236196368</v>
      </c>
      <c r="C80">
        <v>138</v>
      </c>
      <c r="D80" s="17"/>
      <c r="E80" s="1">
        <v>30</v>
      </c>
      <c r="F80" s="4">
        <f t="shared" si="11"/>
        <v>30</v>
      </c>
      <c r="G80" s="1">
        <f t="shared" si="12"/>
        <v>45261</v>
      </c>
      <c r="L80" s="24">
        <f t="shared" si="13"/>
        <v>236196368</v>
      </c>
    </row>
    <row r="81" spans="1:12" hidden="1">
      <c r="A81" s="200" t="s">
        <v>145</v>
      </c>
      <c r="B81" s="24">
        <v>239187163</v>
      </c>
      <c r="C81">
        <v>139</v>
      </c>
      <c r="D81" s="17"/>
      <c r="E81" s="1">
        <v>30</v>
      </c>
      <c r="F81" s="4">
        <f t="shared" si="11"/>
        <v>30</v>
      </c>
      <c r="G81" s="1">
        <f t="shared" si="12"/>
        <v>45261</v>
      </c>
      <c r="L81" s="24">
        <f t="shared" si="13"/>
        <v>239187163</v>
      </c>
    </row>
    <row r="82" spans="1:12" hidden="1">
      <c r="A82" s="200" t="s">
        <v>145</v>
      </c>
      <c r="B82" s="24">
        <v>239187163</v>
      </c>
      <c r="C82">
        <v>140</v>
      </c>
      <c r="D82" s="17"/>
      <c r="E82" s="1">
        <v>30</v>
      </c>
      <c r="F82" s="4">
        <f t="shared" si="11"/>
        <v>30</v>
      </c>
      <c r="G82" s="1">
        <f t="shared" si="12"/>
        <v>45261</v>
      </c>
      <c r="L82" s="24">
        <f t="shared" si="13"/>
        <v>239187163</v>
      </c>
    </row>
    <row r="83" spans="1:12" hidden="1">
      <c r="A83" s="200" t="s">
        <v>145</v>
      </c>
      <c r="B83" s="24">
        <v>287674884</v>
      </c>
      <c r="C83">
        <v>141</v>
      </c>
      <c r="D83" s="17"/>
      <c r="E83" s="1">
        <v>30</v>
      </c>
      <c r="F83" s="4">
        <f t="shared" si="11"/>
        <v>30</v>
      </c>
      <c r="G83" s="1">
        <f t="shared" si="12"/>
        <v>45261</v>
      </c>
      <c r="L83" s="24">
        <f t="shared" si="13"/>
        <v>287674884</v>
      </c>
    </row>
    <row r="84" spans="1:12" hidden="1">
      <c r="A84" s="200" t="s">
        <v>145</v>
      </c>
      <c r="B84" s="24">
        <v>231657056</v>
      </c>
      <c r="C84">
        <v>144</v>
      </c>
      <c r="D84" s="17"/>
      <c r="E84" s="1">
        <v>30</v>
      </c>
      <c r="F84" s="4">
        <f t="shared" si="11"/>
        <v>30</v>
      </c>
      <c r="G84" s="1">
        <f t="shared" si="12"/>
        <v>45261</v>
      </c>
      <c r="L84" s="24">
        <f t="shared" si="13"/>
        <v>231657056</v>
      </c>
    </row>
    <row r="85" spans="1:12" hidden="1">
      <c r="A85" s="200" t="s">
        <v>145</v>
      </c>
      <c r="B85" s="24">
        <v>380254329</v>
      </c>
      <c r="C85">
        <v>145</v>
      </c>
      <c r="D85" s="17"/>
      <c r="E85" s="1">
        <v>30</v>
      </c>
      <c r="F85" s="4">
        <f t="shared" si="11"/>
        <v>30</v>
      </c>
      <c r="G85" s="1">
        <f t="shared" si="12"/>
        <v>45261</v>
      </c>
      <c r="L85" s="24">
        <f t="shared" si="13"/>
        <v>380254329</v>
      </c>
    </row>
    <row r="86" spans="1:12" hidden="1">
      <c r="A86" s="200" t="s">
        <v>145</v>
      </c>
      <c r="B86" s="24">
        <v>310157623</v>
      </c>
      <c r="C86">
        <v>146</v>
      </c>
      <c r="D86" s="17"/>
      <c r="E86" s="1">
        <v>30</v>
      </c>
      <c r="F86" s="4">
        <f t="shared" si="11"/>
        <v>30</v>
      </c>
      <c r="G86" s="1">
        <f t="shared" si="12"/>
        <v>45261</v>
      </c>
      <c r="L86" s="24">
        <f t="shared" si="13"/>
        <v>310157623</v>
      </c>
    </row>
    <row r="87" spans="1:12" hidden="1">
      <c r="A87" s="200" t="s">
        <v>145</v>
      </c>
      <c r="B87" s="24">
        <v>310157623</v>
      </c>
      <c r="C87">
        <v>147</v>
      </c>
      <c r="D87" s="17"/>
      <c r="E87" s="1">
        <v>30</v>
      </c>
      <c r="F87" s="4">
        <f t="shared" si="11"/>
        <v>30</v>
      </c>
      <c r="G87" s="1">
        <f t="shared" si="12"/>
        <v>45261</v>
      </c>
      <c r="L87" s="24">
        <f t="shared" si="13"/>
        <v>310157623</v>
      </c>
    </row>
    <row r="88" spans="1:12" hidden="1">
      <c r="A88" s="200" t="s">
        <v>145</v>
      </c>
      <c r="B88" s="24">
        <v>310157623</v>
      </c>
      <c r="C88">
        <v>148</v>
      </c>
      <c r="D88" s="17"/>
      <c r="E88" s="1">
        <v>30</v>
      </c>
      <c r="F88" s="4">
        <f t="shared" si="11"/>
        <v>30</v>
      </c>
      <c r="G88" s="1">
        <f t="shared" si="12"/>
        <v>45261</v>
      </c>
      <c r="L88" s="24">
        <f t="shared" si="13"/>
        <v>310157623</v>
      </c>
    </row>
    <row r="89" spans="1:12" hidden="1">
      <c r="A89" s="200" t="s">
        <v>145</v>
      </c>
      <c r="B89" s="24">
        <v>310157623</v>
      </c>
      <c r="C89">
        <v>149</v>
      </c>
      <c r="D89" s="17"/>
      <c r="E89" s="1">
        <v>30</v>
      </c>
      <c r="F89" s="4">
        <f t="shared" si="11"/>
        <v>30</v>
      </c>
      <c r="G89" s="1">
        <f t="shared" si="12"/>
        <v>45261</v>
      </c>
      <c r="L89" s="24">
        <f t="shared" si="13"/>
        <v>310157623</v>
      </c>
    </row>
    <row r="90" spans="1:12" hidden="1">
      <c r="A90" s="200" t="s">
        <v>145</v>
      </c>
      <c r="B90" s="24">
        <v>310157623</v>
      </c>
      <c r="C90">
        <v>150</v>
      </c>
      <c r="D90" s="17"/>
      <c r="E90" s="1">
        <v>30</v>
      </c>
      <c r="F90" s="4">
        <f t="shared" ref="F90:F153" si="14">D90+E90</f>
        <v>30</v>
      </c>
      <c r="G90" s="1">
        <f t="shared" ref="G90:G153" si="15">$A$3-F90</f>
        <v>45261</v>
      </c>
      <c r="L90" s="24">
        <f t="shared" si="13"/>
        <v>310157623</v>
      </c>
    </row>
    <row r="91" spans="1:12" hidden="1">
      <c r="A91" s="200" t="s">
        <v>145</v>
      </c>
      <c r="B91" s="24">
        <v>37753074</v>
      </c>
      <c r="C91">
        <v>151</v>
      </c>
      <c r="D91" s="17"/>
      <c r="E91" s="1">
        <v>30</v>
      </c>
      <c r="F91" s="4">
        <f t="shared" si="14"/>
        <v>30</v>
      </c>
      <c r="G91" s="1">
        <f t="shared" si="15"/>
        <v>45261</v>
      </c>
      <c r="L91" s="24">
        <f t="shared" ref="L91:L154" si="16">B91</f>
        <v>37753074</v>
      </c>
    </row>
    <row r="92" spans="1:12" hidden="1">
      <c r="A92" s="200" t="s">
        <v>145</v>
      </c>
      <c r="B92" s="24">
        <v>295629440</v>
      </c>
      <c r="C92">
        <v>152</v>
      </c>
      <c r="D92" s="17"/>
      <c r="E92" s="1">
        <v>30</v>
      </c>
      <c r="F92" s="4">
        <f t="shared" si="14"/>
        <v>30</v>
      </c>
      <c r="G92" s="1">
        <f t="shared" si="15"/>
        <v>45261</v>
      </c>
      <c r="L92" s="24">
        <f t="shared" si="16"/>
        <v>295629440</v>
      </c>
    </row>
    <row r="93" spans="1:12" hidden="1">
      <c r="A93" s="200" t="s">
        <v>145</v>
      </c>
      <c r="B93" s="24">
        <v>295629440</v>
      </c>
      <c r="C93">
        <v>153</v>
      </c>
      <c r="D93" s="17"/>
      <c r="E93" s="1">
        <v>30</v>
      </c>
      <c r="F93" s="4">
        <f t="shared" si="14"/>
        <v>30</v>
      </c>
      <c r="G93" s="1">
        <f t="shared" si="15"/>
        <v>45261</v>
      </c>
      <c r="L93" s="24">
        <f t="shared" si="16"/>
        <v>295629440</v>
      </c>
    </row>
    <row r="94" spans="1:12" hidden="1">
      <c r="A94" s="200" t="s">
        <v>145</v>
      </c>
      <c r="B94" s="24">
        <v>347781432</v>
      </c>
      <c r="C94">
        <v>156</v>
      </c>
      <c r="D94" s="17"/>
      <c r="E94" s="1">
        <v>30</v>
      </c>
      <c r="F94" s="4">
        <f t="shared" si="14"/>
        <v>30</v>
      </c>
      <c r="G94" s="1">
        <f t="shared" si="15"/>
        <v>45261</v>
      </c>
      <c r="L94" s="24">
        <f t="shared" si="16"/>
        <v>347781432</v>
      </c>
    </row>
    <row r="95" spans="1:12" hidden="1">
      <c r="A95" s="200" t="s">
        <v>145</v>
      </c>
      <c r="B95" s="24">
        <v>106857942</v>
      </c>
      <c r="C95">
        <v>157</v>
      </c>
      <c r="D95" s="17"/>
      <c r="E95" s="1">
        <v>30</v>
      </c>
      <c r="F95" s="4">
        <f t="shared" si="14"/>
        <v>30</v>
      </c>
      <c r="G95" s="1">
        <f t="shared" si="15"/>
        <v>45261</v>
      </c>
      <c r="L95" s="24">
        <f t="shared" si="16"/>
        <v>106857942</v>
      </c>
    </row>
    <row r="96" spans="1:12" hidden="1">
      <c r="A96" s="200" t="s">
        <v>145</v>
      </c>
      <c r="B96" s="24">
        <v>388203406</v>
      </c>
      <c r="C96">
        <v>158</v>
      </c>
      <c r="D96" s="17"/>
      <c r="E96" s="1">
        <v>30</v>
      </c>
      <c r="F96" s="4">
        <f t="shared" si="14"/>
        <v>30</v>
      </c>
      <c r="G96" s="1">
        <f t="shared" si="15"/>
        <v>45261</v>
      </c>
      <c r="L96" s="24">
        <f t="shared" si="16"/>
        <v>388203406</v>
      </c>
    </row>
    <row r="97" spans="1:12" hidden="1">
      <c r="A97" s="200" t="s">
        <v>145</v>
      </c>
      <c r="B97" s="24">
        <v>328478267</v>
      </c>
      <c r="C97">
        <v>159</v>
      </c>
      <c r="D97" s="17"/>
      <c r="E97" s="1">
        <v>30</v>
      </c>
      <c r="F97" s="4">
        <f t="shared" si="14"/>
        <v>30</v>
      </c>
      <c r="G97" s="1">
        <f t="shared" si="15"/>
        <v>45261</v>
      </c>
      <c r="L97" s="24">
        <f t="shared" si="16"/>
        <v>328478267</v>
      </c>
    </row>
    <row r="98" spans="1:12" hidden="1">
      <c r="A98" s="200" t="s">
        <v>145</v>
      </c>
      <c r="B98" s="24">
        <v>328478267</v>
      </c>
      <c r="C98">
        <v>160</v>
      </c>
      <c r="D98" s="17"/>
      <c r="E98" s="1">
        <v>30</v>
      </c>
      <c r="F98" s="4">
        <f t="shared" si="14"/>
        <v>30</v>
      </c>
      <c r="G98" s="1">
        <f t="shared" si="15"/>
        <v>45261</v>
      </c>
      <c r="L98" s="24">
        <f t="shared" si="16"/>
        <v>328478267</v>
      </c>
    </row>
    <row r="99" spans="1:12" hidden="1">
      <c r="A99" s="200" t="s">
        <v>145</v>
      </c>
      <c r="B99" s="24">
        <v>95251597</v>
      </c>
      <c r="C99">
        <v>161</v>
      </c>
      <c r="D99" s="17"/>
      <c r="E99" s="1">
        <v>30</v>
      </c>
      <c r="F99" s="4">
        <f t="shared" si="14"/>
        <v>30</v>
      </c>
      <c r="G99" s="1">
        <f t="shared" si="15"/>
        <v>45261</v>
      </c>
      <c r="L99" s="24">
        <f t="shared" si="16"/>
        <v>95251597</v>
      </c>
    </row>
    <row r="100" spans="1:12" hidden="1">
      <c r="A100" s="200" t="s">
        <v>145</v>
      </c>
      <c r="B100" s="24">
        <v>110730778</v>
      </c>
      <c r="C100">
        <v>162</v>
      </c>
      <c r="D100" s="17"/>
      <c r="E100" s="1">
        <v>30</v>
      </c>
      <c r="F100" s="4">
        <f t="shared" si="14"/>
        <v>30</v>
      </c>
      <c r="G100" s="1">
        <f t="shared" si="15"/>
        <v>45261</v>
      </c>
      <c r="L100" s="24">
        <f t="shared" si="16"/>
        <v>110730778</v>
      </c>
    </row>
    <row r="101" spans="1:12" hidden="1">
      <c r="A101" s="200" t="s">
        <v>145</v>
      </c>
      <c r="B101" s="24">
        <v>257763702</v>
      </c>
      <c r="C101">
        <v>163</v>
      </c>
      <c r="D101" s="17"/>
      <c r="E101" s="1">
        <v>30</v>
      </c>
      <c r="F101" s="4">
        <f t="shared" si="14"/>
        <v>30</v>
      </c>
      <c r="G101" s="1">
        <f t="shared" si="15"/>
        <v>45261</v>
      </c>
      <c r="L101" s="24">
        <f t="shared" si="16"/>
        <v>257763702</v>
      </c>
    </row>
    <row r="102" spans="1:12" hidden="1">
      <c r="A102" s="200" t="s">
        <v>145</v>
      </c>
      <c r="B102" s="24">
        <v>257763702</v>
      </c>
      <c r="C102">
        <v>164</v>
      </c>
      <c r="D102" s="17"/>
      <c r="E102" s="1">
        <v>30</v>
      </c>
      <c r="F102" s="4">
        <f t="shared" si="14"/>
        <v>30</v>
      </c>
      <c r="G102" s="1">
        <f t="shared" si="15"/>
        <v>45261</v>
      </c>
      <c r="L102" s="24">
        <f t="shared" si="16"/>
        <v>257763702</v>
      </c>
    </row>
    <row r="103" spans="1:12" hidden="1">
      <c r="A103" s="200" t="s">
        <v>145</v>
      </c>
      <c r="B103" s="24">
        <v>257763702</v>
      </c>
      <c r="C103">
        <v>165</v>
      </c>
      <c r="D103" s="17"/>
      <c r="E103" s="1">
        <v>30</v>
      </c>
      <c r="F103" s="4">
        <f t="shared" si="14"/>
        <v>30</v>
      </c>
      <c r="G103" s="1">
        <f t="shared" si="15"/>
        <v>45261</v>
      </c>
      <c r="L103" s="24">
        <f t="shared" si="16"/>
        <v>257763702</v>
      </c>
    </row>
    <row r="104" spans="1:12" hidden="1">
      <c r="A104" s="200" t="s">
        <v>145</v>
      </c>
      <c r="B104" s="24">
        <v>205295167</v>
      </c>
      <c r="C104">
        <v>166</v>
      </c>
      <c r="D104" s="17"/>
      <c r="E104" s="1">
        <v>30</v>
      </c>
      <c r="F104" s="4">
        <f t="shared" si="14"/>
        <v>30</v>
      </c>
      <c r="G104" s="1">
        <f t="shared" si="15"/>
        <v>45261</v>
      </c>
      <c r="L104" s="24">
        <f t="shared" si="16"/>
        <v>205295167</v>
      </c>
    </row>
    <row r="105" spans="1:12" hidden="1">
      <c r="A105" s="200" t="s">
        <v>145</v>
      </c>
      <c r="B105" s="24">
        <v>205295167</v>
      </c>
      <c r="C105">
        <v>167</v>
      </c>
      <c r="D105" s="17"/>
      <c r="E105" s="1">
        <v>30</v>
      </c>
      <c r="F105" s="4">
        <f t="shared" si="14"/>
        <v>30</v>
      </c>
      <c r="G105" s="1">
        <f t="shared" si="15"/>
        <v>45261</v>
      </c>
      <c r="L105" s="24">
        <f t="shared" si="16"/>
        <v>205295167</v>
      </c>
    </row>
    <row r="106" spans="1:12" hidden="1">
      <c r="A106" s="200" t="s">
        <v>145</v>
      </c>
      <c r="B106" s="24">
        <v>382230892</v>
      </c>
      <c r="C106">
        <v>168</v>
      </c>
      <c r="D106" s="17"/>
      <c r="E106" s="1">
        <v>30</v>
      </c>
      <c r="F106" s="4">
        <f t="shared" si="14"/>
        <v>30</v>
      </c>
      <c r="G106" s="1">
        <f t="shared" si="15"/>
        <v>45261</v>
      </c>
      <c r="L106" s="24">
        <f t="shared" si="16"/>
        <v>382230892</v>
      </c>
    </row>
    <row r="107" spans="1:12" hidden="1">
      <c r="A107" s="200" t="s">
        <v>145</v>
      </c>
      <c r="B107" s="24">
        <v>382230892</v>
      </c>
      <c r="C107">
        <v>169</v>
      </c>
      <c r="D107" s="17"/>
      <c r="E107" s="1">
        <v>30</v>
      </c>
      <c r="F107" s="4">
        <f t="shared" si="14"/>
        <v>30</v>
      </c>
      <c r="G107" s="1">
        <f t="shared" si="15"/>
        <v>45261</v>
      </c>
      <c r="L107" s="24">
        <f t="shared" si="16"/>
        <v>382230892</v>
      </c>
    </row>
    <row r="108" spans="1:12" hidden="1">
      <c r="A108" s="200" t="s">
        <v>145</v>
      </c>
      <c r="B108" s="24">
        <v>382230892</v>
      </c>
      <c r="C108">
        <v>170</v>
      </c>
      <c r="D108" s="17"/>
      <c r="E108" s="1">
        <v>30</v>
      </c>
      <c r="F108" s="4">
        <f t="shared" si="14"/>
        <v>30</v>
      </c>
      <c r="G108" s="1">
        <f t="shared" si="15"/>
        <v>45261</v>
      </c>
      <c r="L108" s="24">
        <f t="shared" si="16"/>
        <v>382230892</v>
      </c>
    </row>
    <row r="109" spans="1:12" hidden="1">
      <c r="A109" s="200" t="s">
        <v>145</v>
      </c>
      <c r="B109" s="24">
        <v>148959429</v>
      </c>
      <c r="C109">
        <v>171</v>
      </c>
      <c r="D109" s="17"/>
      <c r="E109" s="1">
        <v>30</v>
      </c>
      <c r="F109" s="4">
        <f t="shared" si="14"/>
        <v>30</v>
      </c>
      <c r="G109" s="1">
        <f t="shared" si="15"/>
        <v>45261</v>
      </c>
      <c r="L109" s="24">
        <f t="shared" si="16"/>
        <v>148959429</v>
      </c>
    </row>
    <row r="110" spans="1:12" hidden="1">
      <c r="A110" s="200" t="s">
        <v>145</v>
      </c>
      <c r="B110" s="24">
        <v>269380241</v>
      </c>
      <c r="C110">
        <v>172</v>
      </c>
      <c r="D110" s="17"/>
      <c r="E110" s="1">
        <v>30</v>
      </c>
      <c r="F110" s="4">
        <f t="shared" si="14"/>
        <v>30</v>
      </c>
      <c r="G110" s="1">
        <f t="shared" si="15"/>
        <v>45261</v>
      </c>
      <c r="L110" s="24">
        <f t="shared" si="16"/>
        <v>269380241</v>
      </c>
    </row>
    <row r="111" spans="1:12" hidden="1">
      <c r="A111" s="200" t="s">
        <v>145</v>
      </c>
      <c r="B111" s="24">
        <v>234201917</v>
      </c>
      <c r="C111">
        <v>173</v>
      </c>
      <c r="D111" s="17"/>
      <c r="E111" s="1">
        <v>30</v>
      </c>
      <c r="F111" s="4">
        <f t="shared" si="14"/>
        <v>30</v>
      </c>
      <c r="G111" s="1">
        <f t="shared" si="15"/>
        <v>45261</v>
      </c>
      <c r="L111" s="24">
        <f t="shared" si="16"/>
        <v>234201917</v>
      </c>
    </row>
    <row r="112" spans="1:12" hidden="1">
      <c r="A112" s="200" t="s">
        <v>145</v>
      </c>
      <c r="B112" s="24">
        <v>220405844</v>
      </c>
      <c r="C112">
        <v>174</v>
      </c>
      <c r="D112" s="17"/>
      <c r="E112" s="1">
        <v>30</v>
      </c>
      <c r="F112" s="4">
        <f t="shared" si="14"/>
        <v>30</v>
      </c>
      <c r="G112" s="1">
        <f t="shared" si="15"/>
        <v>45261</v>
      </c>
      <c r="L112" s="24">
        <f t="shared" si="16"/>
        <v>220405844</v>
      </c>
    </row>
    <row r="113" spans="1:12" hidden="1">
      <c r="A113" s="200" t="s">
        <v>145</v>
      </c>
      <c r="B113" s="24">
        <v>383611028</v>
      </c>
      <c r="C113">
        <v>175</v>
      </c>
      <c r="D113" s="17"/>
      <c r="E113" s="1">
        <v>30</v>
      </c>
      <c r="F113" s="4">
        <f t="shared" si="14"/>
        <v>30</v>
      </c>
      <c r="G113" s="1">
        <f t="shared" si="15"/>
        <v>45261</v>
      </c>
      <c r="L113" s="24">
        <f t="shared" si="16"/>
        <v>383611028</v>
      </c>
    </row>
    <row r="114" spans="1:12" hidden="1">
      <c r="A114" s="200" t="s">
        <v>145</v>
      </c>
      <c r="B114" s="24">
        <v>341067267</v>
      </c>
      <c r="C114">
        <v>176</v>
      </c>
      <c r="D114" s="17"/>
      <c r="E114" s="1">
        <v>30</v>
      </c>
      <c r="F114" s="4">
        <f t="shared" si="14"/>
        <v>30</v>
      </c>
      <c r="G114" s="1">
        <f t="shared" si="15"/>
        <v>45261</v>
      </c>
      <c r="L114" s="24">
        <f t="shared" si="16"/>
        <v>341067267</v>
      </c>
    </row>
    <row r="115" spans="1:12" hidden="1">
      <c r="A115" s="200" t="s">
        <v>145</v>
      </c>
      <c r="B115" s="24">
        <v>341067267</v>
      </c>
      <c r="C115">
        <v>177</v>
      </c>
      <c r="D115" s="17"/>
      <c r="E115" s="1">
        <v>30</v>
      </c>
      <c r="F115" s="4">
        <f t="shared" si="14"/>
        <v>30</v>
      </c>
      <c r="G115" s="1">
        <f t="shared" si="15"/>
        <v>45261</v>
      </c>
      <c r="L115" s="24">
        <f t="shared" si="16"/>
        <v>341067267</v>
      </c>
    </row>
    <row r="116" spans="1:12" hidden="1">
      <c r="A116" s="200" t="s">
        <v>145</v>
      </c>
      <c r="B116" s="24">
        <v>341067267</v>
      </c>
      <c r="C116">
        <v>178</v>
      </c>
      <c r="D116" s="17"/>
      <c r="E116" s="1">
        <v>30</v>
      </c>
      <c r="F116" s="4">
        <f t="shared" si="14"/>
        <v>30</v>
      </c>
      <c r="G116" s="1">
        <f t="shared" si="15"/>
        <v>45261</v>
      </c>
      <c r="L116" s="24">
        <f t="shared" si="16"/>
        <v>341067267</v>
      </c>
    </row>
    <row r="117" spans="1:12" hidden="1">
      <c r="A117" s="200" t="s">
        <v>145</v>
      </c>
      <c r="B117" s="24">
        <v>341067267</v>
      </c>
      <c r="C117">
        <v>179</v>
      </c>
      <c r="D117" s="17"/>
      <c r="E117" s="1">
        <v>30</v>
      </c>
      <c r="F117" s="4">
        <f t="shared" si="14"/>
        <v>30</v>
      </c>
      <c r="G117" s="1">
        <f t="shared" si="15"/>
        <v>45261</v>
      </c>
      <c r="L117" s="24">
        <f t="shared" si="16"/>
        <v>341067267</v>
      </c>
    </row>
    <row r="118" spans="1:12" hidden="1">
      <c r="A118" s="200" t="s">
        <v>145</v>
      </c>
      <c r="B118" s="24">
        <v>341067267</v>
      </c>
      <c r="C118">
        <v>180</v>
      </c>
      <c r="D118" s="17"/>
      <c r="E118" s="1">
        <v>30</v>
      </c>
      <c r="F118" s="4">
        <f t="shared" si="14"/>
        <v>30</v>
      </c>
      <c r="G118" s="1">
        <f t="shared" si="15"/>
        <v>45261</v>
      </c>
      <c r="L118" s="24">
        <f t="shared" si="16"/>
        <v>341067267</v>
      </c>
    </row>
    <row r="119" spans="1:12" hidden="1">
      <c r="A119" s="200" t="s">
        <v>145</v>
      </c>
      <c r="B119" s="24">
        <v>239882395</v>
      </c>
      <c r="C119">
        <v>181</v>
      </c>
      <c r="D119" s="17"/>
      <c r="E119" s="1">
        <v>30</v>
      </c>
      <c r="F119" s="4">
        <f t="shared" si="14"/>
        <v>30</v>
      </c>
      <c r="G119" s="1">
        <f t="shared" si="15"/>
        <v>45261</v>
      </c>
      <c r="L119" s="24">
        <f t="shared" si="16"/>
        <v>239882395</v>
      </c>
    </row>
    <row r="120" spans="1:12" hidden="1">
      <c r="A120" s="200" t="s">
        <v>145</v>
      </c>
      <c r="B120" s="24">
        <v>329971395</v>
      </c>
      <c r="C120">
        <v>183</v>
      </c>
      <c r="D120" s="17"/>
      <c r="E120" s="1">
        <v>30</v>
      </c>
      <c r="F120" s="4">
        <f t="shared" si="14"/>
        <v>30</v>
      </c>
      <c r="G120" s="1">
        <f t="shared" si="15"/>
        <v>45261</v>
      </c>
      <c r="L120" s="24">
        <f t="shared" si="16"/>
        <v>329971395</v>
      </c>
    </row>
    <row r="121" spans="1:12" hidden="1">
      <c r="A121" s="200" t="s">
        <v>145</v>
      </c>
      <c r="B121" s="24">
        <v>329971395</v>
      </c>
      <c r="C121">
        <v>184</v>
      </c>
      <c r="D121" s="17"/>
      <c r="E121" s="1">
        <v>30</v>
      </c>
      <c r="F121" s="4">
        <f t="shared" si="14"/>
        <v>30</v>
      </c>
      <c r="G121" s="1">
        <f t="shared" si="15"/>
        <v>45261</v>
      </c>
      <c r="L121" s="24">
        <f t="shared" si="16"/>
        <v>329971395</v>
      </c>
    </row>
    <row r="122" spans="1:12" hidden="1">
      <c r="A122" s="200" t="s">
        <v>145</v>
      </c>
      <c r="B122" s="24">
        <v>329971395</v>
      </c>
      <c r="C122">
        <v>185</v>
      </c>
      <c r="D122" s="17"/>
      <c r="E122" s="1">
        <v>30</v>
      </c>
      <c r="F122" s="4">
        <f t="shared" si="14"/>
        <v>30</v>
      </c>
      <c r="G122" s="1">
        <f t="shared" si="15"/>
        <v>45261</v>
      </c>
      <c r="L122" s="24">
        <f t="shared" si="16"/>
        <v>329971395</v>
      </c>
    </row>
    <row r="123" spans="1:12" hidden="1">
      <c r="A123" s="200" t="s">
        <v>145</v>
      </c>
      <c r="B123" s="24">
        <v>329971395</v>
      </c>
      <c r="C123">
        <v>186</v>
      </c>
      <c r="D123" s="17"/>
      <c r="E123" s="1">
        <v>30</v>
      </c>
      <c r="F123" s="4">
        <f t="shared" si="14"/>
        <v>30</v>
      </c>
      <c r="G123" s="1">
        <f t="shared" si="15"/>
        <v>45261</v>
      </c>
      <c r="L123" s="24">
        <f t="shared" si="16"/>
        <v>329971395</v>
      </c>
    </row>
    <row r="124" spans="1:12" hidden="1">
      <c r="A124" s="200" t="s">
        <v>145</v>
      </c>
      <c r="B124" s="24">
        <v>329971395</v>
      </c>
      <c r="C124">
        <v>187</v>
      </c>
      <c r="D124" s="17"/>
      <c r="E124" s="1">
        <v>30</v>
      </c>
      <c r="F124" s="4">
        <f t="shared" si="14"/>
        <v>30</v>
      </c>
      <c r="G124" s="1">
        <f t="shared" si="15"/>
        <v>45261</v>
      </c>
      <c r="L124" s="24">
        <f t="shared" si="16"/>
        <v>329971395</v>
      </c>
    </row>
    <row r="125" spans="1:12" hidden="1">
      <c r="A125" s="200" t="s">
        <v>145</v>
      </c>
      <c r="B125" s="24">
        <v>277624087</v>
      </c>
      <c r="C125">
        <v>188</v>
      </c>
      <c r="D125" s="17"/>
      <c r="E125" s="1">
        <v>30</v>
      </c>
      <c r="F125" s="4">
        <f t="shared" si="14"/>
        <v>30</v>
      </c>
      <c r="G125" s="1">
        <f t="shared" si="15"/>
        <v>45261</v>
      </c>
      <c r="L125" s="24">
        <f t="shared" si="16"/>
        <v>277624087</v>
      </c>
    </row>
    <row r="126" spans="1:12" hidden="1">
      <c r="A126" s="200" t="s">
        <v>145</v>
      </c>
      <c r="B126" s="24">
        <v>260785292</v>
      </c>
      <c r="C126">
        <v>189</v>
      </c>
      <c r="D126" s="17"/>
      <c r="E126" s="1">
        <v>30</v>
      </c>
      <c r="F126" s="4">
        <f t="shared" si="14"/>
        <v>30</v>
      </c>
      <c r="G126" s="1">
        <f t="shared" si="15"/>
        <v>45261</v>
      </c>
      <c r="L126" s="24">
        <f t="shared" si="16"/>
        <v>260785292</v>
      </c>
    </row>
    <row r="127" spans="1:12" hidden="1">
      <c r="A127" s="200" t="s">
        <v>145</v>
      </c>
      <c r="B127" s="24">
        <v>260785292</v>
      </c>
      <c r="C127">
        <v>190</v>
      </c>
      <c r="D127" s="17"/>
      <c r="E127" s="1">
        <v>30</v>
      </c>
      <c r="F127" s="4">
        <f t="shared" si="14"/>
        <v>30</v>
      </c>
      <c r="G127" s="1">
        <f t="shared" si="15"/>
        <v>45261</v>
      </c>
      <c r="L127" s="24">
        <f t="shared" si="16"/>
        <v>260785292</v>
      </c>
    </row>
    <row r="128" spans="1:12" hidden="1">
      <c r="A128" s="200" t="s">
        <v>145</v>
      </c>
      <c r="B128" s="24">
        <v>260785292</v>
      </c>
      <c r="C128">
        <v>191</v>
      </c>
      <c r="D128" s="17"/>
      <c r="E128" s="1">
        <v>30</v>
      </c>
      <c r="F128" s="4">
        <f t="shared" si="14"/>
        <v>30</v>
      </c>
      <c r="G128" s="1">
        <f t="shared" si="15"/>
        <v>45261</v>
      </c>
      <c r="L128" s="24">
        <f t="shared" si="16"/>
        <v>260785292</v>
      </c>
    </row>
    <row r="129" spans="1:12" hidden="1">
      <c r="A129" s="200" t="s">
        <v>145</v>
      </c>
      <c r="B129" s="24">
        <v>260785292</v>
      </c>
      <c r="C129">
        <v>192</v>
      </c>
      <c r="D129" s="17"/>
      <c r="E129" s="1">
        <v>30</v>
      </c>
      <c r="F129" s="4">
        <f t="shared" si="14"/>
        <v>30</v>
      </c>
      <c r="G129" s="1">
        <f t="shared" si="15"/>
        <v>45261</v>
      </c>
      <c r="L129" s="24">
        <f t="shared" si="16"/>
        <v>260785292</v>
      </c>
    </row>
    <row r="130" spans="1:12" hidden="1">
      <c r="A130" s="200" t="s">
        <v>145</v>
      </c>
      <c r="B130" s="24">
        <v>60519745</v>
      </c>
      <c r="C130">
        <v>193</v>
      </c>
      <c r="D130" s="17"/>
      <c r="E130" s="1">
        <v>30</v>
      </c>
      <c r="F130" s="4">
        <f t="shared" si="14"/>
        <v>30</v>
      </c>
      <c r="G130" s="1">
        <f t="shared" si="15"/>
        <v>45261</v>
      </c>
      <c r="L130" s="24">
        <f t="shared" si="16"/>
        <v>60519745</v>
      </c>
    </row>
    <row r="131" spans="1:12" hidden="1">
      <c r="A131" s="200" t="s">
        <v>145</v>
      </c>
      <c r="B131" s="24">
        <v>185030</v>
      </c>
      <c r="C131">
        <v>194</v>
      </c>
      <c r="D131" s="17"/>
      <c r="E131" s="1">
        <v>30</v>
      </c>
      <c r="F131" s="4">
        <f t="shared" si="14"/>
        <v>30</v>
      </c>
      <c r="G131" s="1">
        <f t="shared" si="15"/>
        <v>45261</v>
      </c>
      <c r="L131" s="24">
        <f t="shared" si="16"/>
        <v>185030</v>
      </c>
    </row>
    <row r="132" spans="1:12" hidden="1">
      <c r="A132" s="200" t="s">
        <v>145</v>
      </c>
      <c r="B132" s="24">
        <v>64306804</v>
      </c>
      <c r="C132">
        <v>195</v>
      </c>
      <c r="D132" s="17"/>
      <c r="E132" s="1">
        <v>30</v>
      </c>
      <c r="F132" s="4">
        <f t="shared" si="14"/>
        <v>30</v>
      </c>
      <c r="G132" s="1">
        <f t="shared" si="15"/>
        <v>45261</v>
      </c>
      <c r="L132" s="24">
        <f t="shared" si="16"/>
        <v>64306804</v>
      </c>
    </row>
    <row r="133" spans="1:12" hidden="1">
      <c r="A133" s="200" t="s">
        <v>145</v>
      </c>
      <c r="B133" s="24">
        <v>13537858</v>
      </c>
      <c r="C133">
        <v>196</v>
      </c>
      <c r="D133" s="17"/>
      <c r="E133" s="1">
        <v>30</v>
      </c>
      <c r="F133" s="4">
        <f t="shared" si="14"/>
        <v>30</v>
      </c>
      <c r="G133" s="1">
        <f t="shared" si="15"/>
        <v>45261</v>
      </c>
      <c r="L133" s="24">
        <f t="shared" si="16"/>
        <v>13537858</v>
      </c>
    </row>
    <row r="134" spans="1:12" hidden="1">
      <c r="A134" s="200" t="s">
        <v>145</v>
      </c>
      <c r="B134" s="24">
        <v>263381628</v>
      </c>
      <c r="C134">
        <v>197</v>
      </c>
      <c r="D134" s="17"/>
      <c r="E134" s="1">
        <v>30</v>
      </c>
      <c r="F134" s="4">
        <f t="shared" si="14"/>
        <v>30</v>
      </c>
      <c r="G134" s="1">
        <f t="shared" si="15"/>
        <v>45261</v>
      </c>
      <c r="L134" s="24">
        <f t="shared" si="16"/>
        <v>263381628</v>
      </c>
    </row>
    <row r="135" spans="1:12" hidden="1">
      <c r="A135" s="200" t="s">
        <v>145</v>
      </c>
      <c r="B135" s="24">
        <v>263381628</v>
      </c>
      <c r="C135">
        <v>198</v>
      </c>
      <c r="D135" s="17"/>
      <c r="E135" s="1">
        <v>30</v>
      </c>
      <c r="F135" s="4">
        <f t="shared" si="14"/>
        <v>30</v>
      </c>
      <c r="G135" s="1">
        <f t="shared" si="15"/>
        <v>45261</v>
      </c>
      <c r="L135" s="24">
        <f t="shared" si="16"/>
        <v>263381628</v>
      </c>
    </row>
    <row r="136" spans="1:12" hidden="1">
      <c r="A136" s="200" t="s">
        <v>145</v>
      </c>
      <c r="B136" s="24">
        <v>263381628</v>
      </c>
      <c r="C136">
        <v>199</v>
      </c>
      <c r="D136" s="17"/>
      <c r="E136" s="1">
        <v>30</v>
      </c>
      <c r="F136" s="4">
        <f t="shared" si="14"/>
        <v>30</v>
      </c>
      <c r="G136" s="1">
        <f t="shared" si="15"/>
        <v>45261</v>
      </c>
      <c r="L136" s="24">
        <f t="shared" si="16"/>
        <v>263381628</v>
      </c>
    </row>
    <row r="137" spans="1:12" hidden="1">
      <c r="A137" s="200" t="s">
        <v>145</v>
      </c>
      <c r="B137" s="24">
        <v>263381628</v>
      </c>
      <c r="C137">
        <v>200</v>
      </c>
      <c r="D137" s="17"/>
      <c r="E137" s="1">
        <v>30</v>
      </c>
      <c r="F137" s="4">
        <f t="shared" si="14"/>
        <v>30</v>
      </c>
      <c r="G137" s="1">
        <f t="shared" si="15"/>
        <v>45261</v>
      </c>
      <c r="L137" s="24">
        <f t="shared" si="16"/>
        <v>263381628</v>
      </c>
    </row>
    <row r="138" spans="1:12" hidden="1">
      <c r="A138" s="200" t="s">
        <v>145</v>
      </c>
      <c r="B138" s="24">
        <v>291483634</v>
      </c>
      <c r="C138">
        <v>201</v>
      </c>
      <c r="D138" s="17"/>
      <c r="E138" s="1">
        <v>30</v>
      </c>
      <c r="F138" s="4">
        <f t="shared" si="14"/>
        <v>30</v>
      </c>
      <c r="G138" s="1">
        <f t="shared" si="15"/>
        <v>45261</v>
      </c>
      <c r="L138" s="24">
        <f t="shared" si="16"/>
        <v>291483634</v>
      </c>
    </row>
    <row r="139" spans="1:12" hidden="1">
      <c r="A139" s="200" t="s">
        <v>145</v>
      </c>
      <c r="B139" s="24">
        <v>291483634</v>
      </c>
      <c r="C139">
        <v>202</v>
      </c>
      <c r="D139" s="17"/>
      <c r="E139" s="1">
        <v>30</v>
      </c>
      <c r="F139" s="4">
        <f t="shared" si="14"/>
        <v>30</v>
      </c>
      <c r="G139" s="1">
        <f t="shared" si="15"/>
        <v>45261</v>
      </c>
      <c r="L139" s="24">
        <f t="shared" si="16"/>
        <v>291483634</v>
      </c>
    </row>
    <row r="140" spans="1:12" hidden="1">
      <c r="A140" s="200" t="s">
        <v>145</v>
      </c>
      <c r="B140" s="24">
        <v>291483634</v>
      </c>
      <c r="C140">
        <v>203</v>
      </c>
      <c r="D140" s="17"/>
      <c r="E140" s="1">
        <v>30</v>
      </c>
      <c r="F140" s="4">
        <f t="shared" si="14"/>
        <v>30</v>
      </c>
      <c r="G140" s="1">
        <f t="shared" si="15"/>
        <v>45261</v>
      </c>
      <c r="L140" s="24">
        <f t="shared" si="16"/>
        <v>291483634</v>
      </c>
    </row>
    <row r="141" spans="1:12" hidden="1">
      <c r="A141" s="200" t="s">
        <v>145</v>
      </c>
      <c r="B141" s="24">
        <v>291483634</v>
      </c>
      <c r="C141">
        <v>204</v>
      </c>
      <c r="D141" s="17"/>
      <c r="E141" s="1">
        <v>30</v>
      </c>
      <c r="F141" s="4">
        <f t="shared" si="14"/>
        <v>30</v>
      </c>
      <c r="G141" s="1">
        <f>$A$3-F141</f>
        <v>45261</v>
      </c>
      <c r="L141" s="24">
        <f t="shared" si="16"/>
        <v>291483634</v>
      </c>
    </row>
    <row r="142" spans="1:12" hidden="1">
      <c r="A142" s="200" t="s">
        <v>145</v>
      </c>
      <c r="B142" s="24">
        <v>291483634</v>
      </c>
      <c r="C142">
        <v>205</v>
      </c>
      <c r="D142" s="17"/>
      <c r="E142" s="1">
        <v>30</v>
      </c>
      <c r="F142" s="4">
        <f t="shared" si="14"/>
        <v>30</v>
      </c>
      <c r="G142" s="1">
        <f t="shared" si="15"/>
        <v>45261</v>
      </c>
      <c r="L142" s="24">
        <f t="shared" si="16"/>
        <v>291483634</v>
      </c>
    </row>
    <row r="143" spans="1:12" hidden="1">
      <c r="A143" s="200" t="s">
        <v>145</v>
      </c>
      <c r="B143" s="24">
        <v>291483634</v>
      </c>
      <c r="C143">
        <v>206</v>
      </c>
      <c r="D143" s="17"/>
      <c r="E143" s="1">
        <v>30</v>
      </c>
      <c r="F143" s="4">
        <f t="shared" si="14"/>
        <v>30</v>
      </c>
      <c r="G143" s="1">
        <f t="shared" si="15"/>
        <v>45261</v>
      </c>
      <c r="L143" s="24">
        <f t="shared" si="16"/>
        <v>291483634</v>
      </c>
    </row>
    <row r="144" spans="1:12" hidden="1">
      <c r="A144" s="200" t="s">
        <v>145</v>
      </c>
      <c r="B144" s="24">
        <v>266255889</v>
      </c>
      <c r="C144">
        <v>207</v>
      </c>
      <c r="D144" s="17"/>
      <c r="E144" s="1">
        <v>30</v>
      </c>
      <c r="F144" s="4">
        <f t="shared" si="14"/>
        <v>30</v>
      </c>
      <c r="G144" s="1">
        <f t="shared" si="15"/>
        <v>45261</v>
      </c>
      <c r="L144" s="24">
        <f t="shared" si="16"/>
        <v>266255889</v>
      </c>
    </row>
    <row r="145" spans="1:12" hidden="1">
      <c r="A145" s="200" t="s">
        <v>145</v>
      </c>
      <c r="B145" s="24">
        <v>167041192</v>
      </c>
      <c r="C145">
        <v>210</v>
      </c>
      <c r="D145" s="17"/>
      <c r="E145" s="1">
        <v>30</v>
      </c>
      <c r="F145" s="4">
        <f t="shared" si="14"/>
        <v>30</v>
      </c>
      <c r="G145" s="1">
        <f t="shared" si="15"/>
        <v>45261</v>
      </c>
      <c r="L145" s="24">
        <f t="shared" si="16"/>
        <v>167041192</v>
      </c>
    </row>
    <row r="146" spans="1:12" hidden="1">
      <c r="A146" s="200" t="s">
        <v>145</v>
      </c>
      <c r="B146" s="24">
        <v>266149629</v>
      </c>
      <c r="C146">
        <v>211</v>
      </c>
      <c r="D146" s="17"/>
      <c r="E146" s="1">
        <v>30</v>
      </c>
      <c r="F146" s="4">
        <f t="shared" si="14"/>
        <v>30</v>
      </c>
      <c r="G146" s="1">
        <f t="shared" si="15"/>
        <v>45261</v>
      </c>
      <c r="L146" s="24">
        <f t="shared" si="16"/>
        <v>266149629</v>
      </c>
    </row>
    <row r="147" spans="1:12" hidden="1">
      <c r="A147" s="200" t="s">
        <v>145</v>
      </c>
      <c r="B147" s="24">
        <v>266149629</v>
      </c>
      <c r="C147">
        <v>212</v>
      </c>
      <c r="D147" s="17"/>
      <c r="E147" s="1">
        <v>30</v>
      </c>
      <c r="F147" s="4">
        <f t="shared" si="14"/>
        <v>30</v>
      </c>
      <c r="G147" s="1">
        <f t="shared" si="15"/>
        <v>45261</v>
      </c>
      <c r="L147" s="24">
        <f t="shared" si="16"/>
        <v>266149629</v>
      </c>
    </row>
    <row r="148" spans="1:12" hidden="1">
      <c r="A148" s="200" t="s">
        <v>145</v>
      </c>
      <c r="B148" s="24">
        <v>266768605</v>
      </c>
      <c r="C148">
        <v>213</v>
      </c>
      <c r="D148" s="17"/>
      <c r="E148" s="1">
        <v>30</v>
      </c>
      <c r="F148" s="4">
        <f t="shared" si="14"/>
        <v>30</v>
      </c>
      <c r="G148" s="1">
        <f t="shared" si="15"/>
        <v>45261</v>
      </c>
      <c r="L148" s="24">
        <f t="shared" si="16"/>
        <v>266768605</v>
      </c>
    </row>
    <row r="149" spans="1:12" hidden="1">
      <c r="A149" s="200" t="s">
        <v>145</v>
      </c>
      <c r="B149" s="24">
        <v>266768605</v>
      </c>
      <c r="C149">
        <v>214</v>
      </c>
      <c r="D149" s="17"/>
      <c r="E149" s="1">
        <v>30</v>
      </c>
      <c r="F149" s="4">
        <f t="shared" si="14"/>
        <v>30</v>
      </c>
      <c r="G149" s="1">
        <f t="shared" si="15"/>
        <v>45261</v>
      </c>
      <c r="L149" s="24">
        <f t="shared" si="16"/>
        <v>266768605</v>
      </c>
    </row>
    <row r="150" spans="1:12" hidden="1">
      <c r="A150" s="200" t="s">
        <v>145</v>
      </c>
      <c r="B150" s="24">
        <v>61798941</v>
      </c>
      <c r="C150">
        <v>215</v>
      </c>
      <c r="D150" s="17"/>
      <c r="E150" s="1">
        <v>30</v>
      </c>
      <c r="F150" s="4">
        <f t="shared" si="14"/>
        <v>30</v>
      </c>
      <c r="G150" s="1">
        <f t="shared" si="15"/>
        <v>45261</v>
      </c>
      <c r="L150" s="24">
        <f t="shared" si="16"/>
        <v>61798941</v>
      </c>
    </row>
    <row r="151" spans="1:12" hidden="1">
      <c r="A151" s="200" t="s">
        <v>145</v>
      </c>
      <c r="B151" s="24">
        <v>14577555</v>
      </c>
      <c r="C151">
        <v>216</v>
      </c>
      <c r="D151" s="17"/>
      <c r="E151" s="1">
        <v>30</v>
      </c>
      <c r="F151" s="4">
        <f t="shared" si="14"/>
        <v>30</v>
      </c>
      <c r="G151" s="1">
        <f t="shared" si="15"/>
        <v>45261</v>
      </c>
      <c r="L151" s="24">
        <f t="shared" si="16"/>
        <v>14577555</v>
      </c>
    </row>
    <row r="152" spans="1:12" hidden="1">
      <c r="A152" s="200" t="s">
        <v>145</v>
      </c>
      <c r="B152" s="24">
        <v>285522653</v>
      </c>
      <c r="C152">
        <v>217</v>
      </c>
      <c r="D152" s="17"/>
      <c r="E152" s="1">
        <v>30</v>
      </c>
      <c r="F152" s="4">
        <f t="shared" si="14"/>
        <v>30</v>
      </c>
      <c r="G152" s="1">
        <f t="shared" si="15"/>
        <v>45261</v>
      </c>
      <c r="L152" s="24">
        <f t="shared" si="16"/>
        <v>285522653</v>
      </c>
    </row>
    <row r="153" spans="1:12" hidden="1">
      <c r="A153" s="200" t="s">
        <v>145</v>
      </c>
      <c r="B153" s="24">
        <v>285522653</v>
      </c>
      <c r="C153">
        <v>218</v>
      </c>
      <c r="D153" s="17"/>
      <c r="E153" s="1">
        <v>30</v>
      </c>
      <c r="F153" s="4">
        <f t="shared" si="14"/>
        <v>30</v>
      </c>
      <c r="G153" s="1">
        <f t="shared" si="15"/>
        <v>45261</v>
      </c>
      <c r="L153" s="24">
        <f t="shared" si="16"/>
        <v>285522653</v>
      </c>
    </row>
    <row r="154" spans="1:12" hidden="1">
      <c r="A154" s="200" t="s">
        <v>145</v>
      </c>
      <c r="B154" s="24">
        <v>285522653</v>
      </c>
      <c r="C154">
        <v>219</v>
      </c>
      <c r="D154" s="17"/>
      <c r="E154" s="1">
        <v>30</v>
      </c>
      <c r="F154" s="4">
        <f t="shared" ref="F154:F217" si="17">D154+E154</f>
        <v>30</v>
      </c>
      <c r="G154" s="1">
        <f t="shared" ref="G154:G217" si="18">$A$3-F154</f>
        <v>45261</v>
      </c>
      <c r="L154" s="24">
        <f t="shared" si="16"/>
        <v>285522653</v>
      </c>
    </row>
    <row r="155" spans="1:12" hidden="1">
      <c r="A155" s="200" t="s">
        <v>145</v>
      </c>
      <c r="B155" s="24">
        <v>285522653</v>
      </c>
      <c r="C155">
        <v>220</v>
      </c>
      <c r="D155" s="17"/>
      <c r="E155" s="1">
        <v>30</v>
      </c>
      <c r="F155" s="4">
        <f t="shared" si="17"/>
        <v>30</v>
      </c>
      <c r="G155" s="1">
        <f t="shared" si="18"/>
        <v>45261</v>
      </c>
      <c r="L155" s="24">
        <f t="shared" ref="L155:L170" si="19">B155</f>
        <v>285522653</v>
      </c>
    </row>
    <row r="156" spans="1:12" hidden="1">
      <c r="A156" s="200" t="s">
        <v>145</v>
      </c>
      <c r="B156" s="24">
        <v>285522653</v>
      </c>
      <c r="C156">
        <v>221</v>
      </c>
      <c r="D156" s="17"/>
      <c r="E156" s="1">
        <v>30</v>
      </c>
      <c r="F156" s="4">
        <f t="shared" si="17"/>
        <v>30</v>
      </c>
      <c r="G156" s="1">
        <f t="shared" si="18"/>
        <v>45261</v>
      </c>
      <c r="L156" s="24">
        <f t="shared" si="19"/>
        <v>285522653</v>
      </c>
    </row>
    <row r="157" spans="1:12" hidden="1">
      <c r="A157" s="200" t="s">
        <v>145</v>
      </c>
      <c r="B157" s="24">
        <v>152606241</v>
      </c>
      <c r="C157">
        <v>222</v>
      </c>
      <c r="D157" s="17"/>
      <c r="E157" s="1">
        <v>30</v>
      </c>
      <c r="F157" s="4">
        <f t="shared" si="17"/>
        <v>30</v>
      </c>
      <c r="G157" s="1">
        <f t="shared" si="18"/>
        <v>45261</v>
      </c>
      <c r="L157" s="24">
        <f t="shared" si="19"/>
        <v>152606241</v>
      </c>
    </row>
    <row r="158" spans="1:12" hidden="1">
      <c r="A158" s="200" t="s">
        <v>145</v>
      </c>
      <c r="B158" s="24">
        <v>224378118</v>
      </c>
      <c r="C158">
        <v>224</v>
      </c>
      <c r="D158" s="17"/>
      <c r="E158" s="1">
        <v>30</v>
      </c>
      <c r="F158" s="4">
        <f t="shared" si="17"/>
        <v>30</v>
      </c>
      <c r="G158" s="1">
        <f t="shared" si="18"/>
        <v>45261</v>
      </c>
      <c r="L158" s="24">
        <f t="shared" si="19"/>
        <v>224378118</v>
      </c>
    </row>
    <row r="159" spans="1:12" hidden="1">
      <c r="A159" s="200" t="s">
        <v>145</v>
      </c>
      <c r="B159" s="24">
        <v>268730172</v>
      </c>
      <c r="C159">
        <v>225</v>
      </c>
      <c r="D159" s="17"/>
      <c r="E159" s="1">
        <v>30</v>
      </c>
      <c r="F159" s="4">
        <f t="shared" si="17"/>
        <v>30</v>
      </c>
      <c r="G159" s="1">
        <f t="shared" si="18"/>
        <v>45261</v>
      </c>
      <c r="L159" s="24">
        <f t="shared" si="19"/>
        <v>268730172</v>
      </c>
    </row>
    <row r="160" spans="1:12" hidden="1">
      <c r="A160" s="200" t="s">
        <v>145</v>
      </c>
      <c r="B160" s="24">
        <v>268730172</v>
      </c>
      <c r="C160">
        <v>226</v>
      </c>
      <c r="D160" s="17"/>
      <c r="E160" s="1">
        <v>30</v>
      </c>
      <c r="F160" s="4">
        <f t="shared" si="17"/>
        <v>30</v>
      </c>
      <c r="G160" s="1">
        <f t="shared" si="18"/>
        <v>45261</v>
      </c>
      <c r="L160" s="24">
        <f t="shared" si="19"/>
        <v>268730172</v>
      </c>
    </row>
    <row r="161" spans="1:12" hidden="1">
      <c r="A161" s="200" t="s">
        <v>145</v>
      </c>
      <c r="B161" s="24">
        <v>268730172</v>
      </c>
      <c r="C161">
        <v>227</v>
      </c>
      <c r="D161" s="17"/>
      <c r="E161" s="1">
        <v>30</v>
      </c>
      <c r="F161" s="4">
        <f t="shared" si="17"/>
        <v>30</v>
      </c>
      <c r="G161" s="1">
        <f t="shared" si="18"/>
        <v>45261</v>
      </c>
      <c r="L161" s="24">
        <f t="shared" si="19"/>
        <v>268730172</v>
      </c>
    </row>
    <row r="162" spans="1:12" hidden="1">
      <c r="A162" s="200" t="s">
        <v>145</v>
      </c>
      <c r="B162" s="24">
        <v>268730172</v>
      </c>
      <c r="C162">
        <v>228</v>
      </c>
      <c r="D162" s="17"/>
      <c r="E162" s="1">
        <v>30</v>
      </c>
      <c r="F162" s="4">
        <f t="shared" si="17"/>
        <v>30</v>
      </c>
      <c r="G162" s="1">
        <f t="shared" si="18"/>
        <v>45261</v>
      </c>
      <c r="L162" s="24">
        <f t="shared" si="19"/>
        <v>268730172</v>
      </c>
    </row>
    <row r="163" spans="1:12" hidden="1">
      <c r="A163" s="200" t="s">
        <v>145</v>
      </c>
      <c r="B163" s="24">
        <v>272930388</v>
      </c>
      <c r="C163">
        <v>229</v>
      </c>
      <c r="D163" s="17"/>
      <c r="E163" s="1">
        <v>30</v>
      </c>
      <c r="F163" s="4">
        <f t="shared" si="17"/>
        <v>30</v>
      </c>
      <c r="G163" s="1">
        <f t="shared" si="18"/>
        <v>45261</v>
      </c>
      <c r="L163" s="24">
        <f t="shared" si="19"/>
        <v>272930388</v>
      </c>
    </row>
    <row r="164" spans="1:12" hidden="1">
      <c r="A164" s="200" t="s">
        <v>145</v>
      </c>
      <c r="B164" s="24">
        <v>272930388</v>
      </c>
      <c r="C164">
        <v>230</v>
      </c>
      <c r="D164" s="17"/>
      <c r="E164" s="1">
        <v>30</v>
      </c>
      <c r="F164" s="4">
        <f t="shared" si="17"/>
        <v>30</v>
      </c>
      <c r="G164" s="1">
        <f t="shared" si="18"/>
        <v>45261</v>
      </c>
      <c r="L164" s="24">
        <f t="shared" si="19"/>
        <v>272930388</v>
      </c>
    </row>
    <row r="165" spans="1:12" hidden="1">
      <c r="A165" s="200" t="s">
        <v>145</v>
      </c>
      <c r="B165" s="24">
        <v>282812193</v>
      </c>
      <c r="C165">
        <v>231</v>
      </c>
      <c r="D165" s="17"/>
      <c r="E165" s="1">
        <v>30</v>
      </c>
      <c r="F165" s="4">
        <f t="shared" si="17"/>
        <v>30</v>
      </c>
      <c r="G165" s="1">
        <f t="shared" si="18"/>
        <v>45261</v>
      </c>
      <c r="L165" s="24">
        <f t="shared" si="19"/>
        <v>282812193</v>
      </c>
    </row>
    <row r="166" spans="1:12" hidden="1">
      <c r="A166" s="200" t="s">
        <v>145</v>
      </c>
      <c r="B166" s="24">
        <v>282812193</v>
      </c>
      <c r="C166">
        <v>232</v>
      </c>
      <c r="D166" s="17"/>
      <c r="E166" s="1">
        <v>30</v>
      </c>
      <c r="F166" s="4">
        <f t="shared" si="17"/>
        <v>30</v>
      </c>
      <c r="G166" s="1">
        <f t="shared" si="18"/>
        <v>45261</v>
      </c>
      <c r="L166" s="24">
        <f t="shared" si="19"/>
        <v>282812193</v>
      </c>
    </row>
    <row r="167" spans="1:12" hidden="1">
      <c r="A167" s="200" t="s">
        <v>145</v>
      </c>
      <c r="B167" s="24">
        <v>282812193</v>
      </c>
      <c r="C167">
        <v>233</v>
      </c>
      <c r="D167" s="17"/>
      <c r="E167" s="1">
        <v>30</v>
      </c>
      <c r="F167" s="4">
        <f t="shared" si="17"/>
        <v>30</v>
      </c>
      <c r="G167" s="1">
        <f t="shared" si="18"/>
        <v>45261</v>
      </c>
      <c r="L167" s="24">
        <f t="shared" si="19"/>
        <v>282812193</v>
      </c>
    </row>
    <row r="168" spans="1:12" hidden="1">
      <c r="A168" s="200" t="s">
        <v>145</v>
      </c>
      <c r="B168" s="24">
        <v>282812193</v>
      </c>
      <c r="C168">
        <v>234</v>
      </c>
      <c r="D168" s="17"/>
      <c r="E168" s="1">
        <v>30</v>
      </c>
      <c r="F168" s="4">
        <f t="shared" si="17"/>
        <v>30</v>
      </c>
      <c r="G168" s="1">
        <f t="shared" si="18"/>
        <v>45261</v>
      </c>
      <c r="L168" s="24">
        <f t="shared" si="19"/>
        <v>282812193</v>
      </c>
    </row>
    <row r="169" spans="1:12" hidden="1">
      <c r="A169" s="200" t="s">
        <v>145</v>
      </c>
      <c r="B169" s="24">
        <v>282812193</v>
      </c>
      <c r="C169">
        <v>235</v>
      </c>
      <c r="D169" s="17"/>
      <c r="E169" s="1">
        <v>30</v>
      </c>
      <c r="F169" s="4">
        <f t="shared" si="17"/>
        <v>30</v>
      </c>
      <c r="G169" s="1">
        <f t="shared" si="18"/>
        <v>45261</v>
      </c>
      <c r="L169" s="24">
        <f t="shared" si="19"/>
        <v>282812193</v>
      </c>
    </row>
    <row r="170" spans="1:12" hidden="1">
      <c r="A170" s="200" t="s">
        <v>145</v>
      </c>
      <c r="B170" s="24">
        <v>282812193</v>
      </c>
      <c r="C170">
        <v>236</v>
      </c>
      <c r="D170" s="17"/>
      <c r="E170" s="1">
        <v>30</v>
      </c>
      <c r="F170" s="4">
        <f t="shared" si="17"/>
        <v>30</v>
      </c>
      <c r="G170" s="1">
        <f t="shared" si="18"/>
        <v>45261</v>
      </c>
      <c r="L170" s="24">
        <f t="shared" si="19"/>
        <v>282812193</v>
      </c>
    </row>
    <row r="171" spans="1:12" hidden="1">
      <c r="A171" s="200" t="s">
        <v>145</v>
      </c>
      <c r="B171" s="24">
        <v>64463126</v>
      </c>
      <c r="C171">
        <v>237</v>
      </c>
      <c r="D171" s="17"/>
      <c r="E171" s="1">
        <v>30</v>
      </c>
      <c r="F171" s="4">
        <f t="shared" si="17"/>
        <v>30</v>
      </c>
      <c r="G171" s="1">
        <f t="shared" si="18"/>
        <v>45261</v>
      </c>
      <c r="K171" s="24">
        <f>B171</f>
        <v>64463126</v>
      </c>
    </row>
    <row r="172" spans="1:12" hidden="1">
      <c r="A172" s="200" t="s">
        <v>145</v>
      </c>
      <c r="B172" s="24">
        <v>9218075</v>
      </c>
      <c r="C172">
        <v>238</v>
      </c>
      <c r="D172" s="17"/>
      <c r="E172" s="1">
        <v>30</v>
      </c>
      <c r="F172" s="4">
        <f t="shared" si="17"/>
        <v>30</v>
      </c>
      <c r="G172" s="1">
        <f t="shared" si="18"/>
        <v>45261</v>
      </c>
      <c r="K172" s="24">
        <f t="shared" ref="K172:K188" si="20">B172</f>
        <v>9218075</v>
      </c>
    </row>
    <row r="173" spans="1:12" hidden="1">
      <c r="A173" s="200" t="s">
        <v>145</v>
      </c>
      <c r="B173" s="24">
        <v>288167142</v>
      </c>
      <c r="C173">
        <v>240</v>
      </c>
      <c r="D173" s="17"/>
      <c r="E173" s="1">
        <v>30</v>
      </c>
      <c r="F173" s="4">
        <f t="shared" si="17"/>
        <v>30</v>
      </c>
      <c r="G173" s="1">
        <f t="shared" si="18"/>
        <v>45261</v>
      </c>
      <c r="K173" s="24">
        <f t="shared" si="20"/>
        <v>288167142</v>
      </c>
    </row>
    <row r="174" spans="1:12" hidden="1">
      <c r="A174" s="200" t="s">
        <v>145</v>
      </c>
      <c r="B174" s="24">
        <v>288167142</v>
      </c>
      <c r="C174">
        <v>241</v>
      </c>
      <c r="D174" s="17"/>
      <c r="E174" s="1">
        <v>30</v>
      </c>
      <c r="F174" s="4">
        <f t="shared" si="17"/>
        <v>30</v>
      </c>
      <c r="G174" s="1">
        <f t="shared" si="18"/>
        <v>45261</v>
      </c>
      <c r="K174" s="24">
        <f t="shared" si="20"/>
        <v>288167142</v>
      </c>
    </row>
    <row r="175" spans="1:12" hidden="1">
      <c r="A175" s="200" t="s">
        <v>145</v>
      </c>
      <c r="B175" s="24">
        <v>288167142</v>
      </c>
      <c r="C175">
        <v>242</v>
      </c>
      <c r="D175" s="17"/>
      <c r="E175" s="1">
        <v>30</v>
      </c>
      <c r="F175" s="4">
        <f t="shared" si="17"/>
        <v>30</v>
      </c>
      <c r="G175" s="1">
        <f t="shared" si="18"/>
        <v>45261</v>
      </c>
      <c r="K175" s="24">
        <f t="shared" si="20"/>
        <v>288167142</v>
      </c>
    </row>
    <row r="176" spans="1:12" hidden="1">
      <c r="A176" s="200" t="s">
        <v>145</v>
      </c>
      <c r="B176" s="24">
        <v>288167142</v>
      </c>
      <c r="C176">
        <v>243</v>
      </c>
      <c r="D176" s="17"/>
      <c r="E176" s="1">
        <v>30</v>
      </c>
      <c r="F176" s="4">
        <f t="shared" si="17"/>
        <v>30</v>
      </c>
      <c r="G176" s="1">
        <f t="shared" si="18"/>
        <v>45261</v>
      </c>
      <c r="K176" s="24">
        <f t="shared" si="20"/>
        <v>288167142</v>
      </c>
    </row>
    <row r="177" spans="1:11" hidden="1">
      <c r="A177" s="200" t="s">
        <v>145</v>
      </c>
      <c r="B177" s="24">
        <v>100725891</v>
      </c>
      <c r="C177">
        <v>244</v>
      </c>
      <c r="D177" s="17"/>
      <c r="E177" s="1">
        <v>30</v>
      </c>
      <c r="F177" s="4">
        <f t="shared" si="17"/>
        <v>30</v>
      </c>
      <c r="G177" s="1">
        <f t="shared" si="18"/>
        <v>45261</v>
      </c>
      <c r="K177" s="24">
        <f t="shared" si="20"/>
        <v>100725891</v>
      </c>
    </row>
    <row r="178" spans="1:11" hidden="1">
      <c r="A178" s="200" t="s">
        <v>145</v>
      </c>
      <c r="B178" s="24">
        <v>222343420</v>
      </c>
      <c r="C178">
        <v>245</v>
      </c>
      <c r="D178" s="17"/>
      <c r="E178" s="1">
        <v>30</v>
      </c>
      <c r="F178" s="4">
        <f t="shared" si="17"/>
        <v>30</v>
      </c>
      <c r="G178" s="1">
        <f t="shared" si="18"/>
        <v>45261</v>
      </c>
      <c r="K178" s="24">
        <f t="shared" si="20"/>
        <v>222343420</v>
      </c>
    </row>
    <row r="179" spans="1:11" hidden="1">
      <c r="A179" s="200" t="s">
        <v>145</v>
      </c>
      <c r="B179" s="24">
        <v>222343420</v>
      </c>
      <c r="C179">
        <v>246</v>
      </c>
      <c r="D179" s="17"/>
      <c r="E179" s="1">
        <v>30</v>
      </c>
      <c r="F179" s="4">
        <f t="shared" si="17"/>
        <v>30</v>
      </c>
      <c r="G179" s="1">
        <f t="shared" si="18"/>
        <v>45261</v>
      </c>
      <c r="K179" s="24">
        <f t="shared" si="20"/>
        <v>222343420</v>
      </c>
    </row>
    <row r="180" spans="1:11" hidden="1">
      <c r="A180" s="200" t="s">
        <v>145</v>
      </c>
      <c r="B180" s="24">
        <v>150124190</v>
      </c>
      <c r="C180">
        <v>247</v>
      </c>
      <c r="D180" s="17"/>
      <c r="E180" s="1">
        <v>30</v>
      </c>
      <c r="F180" s="4">
        <f t="shared" si="17"/>
        <v>30</v>
      </c>
      <c r="G180" s="1">
        <f t="shared" si="18"/>
        <v>45261</v>
      </c>
      <c r="K180" s="24">
        <f t="shared" si="20"/>
        <v>150124190</v>
      </c>
    </row>
    <row r="181" spans="1:11" hidden="1">
      <c r="A181" s="200" t="s">
        <v>145</v>
      </c>
      <c r="B181" s="24">
        <v>9565269</v>
      </c>
      <c r="C181">
        <v>248</v>
      </c>
      <c r="D181" s="17"/>
      <c r="E181" s="1">
        <v>30</v>
      </c>
      <c r="F181" s="4">
        <f t="shared" si="17"/>
        <v>30</v>
      </c>
      <c r="G181" s="1">
        <f t="shared" si="18"/>
        <v>45261</v>
      </c>
      <c r="K181" s="24">
        <f t="shared" si="20"/>
        <v>9565269</v>
      </c>
    </row>
    <row r="182" spans="1:11" hidden="1">
      <c r="A182" s="200" t="s">
        <v>145</v>
      </c>
      <c r="B182" s="24">
        <v>210748110</v>
      </c>
      <c r="C182">
        <v>249</v>
      </c>
      <c r="D182" s="17"/>
      <c r="E182" s="1">
        <v>30</v>
      </c>
      <c r="F182" s="4">
        <f t="shared" si="17"/>
        <v>30</v>
      </c>
      <c r="G182" s="1">
        <f t="shared" si="18"/>
        <v>45261</v>
      </c>
      <c r="K182" s="24">
        <f t="shared" si="20"/>
        <v>210748110</v>
      </c>
    </row>
    <row r="183" spans="1:11" hidden="1">
      <c r="A183" s="200" t="s">
        <v>145</v>
      </c>
      <c r="B183" s="24">
        <v>190414751</v>
      </c>
      <c r="C183">
        <v>251</v>
      </c>
      <c r="D183" s="17"/>
      <c r="E183" s="1">
        <v>30</v>
      </c>
      <c r="F183" s="4">
        <f t="shared" si="17"/>
        <v>30</v>
      </c>
      <c r="G183" s="1">
        <f t="shared" si="18"/>
        <v>45261</v>
      </c>
      <c r="K183" s="24">
        <f t="shared" si="20"/>
        <v>190414751</v>
      </c>
    </row>
    <row r="184" spans="1:11" hidden="1">
      <c r="A184" s="200" t="s">
        <v>145</v>
      </c>
      <c r="B184" s="24">
        <v>190414751</v>
      </c>
      <c r="C184">
        <v>252</v>
      </c>
      <c r="D184" s="17"/>
      <c r="E184" s="1">
        <v>30</v>
      </c>
      <c r="F184" s="4">
        <f t="shared" si="17"/>
        <v>30</v>
      </c>
      <c r="G184" s="1">
        <f t="shared" si="18"/>
        <v>45261</v>
      </c>
      <c r="K184" s="24">
        <f t="shared" si="20"/>
        <v>190414751</v>
      </c>
    </row>
    <row r="185" spans="1:11" hidden="1">
      <c r="A185" s="200" t="s">
        <v>145</v>
      </c>
      <c r="B185" s="24">
        <v>183643642</v>
      </c>
      <c r="C185">
        <v>253</v>
      </c>
      <c r="D185" s="17"/>
      <c r="E185" s="1">
        <v>30</v>
      </c>
      <c r="F185" s="4">
        <f t="shared" si="17"/>
        <v>30</v>
      </c>
      <c r="G185" s="1">
        <f t="shared" si="18"/>
        <v>45261</v>
      </c>
      <c r="K185" s="24">
        <f t="shared" si="20"/>
        <v>183643642</v>
      </c>
    </row>
    <row r="186" spans="1:11" hidden="1">
      <c r="A186" s="200" t="s">
        <v>145</v>
      </c>
      <c r="B186" s="24">
        <v>183643642</v>
      </c>
      <c r="C186">
        <v>254</v>
      </c>
      <c r="D186" s="17"/>
      <c r="E186" s="1">
        <v>30</v>
      </c>
      <c r="F186" s="4">
        <f t="shared" si="17"/>
        <v>30</v>
      </c>
      <c r="G186" s="1">
        <f t="shared" si="18"/>
        <v>45261</v>
      </c>
      <c r="K186" s="24">
        <f t="shared" si="20"/>
        <v>183643642</v>
      </c>
    </row>
    <row r="187" spans="1:11" hidden="1">
      <c r="A187" s="200" t="s">
        <v>145</v>
      </c>
      <c r="B187" s="24">
        <v>212851209</v>
      </c>
      <c r="C187">
        <v>255</v>
      </c>
      <c r="D187" s="17"/>
      <c r="E187" s="1">
        <v>30</v>
      </c>
      <c r="F187" s="4">
        <f t="shared" si="17"/>
        <v>30</v>
      </c>
      <c r="G187" s="1">
        <f t="shared" si="18"/>
        <v>45261</v>
      </c>
      <c r="K187" s="24">
        <f t="shared" si="20"/>
        <v>212851209</v>
      </c>
    </row>
    <row r="188" spans="1:11" hidden="1">
      <c r="A188" s="200" t="s">
        <v>145</v>
      </c>
      <c r="B188" s="24">
        <v>212851209</v>
      </c>
      <c r="C188">
        <v>256</v>
      </c>
      <c r="D188" s="17"/>
      <c r="E188" s="1">
        <v>30</v>
      </c>
      <c r="F188" s="4">
        <f t="shared" si="17"/>
        <v>30</v>
      </c>
      <c r="G188" s="1">
        <f t="shared" si="18"/>
        <v>45261</v>
      </c>
      <c r="K188" s="24">
        <f t="shared" si="20"/>
        <v>212851209</v>
      </c>
    </row>
    <row r="189" spans="1:11" hidden="1">
      <c r="A189" s="200" t="s">
        <v>145</v>
      </c>
      <c r="B189" s="24">
        <v>115518</v>
      </c>
      <c r="C189">
        <v>257</v>
      </c>
      <c r="D189" s="17"/>
      <c r="E189" s="1">
        <v>30</v>
      </c>
      <c r="F189" s="4">
        <f t="shared" si="17"/>
        <v>30</v>
      </c>
      <c r="G189" s="1">
        <f t="shared" si="18"/>
        <v>45261</v>
      </c>
      <c r="J189" s="24">
        <f>B189</f>
        <v>115518</v>
      </c>
    </row>
    <row r="190" spans="1:11" hidden="1">
      <c r="A190" s="200" t="s">
        <v>145</v>
      </c>
      <c r="B190" s="24">
        <v>194394743</v>
      </c>
      <c r="C190">
        <v>258</v>
      </c>
      <c r="D190" s="17"/>
      <c r="E190" s="1">
        <v>30</v>
      </c>
      <c r="F190" s="4">
        <f t="shared" si="17"/>
        <v>30</v>
      </c>
      <c r="G190" s="1">
        <f t="shared" si="18"/>
        <v>45261</v>
      </c>
      <c r="J190" s="24">
        <f t="shared" ref="J190:J214" si="21">B190</f>
        <v>194394743</v>
      </c>
    </row>
    <row r="191" spans="1:11" hidden="1">
      <c r="A191" s="200" t="s">
        <v>145</v>
      </c>
      <c r="B191" s="24">
        <v>194394743</v>
      </c>
      <c r="C191">
        <v>259</v>
      </c>
      <c r="D191" s="17"/>
      <c r="E191" s="1">
        <v>30</v>
      </c>
      <c r="F191" s="4">
        <f t="shared" si="17"/>
        <v>30</v>
      </c>
      <c r="G191" s="1">
        <f t="shared" si="18"/>
        <v>45261</v>
      </c>
      <c r="J191" s="24">
        <f t="shared" si="21"/>
        <v>194394743</v>
      </c>
    </row>
    <row r="192" spans="1:11" hidden="1">
      <c r="A192" s="200" t="s">
        <v>145</v>
      </c>
      <c r="B192" s="24">
        <v>186618553</v>
      </c>
      <c r="C192">
        <v>260</v>
      </c>
      <c r="D192" s="17"/>
      <c r="E192" s="1">
        <v>30</v>
      </c>
      <c r="F192" s="4">
        <f t="shared" si="17"/>
        <v>30</v>
      </c>
      <c r="G192" s="1">
        <f t="shared" si="18"/>
        <v>45261</v>
      </c>
      <c r="J192" s="24">
        <f t="shared" si="21"/>
        <v>186618553</v>
      </c>
    </row>
    <row r="193" spans="1:10" hidden="1">
      <c r="A193" s="200" t="s">
        <v>145</v>
      </c>
      <c r="B193" s="24">
        <v>289017114</v>
      </c>
      <c r="C193">
        <v>261</v>
      </c>
      <c r="D193" s="17"/>
      <c r="E193" s="1">
        <v>30</v>
      </c>
      <c r="F193" s="4">
        <f t="shared" si="17"/>
        <v>30</v>
      </c>
      <c r="G193" s="1">
        <f t="shared" si="18"/>
        <v>45261</v>
      </c>
      <c r="J193" s="24">
        <f t="shared" si="21"/>
        <v>289017114</v>
      </c>
    </row>
    <row r="194" spans="1:10" hidden="1">
      <c r="A194" s="200" t="s">
        <v>145</v>
      </c>
      <c r="B194" s="24">
        <v>289017114</v>
      </c>
      <c r="C194">
        <v>262</v>
      </c>
      <c r="D194" s="17"/>
      <c r="E194" s="1">
        <v>30</v>
      </c>
      <c r="F194" s="4">
        <f t="shared" si="17"/>
        <v>30</v>
      </c>
      <c r="G194" s="1">
        <f t="shared" si="18"/>
        <v>45261</v>
      </c>
      <c r="J194" s="24">
        <f t="shared" si="21"/>
        <v>289017114</v>
      </c>
    </row>
    <row r="195" spans="1:10" hidden="1">
      <c r="A195" s="200" t="s">
        <v>145</v>
      </c>
      <c r="B195" s="24">
        <v>289017114</v>
      </c>
      <c r="C195">
        <v>263</v>
      </c>
      <c r="D195" s="17"/>
      <c r="E195" s="1">
        <v>30</v>
      </c>
      <c r="F195" s="4">
        <f t="shared" si="17"/>
        <v>30</v>
      </c>
      <c r="G195" s="1">
        <f t="shared" si="18"/>
        <v>45261</v>
      </c>
      <c r="J195" s="24">
        <f t="shared" si="21"/>
        <v>289017114</v>
      </c>
    </row>
    <row r="196" spans="1:10" hidden="1">
      <c r="A196" s="200" t="s">
        <v>145</v>
      </c>
      <c r="B196" s="24">
        <v>289017114</v>
      </c>
      <c r="C196">
        <v>264</v>
      </c>
      <c r="D196" s="17"/>
      <c r="E196" s="1">
        <v>30</v>
      </c>
      <c r="F196" s="4">
        <f t="shared" si="17"/>
        <v>30</v>
      </c>
      <c r="G196" s="1">
        <f t="shared" si="18"/>
        <v>45261</v>
      </c>
      <c r="J196" s="24">
        <f t="shared" si="21"/>
        <v>289017114</v>
      </c>
    </row>
    <row r="197" spans="1:10" hidden="1">
      <c r="A197" s="200" t="s">
        <v>145</v>
      </c>
      <c r="B197" s="24">
        <v>289017114</v>
      </c>
      <c r="C197">
        <v>265</v>
      </c>
      <c r="D197" s="17"/>
      <c r="E197" s="1">
        <v>30</v>
      </c>
      <c r="F197" s="4">
        <f t="shared" si="17"/>
        <v>30</v>
      </c>
      <c r="G197" s="1">
        <f t="shared" si="18"/>
        <v>45261</v>
      </c>
      <c r="J197" s="24">
        <f t="shared" si="21"/>
        <v>289017114</v>
      </c>
    </row>
    <row r="198" spans="1:10" hidden="1">
      <c r="A198" s="200" t="s">
        <v>145</v>
      </c>
      <c r="B198" s="24">
        <v>286360190</v>
      </c>
      <c r="C198">
        <v>267</v>
      </c>
      <c r="D198" s="17"/>
      <c r="E198" s="1">
        <v>30</v>
      </c>
      <c r="F198" s="4">
        <f t="shared" si="17"/>
        <v>30</v>
      </c>
      <c r="G198" s="1">
        <f t="shared" si="18"/>
        <v>45261</v>
      </c>
      <c r="J198" s="24">
        <f t="shared" si="21"/>
        <v>286360190</v>
      </c>
    </row>
    <row r="199" spans="1:10" hidden="1">
      <c r="A199" s="200" t="s">
        <v>145</v>
      </c>
      <c r="B199" s="24">
        <v>35538296</v>
      </c>
      <c r="C199">
        <v>268</v>
      </c>
      <c r="D199" s="17"/>
      <c r="E199" s="1">
        <v>30</v>
      </c>
      <c r="F199" s="4">
        <f t="shared" si="17"/>
        <v>30</v>
      </c>
      <c r="G199" s="1">
        <f t="shared" si="18"/>
        <v>45261</v>
      </c>
      <c r="J199" s="24">
        <f t="shared" si="21"/>
        <v>35538296</v>
      </c>
    </row>
    <row r="200" spans="1:10" hidden="1">
      <c r="A200" s="200" t="s">
        <v>145</v>
      </c>
      <c r="B200" s="24">
        <v>296637080</v>
      </c>
      <c r="C200">
        <v>269</v>
      </c>
      <c r="D200" s="17"/>
      <c r="E200" s="1">
        <v>30</v>
      </c>
      <c r="F200" s="4">
        <f t="shared" si="17"/>
        <v>30</v>
      </c>
      <c r="G200" s="1">
        <f t="shared" si="18"/>
        <v>45261</v>
      </c>
      <c r="J200" s="24">
        <f t="shared" si="21"/>
        <v>296637080</v>
      </c>
    </row>
    <row r="201" spans="1:10" hidden="1">
      <c r="A201" s="200" t="s">
        <v>145</v>
      </c>
      <c r="B201" s="24">
        <v>293683457</v>
      </c>
      <c r="C201">
        <v>270</v>
      </c>
      <c r="D201" s="17"/>
      <c r="E201" s="1">
        <v>30</v>
      </c>
      <c r="F201" s="4">
        <f t="shared" si="17"/>
        <v>30</v>
      </c>
      <c r="G201" s="1">
        <f t="shared" si="18"/>
        <v>45261</v>
      </c>
      <c r="J201" s="24">
        <f t="shared" si="21"/>
        <v>293683457</v>
      </c>
    </row>
    <row r="202" spans="1:10" hidden="1">
      <c r="A202" s="200" t="s">
        <v>145</v>
      </c>
      <c r="B202" s="24">
        <v>278986579</v>
      </c>
      <c r="C202">
        <v>271</v>
      </c>
      <c r="D202" s="17"/>
      <c r="E202" s="1">
        <v>30</v>
      </c>
      <c r="F202" s="4">
        <f t="shared" si="17"/>
        <v>30</v>
      </c>
      <c r="G202" s="1">
        <f t="shared" si="18"/>
        <v>45261</v>
      </c>
      <c r="J202" s="24">
        <f t="shared" si="21"/>
        <v>278986579</v>
      </c>
    </row>
    <row r="203" spans="1:10" hidden="1">
      <c r="A203" s="200" t="s">
        <v>145</v>
      </c>
      <c r="B203" s="24">
        <v>278986579</v>
      </c>
      <c r="C203">
        <v>272</v>
      </c>
      <c r="D203" s="17"/>
      <c r="E203" s="1">
        <v>30</v>
      </c>
      <c r="F203" s="4">
        <f t="shared" si="17"/>
        <v>30</v>
      </c>
      <c r="G203" s="1">
        <f t="shared" si="18"/>
        <v>45261</v>
      </c>
      <c r="J203" s="24">
        <f t="shared" si="21"/>
        <v>278986579</v>
      </c>
    </row>
    <row r="204" spans="1:10" hidden="1">
      <c r="A204" s="200" t="s">
        <v>145</v>
      </c>
      <c r="B204" s="24">
        <v>278986579</v>
      </c>
      <c r="C204">
        <v>273</v>
      </c>
      <c r="D204" s="17"/>
      <c r="E204" s="1">
        <v>30</v>
      </c>
      <c r="F204" s="4">
        <f t="shared" si="17"/>
        <v>30</v>
      </c>
      <c r="G204" s="1">
        <f t="shared" si="18"/>
        <v>45261</v>
      </c>
      <c r="J204" s="24">
        <f t="shared" si="21"/>
        <v>278986579</v>
      </c>
    </row>
    <row r="205" spans="1:10" hidden="1">
      <c r="A205" s="200" t="s">
        <v>145</v>
      </c>
      <c r="B205" s="24">
        <v>278986579</v>
      </c>
      <c r="C205">
        <v>274</v>
      </c>
      <c r="D205" s="17"/>
      <c r="E205" s="1">
        <v>30</v>
      </c>
      <c r="F205" s="4">
        <f t="shared" si="17"/>
        <v>30</v>
      </c>
      <c r="G205" s="1">
        <f t="shared" si="18"/>
        <v>45261</v>
      </c>
      <c r="J205" s="24">
        <f t="shared" si="21"/>
        <v>278986579</v>
      </c>
    </row>
    <row r="206" spans="1:10" hidden="1">
      <c r="A206" s="200" t="s">
        <v>145</v>
      </c>
      <c r="B206" s="24">
        <v>294501221</v>
      </c>
      <c r="C206">
        <v>275</v>
      </c>
      <c r="D206" s="17"/>
      <c r="E206" s="1">
        <v>30</v>
      </c>
      <c r="F206" s="4">
        <f t="shared" si="17"/>
        <v>30</v>
      </c>
      <c r="G206" s="1">
        <f t="shared" si="18"/>
        <v>45261</v>
      </c>
      <c r="J206" s="24">
        <f t="shared" si="21"/>
        <v>294501221</v>
      </c>
    </row>
    <row r="207" spans="1:10" hidden="1">
      <c r="A207" s="200" t="s">
        <v>145</v>
      </c>
      <c r="B207" s="24">
        <v>272149994</v>
      </c>
      <c r="C207">
        <v>276</v>
      </c>
      <c r="D207" s="17"/>
      <c r="E207" s="1">
        <v>30</v>
      </c>
      <c r="F207" s="4">
        <f t="shared" si="17"/>
        <v>30</v>
      </c>
      <c r="G207" s="1">
        <f t="shared" si="18"/>
        <v>45261</v>
      </c>
      <c r="J207" s="24">
        <f t="shared" si="21"/>
        <v>272149994</v>
      </c>
    </row>
    <row r="208" spans="1:10" hidden="1">
      <c r="A208" s="200" t="s">
        <v>145</v>
      </c>
      <c r="B208" s="24">
        <v>272149994</v>
      </c>
      <c r="C208">
        <v>277</v>
      </c>
      <c r="D208" s="17"/>
      <c r="E208" s="1">
        <v>30</v>
      </c>
      <c r="F208" s="4">
        <f t="shared" si="17"/>
        <v>30</v>
      </c>
      <c r="G208" s="1">
        <f t="shared" si="18"/>
        <v>45261</v>
      </c>
      <c r="J208" s="24">
        <f t="shared" si="21"/>
        <v>272149994</v>
      </c>
    </row>
    <row r="209" spans="1:12" hidden="1">
      <c r="A209" s="200" t="s">
        <v>145</v>
      </c>
      <c r="B209" s="24">
        <v>272149994</v>
      </c>
      <c r="C209">
        <v>278</v>
      </c>
      <c r="D209" s="17"/>
      <c r="E209" s="1">
        <v>30</v>
      </c>
      <c r="F209" s="4">
        <f t="shared" si="17"/>
        <v>30</v>
      </c>
      <c r="G209" s="1">
        <f t="shared" si="18"/>
        <v>45261</v>
      </c>
      <c r="J209" s="24">
        <f t="shared" si="21"/>
        <v>272149994</v>
      </c>
    </row>
    <row r="210" spans="1:12" hidden="1">
      <c r="A210" s="200" t="s">
        <v>145</v>
      </c>
      <c r="B210" s="24">
        <v>287106362</v>
      </c>
      <c r="C210">
        <v>279</v>
      </c>
      <c r="D210" s="17"/>
      <c r="E210" s="1">
        <v>30</v>
      </c>
      <c r="F210" s="4">
        <f t="shared" si="17"/>
        <v>30</v>
      </c>
      <c r="G210" s="1">
        <f t="shared" si="18"/>
        <v>45261</v>
      </c>
      <c r="J210" s="24">
        <f t="shared" si="21"/>
        <v>287106362</v>
      </c>
    </row>
    <row r="211" spans="1:12" hidden="1">
      <c r="A211" s="200" t="s">
        <v>145</v>
      </c>
      <c r="B211" s="24">
        <v>16160</v>
      </c>
      <c r="C211">
        <v>280</v>
      </c>
      <c r="D211" s="17"/>
      <c r="E211" s="1">
        <v>30</v>
      </c>
      <c r="F211" s="4">
        <f t="shared" si="17"/>
        <v>30</v>
      </c>
      <c r="G211" s="1">
        <f t="shared" si="18"/>
        <v>45261</v>
      </c>
      <c r="J211" s="24">
        <f t="shared" si="21"/>
        <v>16160</v>
      </c>
    </row>
    <row r="212" spans="1:12" hidden="1">
      <c r="A212" s="200" t="s">
        <v>145</v>
      </c>
      <c r="B212" s="24">
        <v>125999820</v>
      </c>
      <c r="C212">
        <v>281</v>
      </c>
      <c r="D212" s="17"/>
      <c r="E212" s="1">
        <v>30</v>
      </c>
      <c r="F212" s="4">
        <f t="shared" si="17"/>
        <v>30</v>
      </c>
      <c r="G212" s="1">
        <f t="shared" si="18"/>
        <v>45261</v>
      </c>
      <c r="J212" s="24">
        <f t="shared" si="21"/>
        <v>125999820</v>
      </c>
    </row>
    <row r="213" spans="1:12" hidden="1">
      <c r="A213" s="200" t="s">
        <v>145</v>
      </c>
      <c r="B213" s="24">
        <v>16160</v>
      </c>
      <c r="C213">
        <v>282</v>
      </c>
      <c r="D213" s="17"/>
      <c r="E213" s="1">
        <v>30</v>
      </c>
      <c r="F213" s="4">
        <f t="shared" si="17"/>
        <v>30</v>
      </c>
      <c r="G213" s="1">
        <f t="shared" si="18"/>
        <v>45261</v>
      </c>
      <c r="J213" s="24">
        <f t="shared" si="21"/>
        <v>16160</v>
      </c>
    </row>
    <row r="214" spans="1:12" hidden="1">
      <c r="A214" s="200" t="s">
        <v>145</v>
      </c>
      <c r="B214" s="24">
        <v>250568827</v>
      </c>
      <c r="C214">
        <v>283</v>
      </c>
      <c r="D214" s="17"/>
      <c r="E214" s="1">
        <v>30</v>
      </c>
      <c r="F214" s="4">
        <f t="shared" si="17"/>
        <v>30</v>
      </c>
      <c r="G214" s="1">
        <f t="shared" si="18"/>
        <v>45261</v>
      </c>
      <c r="J214" s="24">
        <f t="shared" si="21"/>
        <v>250568827</v>
      </c>
    </row>
    <row r="215" spans="1:12" hidden="1">
      <c r="A215" s="200" t="s">
        <v>145</v>
      </c>
      <c r="B215" s="24">
        <v>259107787</v>
      </c>
      <c r="C215">
        <v>285</v>
      </c>
      <c r="D215" s="17"/>
      <c r="E215" s="1">
        <v>30</v>
      </c>
      <c r="F215" s="4">
        <f t="shared" si="17"/>
        <v>30</v>
      </c>
      <c r="G215" s="1">
        <f t="shared" si="18"/>
        <v>45261</v>
      </c>
      <c r="I215" s="24">
        <f>B215</f>
        <v>259107787</v>
      </c>
    </row>
    <row r="216" spans="1:12" hidden="1">
      <c r="A216" s="200" t="s">
        <v>145</v>
      </c>
      <c r="B216" s="24">
        <v>238045604</v>
      </c>
      <c r="C216">
        <v>286</v>
      </c>
      <c r="D216" s="17"/>
      <c r="E216" s="1">
        <v>30</v>
      </c>
      <c r="F216" s="4">
        <f t="shared" si="17"/>
        <v>30</v>
      </c>
      <c r="G216" s="1">
        <f t="shared" si="18"/>
        <v>45261</v>
      </c>
      <c r="I216" s="24">
        <f t="shared" ref="I216:I219" si="22">B216</f>
        <v>238045604</v>
      </c>
    </row>
    <row r="217" spans="1:12" hidden="1">
      <c r="A217" s="200" t="s">
        <v>145</v>
      </c>
      <c r="B217" s="24">
        <v>138947214</v>
      </c>
      <c r="C217">
        <v>287</v>
      </c>
      <c r="D217" s="17"/>
      <c r="E217" s="1">
        <v>30</v>
      </c>
      <c r="F217" s="4">
        <f t="shared" si="17"/>
        <v>30</v>
      </c>
      <c r="G217" s="1">
        <f t="shared" si="18"/>
        <v>45261</v>
      </c>
      <c r="I217" s="24">
        <f t="shared" si="22"/>
        <v>138947214</v>
      </c>
    </row>
    <row r="218" spans="1:12" hidden="1">
      <c r="A218" s="200" t="s">
        <v>145</v>
      </c>
      <c r="B218" s="24">
        <v>20588810</v>
      </c>
      <c r="C218">
        <v>288</v>
      </c>
      <c r="D218" s="17"/>
      <c r="E218" s="1">
        <v>30</v>
      </c>
      <c r="F218" s="4">
        <f t="shared" ref="F218:F224" si="23">D218+E218</f>
        <v>30</v>
      </c>
      <c r="G218" s="1">
        <f t="shared" ref="G218:G224" si="24">$A$3-F218</f>
        <v>45261</v>
      </c>
      <c r="I218" s="24">
        <f t="shared" si="22"/>
        <v>20588810</v>
      </c>
    </row>
    <row r="219" spans="1:12" hidden="1">
      <c r="A219" s="200" t="s">
        <v>145</v>
      </c>
      <c r="B219" s="24">
        <v>2772442</v>
      </c>
      <c r="C219">
        <v>290</v>
      </c>
      <c r="D219" s="17"/>
      <c r="E219" s="1">
        <v>30</v>
      </c>
      <c r="F219" s="4">
        <f t="shared" si="23"/>
        <v>30</v>
      </c>
      <c r="G219" s="1">
        <f t="shared" si="24"/>
        <v>45261</v>
      </c>
      <c r="I219" s="24">
        <f t="shared" si="22"/>
        <v>2772442</v>
      </c>
    </row>
    <row r="220" spans="1:12" hidden="1">
      <c r="A220" s="200" t="s">
        <v>145</v>
      </c>
      <c r="B220" s="24">
        <v>171301045</v>
      </c>
      <c r="C220">
        <v>291</v>
      </c>
      <c r="D220" s="17"/>
      <c r="E220" s="1">
        <v>30</v>
      </c>
      <c r="F220" s="4">
        <f t="shared" si="23"/>
        <v>30</v>
      </c>
      <c r="G220" s="1">
        <f t="shared" si="24"/>
        <v>45261</v>
      </c>
      <c r="H220" s="24">
        <f>B220</f>
        <v>171301045</v>
      </c>
    </row>
    <row r="221" spans="1:12" hidden="1">
      <c r="A221" s="200" t="s">
        <v>145</v>
      </c>
      <c r="B221" s="24">
        <v>171301045</v>
      </c>
      <c r="C221">
        <v>292</v>
      </c>
      <c r="D221" s="17"/>
      <c r="E221" s="1">
        <v>30</v>
      </c>
      <c r="F221" s="4">
        <f t="shared" si="23"/>
        <v>30</v>
      </c>
      <c r="G221" s="1">
        <f t="shared" si="24"/>
        <v>45261</v>
      </c>
      <c r="H221" s="24">
        <f t="shared" ref="H221:H222" si="25">B221</f>
        <v>171301045</v>
      </c>
    </row>
    <row r="222" spans="1:12" hidden="1">
      <c r="A222" s="200" t="s">
        <v>145</v>
      </c>
      <c r="B222" s="24">
        <v>20188245</v>
      </c>
      <c r="C222">
        <v>293</v>
      </c>
      <c r="D222" s="17"/>
      <c r="E222" s="1">
        <v>30</v>
      </c>
      <c r="F222" s="4">
        <f t="shared" si="23"/>
        <v>30</v>
      </c>
      <c r="G222" s="1">
        <f t="shared" si="24"/>
        <v>45261</v>
      </c>
      <c r="H222" s="24">
        <f t="shared" si="25"/>
        <v>20188245</v>
      </c>
    </row>
    <row r="223" spans="1:12" hidden="1">
      <c r="A223" s="200" t="s">
        <v>145</v>
      </c>
      <c r="B223" s="24">
        <v>8105750004</v>
      </c>
      <c r="C223">
        <v>5</v>
      </c>
      <c r="D223" s="17"/>
      <c r="E223" s="1">
        <v>30</v>
      </c>
      <c r="F223" s="4">
        <f t="shared" si="23"/>
        <v>30</v>
      </c>
      <c r="G223" s="1">
        <f t="shared" si="24"/>
        <v>45261</v>
      </c>
      <c r="L223" s="24">
        <f>B223</f>
        <v>8105750004</v>
      </c>
    </row>
    <row r="224" spans="1:12" hidden="1">
      <c r="A224" s="200" t="s">
        <v>145</v>
      </c>
      <c r="B224" s="16">
        <v>4788479500.2799606</v>
      </c>
      <c r="C224">
        <v>7</v>
      </c>
      <c r="D224" s="17"/>
      <c r="E224" s="1">
        <v>30</v>
      </c>
      <c r="F224" s="4">
        <f t="shared" si="23"/>
        <v>30</v>
      </c>
      <c r="G224" s="1">
        <f t="shared" si="24"/>
        <v>45261</v>
      </c>
      <c r="L224" s="24">
        <f>B224</f>
        <v>4788479500.2799606</v>
      </c>
    </row>
    <row r="225" spans="2:12" s="21" customFormat="1" hidden="1">
      <c r="B225" s="253">
        <f>SUM(B26:B224)</f>
        <v>62518053072.279961</v>
      </c>
      <c r="H225" s="224">
        <f>SUM(H7:H224)</f>
        <v>128331596274.16811</v>
      </c>
      <c r="I225" s="236">
        <f t="shared" ref="I225:L225" si="26">SUM(I7:I224)</f>
        <v>3168015082.077023</v>
      </c>
      <c r="J225" s="236">
        <f t="shared" si="26"/>
        <v>5823432998</v>
      </c>
      <c r="K225" s="236">
        <f t="shared" si="26"/>
        <v>6319315387.2738361</v>
      </c>
      <c r="L225" s="236">
        <f t="shared" si="26"/>
        <v>59360088107.321083</v>
      </c>
    </row>
    <row r="226" spans="2:12" hidden="1">
      <c r="B226" s="19">
        <f>B20+B21</f>
        <v>62518053072.279961</v>
      </c>
    </row>
    <row r="227" spans="2:12">
      <c r="B227" s="19">
        <f>B226-B225</f>
        <v>0</v>
      </c>
      <c r="D227" s="19"/>
    </row>
    <row r="228" spans="2:12">
      <c r="D228" s="18"/>
    </row>
  </sheetData>
  <autoFilter ref="A6:M21" xr:uid="{00000000-0001-0000-0000-000000000000}"/>
  <mergeCells count="2">
    <mergeCell ref="C5:F5"/>
    <mergeCell ref="G5:L5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E85C-39BB-4354-B755-48477AACFFC0}">
  <sheetPr>
    <tabColor theme="7" tint="0.39997558519241921"/>
  </sheetPr>
  <dimension ref="A1:T283"/>
  <sheetViews>
    <sheetView workbookViewId="0">
      <pane xSplit="3" ySplit="5" topLeftCell="D200" activePane="bottomRight" state="frozen"/>
      <selection pane="topRight" activeCell="D1" sqref="D1"/>
      <selection pane="bottomLeft" activeCell="A6" sqref="A6"/>
      <selection pane="bottomRight" activeCell="B210" sqref="B210"/>
    </sheetView>
  </sheetViews>
  <sheetFormatPr defaultRowHeight="13"/>
  <cols>
    <col min="1" max="1" width="32.54296875" style="159" bestFit="1" customWidth="1"/>
    <col min="2" max="2" width="14.81640625" style="159" customWidth="1"/>
    <col min="3" max="3" width="18.6328125" style="254" bestFit="1" customWidth="1"/>
    <col min="4" max="4" width="10.7265625" style="159" bestFit="1" customWidth="1"/>
    <col min="5" max="5" width="17.54296875" style="159" bestFit="1" customWidth="1"/>
    <col min="6" max="6" width="19.7265625" style="159" bestFit="1" customWidth="1"/>
    <col min="7" max="7" width="8.7265625" style="159"/>
    <col min="8" max="12" width="17.90625" style="159" customWidth="1"/>
    <col min="13" max="13" width="12.7265625" style="212" bestFit="1" customWidth="1"/>
    <col min="14" max="14" width="12.54296875" style="212" bestFit="1" customWidth="1"/>
    <col min="15" max="16" width="10.36328125" style="212" bestFit="1" customWidth="1"/>
    <col min="17" max="17" width="12.6328125" style="212" bestFit="1" customWidth="1"/>
    <col min="18" max="18" width="12.54296875" style="159" bestFit="1" customWidth="1"/>
    <col min="19" max="16384" width="8.7265625" style="159"/>
  </cols>
  <sheetData>
    <row r="1" spans="1:12">
      <c r="A1" s="158" t="s">
        <v>185</v>
      </c>
    </row>
    <row r="2" spans="1:12">
      <c r="A2" s="158" t="s">
        <v>172</v>
      </c>
      <c r="B2" s="180"/>
    </row>
    <row r="3" spans="1:12">
      <c r="A3" s="160">
        <v>45291</v>
      </c>
      <c r="B3" s="212"/>
    </row>
    <row r="4" spans="1:12">
      <c r="B4" s="180"/>
    </row>
    <row r="5" spans="1:12" s="162" customFormat="1">
      <c r="A5" s="161" t="s">
        <v>2</v>
      </c>
      <c r="B5" s="161" t="s">
        <v>3</v>
      </c>
      <c r="C5" s="161" t="s">
        <v>244</v>
      </c>
      <c r="D5" s="161" t="s">
        <v>245</v>
      </c>
      <c r="E5" s="161" t="s">
        <v>209</v>
      </c>
      <c r="F5" s="161" t="s">
        <v>210</v>
      </c>
      <c r="G5" s="161" t="s">
        <v>211</v>
      </c>
      <c r="H5" s="161" t="s">
        <v>174</v>
      </c>
      <c r="I5" s="161" t="s">
        <v>212</v>
      </c>
      <c r="J5" s="161" t="s">
        <v>213</v>
      </c>
      <c r="K5" s="161" t="s">
        <v>214</v>
      </c>
      <c r="L5" s="161" t="s">
        <v>215</v>
      </c>
    </row>
    <row r="6" spans="1:12">
      <c r="A6" s="213" t="s">
        <v>8</v>
      </c>
      <c r="B6" s="255">
        <v>21911630</v>
      </c>
      <c r="C6" s="256"/>
      <c r="D6" s="165"/>
      <c r="E6" s="164">
        <v>30</v>
      </c>
      <c r="F6" s="165">
        <f>D6+E6</f>
        <v>30</v>
      </c>
      <c r="G6" s="164">
        <f>$A$3-F6</f>
        <v>45261</v>
      </c>
      <c r="H6" s="166"/>
      <c r="I6" s="166">
        <f>B6</f>
        <v>21911630</v>
      </c>
      <c r="J6" s="164"/>
      <c r="K6" s="164"/>
      <c r="L6" s="164"/>
    </row>
    <row r="7" spans="1:12">
      <c r="A7" s="213" t="s">
        <v>10</v>
      </c>
      <c r="B7" s="167">
        <v>11995326</v>
      </c>
      <c r="C7" s="256" t="s">
        <v>505</v>
      </c>
      <c r="D7" s="165">
        <v>45266</v>
      </c>
      <c r="E7" s="164">
        <v>30</v>
      </c>
      <c r="F7" s="165">
        <f t="shared" ref="F7:F8" si="0">D7+E7</f>
        <v>45296</v>
      </c>
      <c r="G7" s="164">
        <f t="shared" ref="G7:G8" si="1">$A$3-F7</f>
        <v>-5</v>
      </c>
      <c r="H7" s="166">
        <f>B7</f>
        <v>11995326</v>
      </c>
      <c r="I7" s="164"/>
      <c r="J7" s="164"/>
      <c r="K7" s="164"/>
      <c r="L7" s="164"/>
    </row>
    <row r="8" spans="1:12">
      <c r="A8" s="213" t="s">
        <v>10</v>
      </c>
      <c r="B8" s="167">
        <v>18867003</v>
      </c>
      <c r="C8" s="256" t="s">
        <v>506</v>
      </c>
      <c r="D8" s="165">
        <v>45231</v>
      </c>
      <c r="E8" s="164">
        <v>30</v>
      </c>
      <c r="F8" s="165">
        <f t="shared" si="0"/>
        <v>45261</v>
      </c>
      <c r="G8" s="164">
        <f t="shared" si="1"/>
        <v>30</v>
      </c>
      <c r="H8" s="166"/>
      <c r="I8" s="166">
        <f>B8</f>
        <v>18867003</v>
      </c>
      <c r="J8" s="164"/>
      <c r="K8" s="164"/>
      <c r="L8" s="164"/>
    </row>
    <row r="9" spans="1:12">
      <c r="A9" s="213"/>
      <c r="B9" s="101"/>
      <c r="C9" s="256"/>
      <c r="D9" s="165"/>
      <c r="E9" s="164"/>
      <c r="F9" s="165"/>
      <c r="G9" s="164"/>
      <c r="H9" s="166"/>
      <c r="I9" s="164"/>
      <c r="J9" s="164"/>
      <c r="K9" s="164"/>
      <c r="L9" s="164"/>
    </row>
    <row r="10" spans="1:12">
      <c r="A10" s="213" t="s">
        <v>83</v>
      </c>
      <c r="B10" s="167">
        <v>1720500</v>
      </c>
      <c r="C10" s="256">
        <v>23023697</v>
      </c>
      <c r="D10" s="165">
        <v>45274</v>
      </c>
      <c r="E10" s="164">
        <v>30</v>
      </c>
      <c r="F10" s="165">
        <f t="shared" ref="F10:F221" si="2">D10+E10</f>
        <v>45304</v>
      </c>
      <c r="G10" s="164">
        <f t="shared" ref="G10:G221" si="3">$A$3-F10</f>
        <v>-13</v>
      </c>
      <c r="H10" s="166">
        <f>B10</f>
        <v>1720500</v>
      </c>
      <c r="I10" s="164"/>
      <c r="J10" s="164"/>
      <c r="K10" s="164"/>
      <c r="L10" s="164"/>
    </row>
    <row r="11" spans="1:12">
      <c r="A11" s="213"/>
      <c r="B11" s="101"/>
      <c r="C11" s="256"/>
      <c r="D11" s="165"/>
      <c r="E11" s="164"/>
      <c r="F11" s="165"/>
      <c r="G11" s="164"/>
      <c r="H11" s="166"/>
      <c r="I11" s="164"/>
      <c r="J11" s="164"/>
      <c r="K11" s="164"/>
      <c r="L11" s="164"/>
    </row>
    <row r="12" spans="1:12">
      <c r="A12" s="213" t="s">
        <v>11</v>
      </c>
      <c r="B12" s="167">
        <v>49950000</v>
      </c>
      <c r="C12" s="256" t="s">
        <v>507</v>
      </c>
      <c r="D12" s="165">
        <v>45278</v>
      </c>
      <c r="E12" s="164">
        <v>30</v>
      </c>
      <c r="F12" s="165">
        <f t="shared" si="2"/>
        <v>45308</v>
      </c>
      <c r="G12" s="164">
        <f t="shared" si="3"/>
        <v>-17</v>
      </c>
      <c r="H12" s="166">
        <f>B12</f>
        <v>49950000</v>
      </c>
      <c r="I12" s="164"/>
      <c r="J12" s="164"/>
      <c r="K12" s="164"/>
      <c r="L12" s="164"/>
    </row>
    <row r="13" spans="1:12">
      <c r="A13" s="213"/>
      <c r="B13" s="101"/>
      <c r="C13" s="256"/>
      <c r="D13" s="165"/>
      <c r="E13" s="164"/>
      <c r="F13" s="165"/>
      <c r="G13" s="164"/>
      <c r="H13" s="166"/>
      <c r="I13" s="164"/>
      <c r="J13" s="164"/>
      <c r="K13" s="164"/>
      <c r="L13" s="164"/>
    </row>
    <row r="14" spans="1:12">
      <c r="A14" s="213" t="s">
        <v>12</v>
      </c>
      <c r="B14" s="167">
        <v>11581740</v>
      </c>
      <c r="C14" s="256">
        <v>17522005245</v>
      </c>
      <c r="D14" s="165">
        <v>45274</v>
      </c>
      <c r="E14" s="164">
        <v>30</v>
      </c>
      <c r="F14" s="165">
        <f t="shared" si="2"/>
        <v>45304</v>
      </c>
      <c r="G14" s="164">
        <f t="shared" si="3"/>
        <v>-13</v>
      </c>
      <c r="H14" s="166">
        <f t="shared" ref="H14:H20" si="4">B14</f>
        <v>11581740</v>
      </c>
      <c r="I14" s="164"/>
      <c r="J14" s="164"/>
      <c r="K14" s="164"/>
      <c r="L14" s="164"/>
    </row>
    <row r="15" spans="1:12">
      <c r="A15" s="213" t="s">
        <v>12</v>
      </c>
      <c r="B15" s="167">
        <v>20084950</v>
      </c>
      <c r="C15" s="256">
        <v>17522005246</v>
      </c>
      <c r="D15" s="165">
        <v>45274</v>
      </c>
      <c r="E15" s="164">
        <v>30</v>
      </c>
      <c r="F15" s="165">
        <f t="shared" si="2"/>
        <v>45304</v>
      </c>
      <c r="G15" s="164">
        <f t="shared" si="3"/>
        <v>-13</v>
      </c>
      <c r="H15" s="166">
        <f t="shared" si="4"/>
        <v>20084950</v>
      </c>
      <c r="I15" s="164"/>
      <c r="J15" s="164"/>
      <c r="K15" s="164"/>
      <c r="L15" s="164"/>
    </row>
    <row r="16" spans="1:12">
      <c r="A16" s="213" t="s">
        <v>12</v>
      </c>
      <c r="B16" s="167">
        <v>6643350</v>
      </c>
      <c r="C16" s="256">
        <v>17522005310</v>
      </c>
      <c r="D16" s="165">
        <v>45278</v>
      </c>
      <c r="E16" s="164">
        <v>30</v>
      </c>
      <c r="F16" s="165">
        <f t="shared" si="2"/>
        <v>45308</v>
      </c>
      <c r="G16" s="164">
        <f t="shared" si="3"/>
        <v>-17</v>
      </c>
      <c r="H16" s="166">
        <f t="shared" si="4"/>
        <v>6643350</v>
      </c>
      <c r="I16" s="164"/>
      <c r="J16" s="164"/>
      <c r="K16" s="164"/>
      <c r="L16" s="164"/>
    </row>
    <row r="17" spans="1:12">
      <c r="A17" s="213" t="s">
        <v>12</v>
      </c>
      <c r="B17" s="167">
        <v>21007770</v>
      </c>
      <c r="C17" s="256">
        <v>17522005643</v>
      </c>
      <c r="D17" s="165">
        <v>45283</v>
      </c>
      <c r="E17" s="164">
        <v>30</v>
      </c>
      <c r="F17" s="165">
        <f t="shared" si="2"/>
        <v>45313</v>
      </c>
      <c r="G17" s="164">
        <f t="shared" si="3"/>
        <v>-22</v>
      </c>
      <c r="H17" s="166">
        <f t="shared" si="4"/>
        <v>21007770</v>
      </c>
      <c r="I17" s="164"/>
      <c r="J17" s="164"/>
      <c r="K17" s="164"/>
      <c r="L17" s="164"/>
    </row>
    <row r="18" spans="1:12">
      <c r="A18" s="213" t="s">
        <v>12</v>
      </c>
      <c r="B18" s="167">
        <v>13805625</v>
      </c>
      <c r="C18" s="256">
        <v>17522005644</v>
      </c>
      <c r="D18" s="165">
        <v>45283</v>
      </c>
      <c r="E18" s="164">
        <v>30</v>
      </c>
      <c r="F18" s="165">
        <f t="shared" si="2"/>
        <v>45313</v>
      </c>
      <c r="G18" s="164">
        <f t="shared" si="3"/>
        <v>-22</v>
      </c>
      <c r="H18" s="166">
        <f t="shared" si="4"/>
        <v>13805625</v>
      </c>
      <c r="I18" s="164"/>
      <c r="J18" s="164"/>
      <c r="K18" s="164"/>
      <c r="L18" s="164"/>
    </row>
    <row r="19" spans="1:12">
      <c r="A19" s="213" t="s">
        <v>12</v>
      </c>
      <c r="B19" s="167">
        <v>25821042</v>
      </c>
      <c r="C19" s="256">
        <v>17522005645</v>
      </c>
      <c r="D19" s="165">
        <v>45284</v>
      </c>
      <c r="E19" s="164">
        <v>30</v>
      </c>
      <c r="F19" s="165">
        <f t="shared" si="2"/>
        <v>45314</v>
      </c>
      <c r="G19" s="164">
        <f t="shared" si="3"/>
        <v>-23</v>
      </c>
      <c r="H19" s="166">
        <f t="shared" si="4"/>
        <v>25821042</v>
      </c>
      <c r="I19" s="164"/>
      <c r="J19" s="164"/>
      <c r="K19" s="164"/>
      <c r="L19" s="164"/>
    </row>
    <row r="20" spans="1:12">
      <c r="A20" s="213" t="s">
        <v>12</v>
      </c>
      <c r="B20" s="167">
        <v>2525971</v>
      </c>
      <c r="C20" s="256">
        <v>17522006067</v>
      </c>
      <c r="D20" s="165">
        <v>45279</v>
      </c>
      <c r="E20" s="164">
        <v>30</v>
      </c>
      <c r="F20" s="165">
        <f t="shared" si="2"/>
        <v>45309</v>
      </c>
      <c r="G20" s="164">
        <f t="shared" si="3"/>
        <v>-18</v>
      </c>
      <c r="H20" s="166">
        <f t="shared" si="4"/>
        <v>2525971</v>
      </c>
      <c r="I20" s="164"/>
      <c r="J20" s="164"/>
      <c r="K20" s="164"/>
      <c r="L20" s="164"/>
    </row>
    <row r="21" spans="1:12">
      <c r="A21" s="213"/>
      <c r="B21" s="101"/>
      <c r="C21" s="256"/>
      <c r="D21" s="165"/>
      <c r="E21" s="164"/>
      <c r="F21" s="165"/>
      <c r="G21" s="164"/>
      <c r="H21" s="166"/>
      <c r="I21" s="164"/>
      <c r="J21" s="164"/>
      <c r="K21" s="164"/>
      <c r="L21" s="164"/>
    </row>
    <row r="22" spans="1:12">
      <c r="A22" s="213" t="s">
        <v>219</v>
      </c>
      <c r="B22" s="167">
        <v>22200000</v>
      </c>
      <c r="C22" s="256" t="s">
        <v>508</v>
      </c>
      <c r="D22" s="165">
        <v>44872</v>
      </c>
      <c r="E22" s="164">
        <v>30</v>
      </c>
      <c r="F22" s="165">
        <f t="shared" si="2"/>
        <v>44902</v>
      </c>
      <c r="G22" s="164">
        <f t="shared" si="3"/>
        <v>389</v>
      </c>
      <c r="H22" s="166"/>
      <c r="I22" s="164"/>
      <c r="J22" s="164"/>
      <c r="K22" s="164"/>
      <c r="L22" s="166">
        <f>B22</f>
        <v>22200000</v>
      </c>
    </row>
    <row r="23" spans="1:12">
      <c r="A23" s="213"/>
      <c r="B23" s="101"/>
      <c r="C23" s="256"/>
      <c r="D23" s="165"/>
      <c r="E23" s="164"/>
      <c r="F23" s="165"/>
      <c r="G23" s="164"/>
      <c r="H23" s="166"/>
      <c r="I23" s="164"/>
      <c r="J23" s="164"/>
      <c r="K23" s="164"/>
      <c r="L23" s="164"/>
    </row>
    <row r="24" spans="1:12">
      <c r="A24" s="213" t="s">
        <v>17</v>
      </c>
      <c r="B24" s="167">
        <v>41818939</v>
      </c>
      <c r="C24" s="256" t="s">
        <v>509</v>
      </c>
      <c r="D24" s="257">
        <v>45174</v>
      </c>
      <c r="E24" s="164">
        <v>30</v>
      </c>
      <c r="F24" s="165">
        <f t="shared" ref="F24:F29" si="5">D24+E24</f>
        <v>45204</v>
      </c>
      <c r="G24" s="164">
        <f t="shared" ref="G24:G29" si="6">$A$3-F24</f>
        <v>87</v>
      </c>
      <c r="H24" s="166"/>
      <c r="I24" s="164"/>
      <c r="J24" s="164"/>
      <c r="K24" s="166">
        <f>B24</f>
        <v>41818939</v>
      </c>
      <c r="L24" s="164"/>
    </row>
    <row r="25" spans="1:12">
      <c r="A25" s="213" t="s">
        <v>17</v>
      </c>
      <c r="B25" s="167">
        <v>8325000</v>
      </c>
      <c r="C25" s="256" t="s">
        <v>510</v>
      </c>
      <c r="D25" s="257">
        <v>45185</v>
      </c>
      <c r="E25" s="164">
        <v>30</v>
      </c>
      <c r="F25" s="165">
        <f t="shared" si="5"/>
        <v>45215</v>
      </c>
      <c r="G25" s="164">
        <f t="shared" si="6"/>
        <v>76</v>
      </c>
      <c r="H25" s="166"/>
      <c r="I25" s="164"/>
      <c r="J25" s="164"/>
      <c r="K25" s="166">
        <f>B25</f>
        <v>8325000</v>
      </c>
      <c r="L25" s="164"/>
    </row>
    <row r="26" spans="1:12">
      <c r="A26" s="213" t="s">
        <v>17</v>
      </c>
      <c r="B26" s="167">
        <v>1598400</v>
      </c>
      <c r="C26" s="256" t="s">
        <v>511</v>
      </c>
      <c r="D26" s="257">
        <v>45185</v>
      </c>
      <c r="E26" s="164">
        <v>30</v>
      </c>
      <c r="F26" s="165">
        <f t="shared" si="5"/>
        <v>45215</v>
      </c>
      <c r="G26" s="164">
        <f t="shared" si="6"/>
        <v>76</v>
      </c>
      <c r="H26" s="166"/>
      <c r="I26" s="164"/>
      <c r="J26" s="164"/>
      <c r="K26" s="166">
        <f>B26</f>
        <v>1598400</v>
      </c>
      <c r="L26" s="164"/>
    </row>
    <row r="27" spans="1:12">
      <c r="A27" s="213" t="s">
        <v>17</v>
      </c>
      <c r="B27" s="167">
        <v>4855252</v>
      </c>
      <c r="C27" s="256" t="s">
        <v>512</v>
      </c>
      <c r="D27" s="257">
        <v>45194</v>
      </c>
      <c r="E27" s="164">
        <v>30</v>
      </c>
      <c r="F27" s="165">
        <f t="shared" si="5"/>
        <v>45224</v>
      </c>
      <c r="G27" s="164">
        <f t="shared" si="6"/>
        <v>67</v>
      </c>
      <c r="H27" s="166"/>
      <c r="I27" s="164"/>
      <c r="J27" s="164"/>
      <c r="K27" s="166">
        <f>B27</f>
        <v>4855252</v>
      </c>
      <c r="L27" s="164"/>
    </row>
    <row r="28" spans="1:12">
      <c r="A28" s="213" t="s">
        <v>17</v>
      </c>
      <c r="B28" s="167">
        <v>57400542</v>
      </c>
      <c r="C28" s="256" t="s">
        <v>513</v>
      </c>
      <c r="D28" s="257">
        <v>45285</v>
      </c>
      <c r="E28" s="164">
        <v>30</v>
      </c>
      <c r="F28" s="165">
        <f t="shared" si="5"/>
        <v>45315</v>
      </c>
      <c r="G28" s="164">
        <f t="shared" si="6"/>
        <v>-24</v>
      </c>
      <c r="H28" s="166">
        <f>B28</f>
        <v>57400542</v>
      </c>
      <c r="I28" s="164"/>
      <c r="J28" s="164"/>
      <c r="K28" s="164"/>
      <c r="L28" s="164"/>
    </row>
    <row r="29" spans="1:12">
      <c r="A29" s="213" t="s">
        <v>17</v>
      </c>
      <c r="B29" s="167">
        <v>8325000</v>
      </c>
      <c r="C29" s="256" t="s">
        <v>514</v>
      </c>
      <c r="D29" s="257">
        <v>45286</v>
      </c>
      <c r="E29" s="164">
        <v>30</v>
      </c>
      <c r="F29" s="165">
        <f t="shared" si="5"/>
        <v>45316</v>
      </c>
      <c r="G29" s="164">
        <f t="shared" si="6"/>
        <v>-25</v>
      </c>
      <c r="H29" s="166">
        <f>B29</f>
        <v>8325000</v>
      </c>
      <c r="I29" s="164"/>
      <c r="J29" s="164"/>
      <c r="K29" s="164"/>
      <c r="L29" s="164"/>
    </row>
    <row r="30" spans="1:12">
      <c r="A30" s="213"/>
      <c r="B30" s="101"/>
      <c r="C30" s="256"/>
      <c r="D30" s="165"/>
      <c r="E30" s="164"/>
      <c r="F30" s="165"/>
      <c r="G30" s="164"/>
      <c r="H30" s="166"/>
      <c r="I30" s="164"/>
      <c r="J30" s="164"/>
      <c r="K30" s="164"/>
      <c r="L30" s="164"/>
    </row>
    <row r="31" spans="1:12">
      <c r="A31" s="213" t="s">
        <v>66</v>
      </c>
      <c r="B31" s="167">
        <v>20684850.200000003</v>
      </c>
      <c r="C31" s="256">
        <v>281123002</v>
      </c>
      <c r="D31" s="165">
        <v>45258</v>
      </c>
      <c r="E31" s="164">
        <v>30</v>
      </c>
      <c r="F31" s="165">
        <f t="shared" si="2"/>
        <v>45288</v>
      </c>
      <c r="G31" s="164">
        <f t="shared" si="3"/>
        <v>3</v>
      </c>
      <c r="H31" s="166"/>
      <c r="I31" s="166">
        <f>B31</f>
        <v>20684850.200000003</v>
      </c>
      <c r="J31" s="164"/>
      <c r="K31" s="164"/>
      <c r="L31" s="164"/>
    </row>
    <row r="32" spans="1:12">
      <c r="A32" s="213"/>
      <c r="B32" s="101"/>
      <c r="C32" s="256"/>
      <c r="D32" s="165"/>
      <c r="E32" s="164"/>
      <c r="F32" s="165"/>
      <c r="G32" s="164"/>
      <c r="H32" s="166"/>
      <c r="I32" s="164"/>
      <c r="J32" s="164"/>
      <c r="K32" s="164"/>
      <c r="L32" s="164"/>
    </row>
    <row r="33" spans="1:12">
      <c r="A33" s="213" t="s">
        <v>18</v>
      </c>
      <c r="B33" s="167">
        <v>34576502</v>
      </c>
      <c r="C33" s="256" t="s">
        <v>515</v>
      </c>
      <c r="D33" s="257">
        <v>45280</v>
      </c>
      <c r="E33" s="164">
        <v>30</v>
      </c>
      <c r="F33" s="165">
        <f t="shared" si="2"/>
        <v>45310</v>
      </c>
      <c r="G33" s="164">
        <f t="shared" si="3"/>
        <v>-19</v>
      </c>
      <c r="H33" s="166">
        <f>B33</f>
        <v>34576502</v>
      </c>
      <c r="I33" s="164"/>
      <c r="J33" s="164"/>
      <c r="K33" s="164"/>
      <c r="L33" s="164"/>
    </row>
    <row r="34" spans="1:12">
      <c r="A34" s="213"/>
      <c r="B34" s="101"/>
      <c r="C34" s="256"/>
      <c r="D34" s="165"/>
      <c r="E34" s="164"/>
      <c r="F34" s="165"/>
      <c r="G34" s="164"/>
      <c r="H34" s="166"/>
      <c r="I34" s="164"/>
      <c r="J34" s="164"/>
      <c r="K34" s="164"/>
      <c r="L34" s="164"/>
    </row>
    <row r="35" spans="1:12">
      <c r="A35" s="213" t="s">
        <v>19</v>
      </c>
      <c r="B35" s="167">
        <v>1050000</v>
      </c>
      <c r="C35" s="256" t="s">
        <v>516</v>
      </c>
      <c r="D35" s="165">
        <v>45258</v>
      </c>
      <c r="E35" s="164">
        <v>30</v>
      </c>
      <c r="F35" s="165">
        <f t="shared" ref="F35:F37" si="7">D35+E35</f>
        <v>45288</v>
      </c>
      <c r="G35" s="164">
        <f t="shared" ref="G35:G37" si="8">$A$3-F35</f>
        <v>3</v>
      </c>
      <c r="H35" s="166">
        <f>B35</f>
        <v>1050000</v>
      </c>
      <c r="I35" s="164"/>
      <c r="J35" s="164"/>
      <c r="K35" s="164"/>
      <c r="L35" s="164"/>
    </row>
    <row r="36" spans="1:12">
      <c r="A36" s="213" t="s">
        <v>19</v>
      </c>
      <c r="B36" s="167">
        <v>42400000</v>
      </c>
      <c r="C36" s="256" t="s">
        <v>517</v>
      </c>
      <c r="D36" s="165">
        <v>45266</v>
      </c>
      <c r="E36" s="164">
        <v>30</v>
      </c>
      <c r="F36" s="165">
        <f t="shared" si="7"/>
        <v>45296</v>
      </c>
      <c r="G36" s="164">
        <f t="shared" si="8"/>
        <v>-5</v>
      </c>
      <c r="H36" s="166">
        <f>B36</f>
        <v>42400000</v>
      </c>
      <c r="I36" s="164"/>
      <c r="J36" s="164"/>
      <c r="K36" s="164"/>
      <c r="L36" s="164"/>
    </row>
    <row r="37" spans="1:12">
      <c r="A37" s="213" t="s">
        <v>19</v>
      </c>
      <c r="B37" s="167">
        <v>13500000</v>
      </c>
      <c r="C37" s="256" t="s">
        <v>518</v>
      </c>
      <c r="D37" s="165">
        <v>45266</v>
      </c>
      <c r="E37" s="164">
        <v>30</v>
      </c>
      <c r="F37" s="165">
        <f t="shared" si="7"/>
        <v>45296</v>
      </c>
      <c r="G37" s="164">
        <f t="shared" si="8"/>
        <v>-5</v>
      </c>
      <c r="H37" s="166">
        <f>B37</f>
        <v>13500000</v>
      </c>
      <c r="I37" s="166"/>
      <c r="J37" s="164"/>
      <c r="K37" s="164"/>
      <c r="L37" s="164"/>
    </row>
    <row r="38" spans="1:12">
      <c r="A38" s="213"/>
      <c r="B38" s="101"/>
      <c r="C38" s="256"/>
      <c r="D38" s="165"/>
      <c r="E38" s="164"/>
      <c r="F38" s="165"/>
      <c r="G38" s="164"/>
      <c r="H38" s="166"/>
      <c r="I38" s="164"/>
      <c r="J38" s="164"/>
      <c r="K38" s="164"/>
      <c r="L38" s="164"/>
    </row>
    <row r="39" spans="1:12">
      <c r="A39" s="213" t="s">
        <v>21</v>
      </c>
      <c r="B39" s="167">
        <v>27000000</v>
      </c>
      <c r="C39" s="256" t="s">
        <v>519</v>
      </c>
      <c r="D39" s="165">
        <v>45282</v>
      </c>
      <c r="E39" s="164">
        <v>30</v>
      </c>
      <c r="F39" s="165">
        <f t="shared" si="2"/>
        <v>45312</v>
      </c>
      <c r="G39" s="164">
        <f t="shared" si="3"/>
        <v>-21</v>
      </c>
      <c r="H39" s="166">
        <f>B39</f>
        <v>27000000</v>
      </c>
      <c r="I39" s="164"/>
      <c r="J39" s="164"/>
      <c r="K39" s="164"/>
      <c r="L39" s="164"/>
    </row>
    <row r="40" spans="1:12">
      <c r="A40" s="213"/>
      <c r="B40" s="101"/>
      <c r="C40" s="256"/>
      <c r="D40" s="165"/>
      <c r="E40" s="164"/>
      <c r="F40" s="165"/>
      <c r="G40" s="164"/>
      <c r="H40" s="166"/>
      <c r="I40" s="164"/>
      <c r="J40" s="164"/>
      <c r="K40" s="164"/>
      <c r="L40" s="164"/>
    </row>
    <row r="41" spans="1:12">
      <c r="A41" s="213" t="s">
        <v>27</v>
      </c>
      <c r="B41" s="167">
        <v>23850000</v>
      </c>
      <c r="C41" s="256"/>
      <c r="D41" s="165">
        <v>45253</v>
      </c>
      <c r="E41" s="164">
        <v>30</v>
      </c>
      <c r="F41" s="165">
        <f t="shared" ref="F41:F64" si="9">D41+E41</f>
        <v>45283</v>
      </c>
      <c r="G41" s="164">
        <f t="shared" ref="G41:G64" si="10">$A$3-F41</f>
        <v>8</v>
      </c>
      <c r="H41" s="166"/>
      <c r="I41" s="166">
        <f>B41</f>
        <v>23850000</v>
      </c>
      <c r="J41" s="164"/>
      <c r="K41" s="164"/>
      <c r="L41" s="164"/>
    </row>
    <row r="42" spans="1:12">
      <c r="A42" s="213" t="s">
        <v>27</v>
      </c>
      <c r="B42" s="167">
        <v>32600000</v>
      </c>
      <c r="C42" s="256"/>
      <c r="D42" s="165">
        <v>45253</v>
      </c>
      <c r="E42" s="164">
        <v>30</v>
      </c>
      <c r="F42" s="165">
        <f t="shared" si="9"/>
        <v>45283</v>
      </c>
      <c r="G42" s="164">
        <f t="shared" si="10"/>
        <v>8</v>
      </c>
      <c r="H42" s="166"/>
      <c r="I42" s="166">
        <f t="shared" ref="I42:I49" si="11">B42</f>
        <v>32600000</v>
      </c>
      <c r="J42" s="164"/>
      <c r="K42" s="164"/>
      <c r="L42" s="164"/>
    </row>
    <row r="43" spans="1:12">
      <c r="A43" s="213" t="s">
        <v>27</v>
      </c>
      <c r="B43" s="167">
        <v>47700000</v>
      </c>
      <c r="C43" s="256"/>
      <c r="D43" s="165">
        <v>45253</v>
      </c>
      <c r="E43" s="164">
        <v>30</v>
      </c>
      <c r="F43" s="165">
        <f t="shared" si="9"/>
        <v>45283</v>
      </c>
      <c r="G43" s="164">
        <f t="shared" si="10"/>
        <v>8</v>
      </c>
      <c r="H43" s="166"/>
      <c r="I43" s="166">
        <f t="shared" si="11"/>
        <v>47700000</v>
      </c>
      <c r="J43" s="164"/>
      <c r="K43" s="164"/>
      <c r="L43" s="164"/>
    </row>
    <row r="44" spans="1:12">
      <c r="A44" s="213" t="s">
        <v>27</v>
      </c>
      <c r="B44" s="167">
        <v>5722500</v>
      </c>
      <c r="C44" s="256"/>
      <c r="D44" s="165">
        <v>45253</v>
      </c>
      <c r="E44" s="164">
        <v>30</v>
      </c>
      <c r="F44" s="165">
        <f t="shared" si="9"/>
        <v>45283</v>
      </c>
      <c r="G44" s="164">
        <f t="shared" si="10"/>
        <v>8</v>
      </c>
      <c r="H44" s="166"/>
      <c r="I44" s="166">
        <f t="shared" si="11"/>
        <v>5722500</v>
      </c>
      <c r="J44" s="164"/>
      <c r="K44" s="164"/>
      <c r="L44" s="164"/>
    </row>
    <row r="45" spans="1:12">
      <c r="A45" s="213" t="s">
        <v>27</v>
      </c>
      <c r="B45" s="167">
        <v>63600000</v>
      </c>
      <c r="C45" s="256"/>
      <c r="D45" s="165">
        <v>45253</v>
      </c>
      <c r="E45" s="164">
        <v>30</v>
      </c>
      <c r="F45" s="165">
        <f t="shared" si="9"/>
        <v>45283</v>
      </c>
      <c r="G45" s="164">
        <f t="shared" si="10"/>
        <v>8</v>
      </c>
      <c r="H45" s="166"/>
      <c r="I45" s="166">
        <f t="shared" si="11"/>
        <v>63600000</v>
      </c>
      <c r="J45" s="164"/>
      <c r="K45" s="164"/>
      <c r="L45" s="164"/>
    </row>
    <row r="46" spans="1:12">
      <c r="A46" s="213" t="s">
        <v>27</v>
      </c>
      <c r="B46" s="167">
        <v>7950000</v>
      </c>
      <c r="C46" s="256"/>
      <c r="D46" s="165">
        <v>45260</v>
      </c>
      <c r="E46" s="164">
        <v>30</v>
      </c>
      <c r="F46" s="165">
        <f t="shared" si="9"/>
        <v>45290</v>
      </c>
      <c r="G46" s="164">
        <f t="shared" si="10"/>
        <v>1</v>
      </c>
      <c r="H46" s="166"/>
      <c r="I46" s="166">
        <f t="shared" si="11"/>
        <v>7950000</v>
      </c>
      <c r="J46" s="164"/>
      <c r="K46" s="164"/>
      <c r="L46" s="164"/>
    </row>
    <row r="47" spans="1:12">
      <c r="A47" s="213" t="s">
        <v>27</v>
      </c>
      <c r="B47" s="167">
        <v>15900000</v>
      </c>
      <c r="C47" s="256"/>
      <c r="D47" s="165">
        <v>45260</v>
      </c>
      <c r="E47" s="164">
        <v>30</v>
      </c>
      <c r="F47" s="165">
        <f t="shared" si="9"/>
        <v>45290</v>
      </c>
      <c r="G47" s="164">
        <f t="shared" si="10"/>
        <v>1</v>
      </c>
      <c r="H47" s="166"/>
      <c r="I47" s="166">
        <f t="shared" si="11"/>
        <v>15900000</v>
      </c>
      <c r="J47" s="164"/>
      <c r="K47" s="164"/>
      <c r="L47" s="164"/>
    </row>
    <row r="48" spans="1:12">
      <c r="A48" s="213" t="s">
        <v>27</v>
      </c>
      <c r="B48" s="167">
        <v>95400000</v>
      </c>
      <c r="C48" s="256"/>
      <c r="D48" s="165">
        <v>45260</v>
      </c>
      <c r="E48" s="164">
        <v>30</v>
      </c>
      <c r="F48" s="165">
        <f t="shared" si="9"/>
        <v>45290</v>
      </c>
      <c r="G48" s="164">
        <f t="shared" si="10"/>
        <v>1</v>
      </c>
      <c r="H48" s="166"/>
      <c r="I48" s="166">
        <f t="shared" si="11"/>
        <v>95400000</v>
      </c>
      <c r="J48" s="164"/>
      <c r="K48" s="164"/>
      <c r="L48" s="164"/>
    </row>
    <row r="49" spans="1:12">
      <c r="A49" s="213" t="s">
        <v>27</v>
      </c>
      <c r="B49" s="167">
        <v>63600000</v>
      </c>
      <c r="C49" s="256"/>
      <c r="D49" s="165">
        <v>45260</v>
      </c>
      <c r="E49" s="164">
        <v>30</v>
      </c>
      <c r="F49" s="165">
        <f t="shared" si="9"/>
        <v>45290</v>
      </c>
      <c r="G49" s="164">
        <f t="shared" si="10"/>
        <v>1</v>
      </c>
      <c r="H49" s="166"/>
      <c r="I49" s="166">
        <f t="shared" si="11"/>
        <v>63600000</v>
      </c>
      <c r="J49" s="164"/>
      <c r="K49" s="164"/>
      <c r="L49" s="164"/>
    </row>
    <row r="50" spans="1:12">
      <c r="A50" s="213" t="s">
        <v>27</v>
      </c>
      <c r="B50" s="167">
        <v>81750000</v>
      </c>
      <c r="C50" s="256"/>
      <c r="D50" s="165">
        <v>45266</v>
      </c>
      <c r="E50" s="164">
        <v>30</v>
      </c>
      <c r="F50" s="165">
        <f t="shared" si="9"/>
        <v>45296</v>
      </c>
      <c r="G50" s="164">
        <f t="shared" si="10"/>
        <v>-5</v>
      </c>
      <c r="H50" s="166">
        <f t="shared" ref="H50:H64" si="12">B50</f>
        <v>81750000</v>
      </c>
      <c r="I50" s="164"/>
      <c r="J50" s="164"/>
      <c r="K50" s="164"/>
      <c r="L50" s="164"/>
    </row>
    <row r="51" spans="1:12">
      <c r="A51" s="213" t="s">
        <v>27</v>
      </c>
      <c r="B51" s="167">
        <v>81750000</v>
      </c>
      <c r="C51" s="256"/>
      <c r="D51" s="165">
        <v>45268</v>
      </c>
      <c r="E51" s="164">
        <v>30</v>
      </c>
      <c r="F51" s="165">
        <f t="shared" si="9"/>
        <v>45298</v>
      </c>
      <c r="G51" s="164">
        <f t="shared" si="10"/>
        <v>-7</v>
      </c>
      <c r="H51" s="166">
        <f t="shared" si="12"/>
        <v>81750000</v>
      </c>
      <c r="I51" s="164"/>
      <c r="J51" s="164"/>
      <c r="K51" s="164"/>
      <c r="L51" s="164"/>
    </row>
    <row r="52" spans="1:12">
      <c r="A52" s="213" t="s">
        <v>27</v>
      </c>
      <c r="B52" s="167">
        <v>23850000</v>
      </c>
      <c r="C52" s="256"/>
      <c r="D52" s="165">
        <v>45272</v>
      </c>
      <c r="E52" s="164">
        <v>30</v>
      </c>
      <c r="F52" s="165">
        <f t="shared" si="9"/>
        <v>45302</v>
      </c>
      <c r="G52" s="164">
        <f t="shared" si="10"/>
        <v>-11</v>
      </c>
      <c r="H52" s="166">
        <f t="shared" si="12"/>
        <v>23850000</v>
      </c>
      <c r="I52" s="164"/>
      <c r="J52" s="164"/>
      <c r="K52" s="164"/>
      <c r="L52" s="164"/>
    </row>
    <row r="53" spans="1:12">
      <c r="A53" s="213" t="s">
        <v>27</v>
      </c>
      <c r="B53" s="167">
        <v>63600000</v>
      </c>
      <c r="C53" s="256"/>
      <c r="D53" s="165">
        <v>45272</v>
      </c>
      <c r="E53" s="164">
        <v>30</v>
      </c>
      <c r="F53" s="165">
        <f t="shared" si="9"/>
        <v>45302</v>
      </c>
      <c r="G53" s="164">
        <f t="shared" si="10"/>
        <v>-11</v>
      </c>
      <c r="H53" s="166">
        <f t="shared" si="12"/>
        <v>63600000</v>
      </c>
      <c r="I53" s="164"/>
      <c r="J53" s="164"/>
      <c r="K53" s="164"/>
      <c r="L53" s="164"/>
    </row>
    <row r="54" spans="1:12">
      <c r="A54" s="213" t="s">
        <v>27</v>
      </c>
      <c r="B54" s="167">
        <v>31800000</v>
      </c>
      <c r="C54" s="256"/>
      <c r="D54" s="165">
        <v>45272</v>
      </c>
      <c r="E54" s="164">
        <v>30</v>
      </c>
      <c r="F54" s="165">
        <f t="shared" si="9"/>
        <v>45302</v>
      </c>
      <c r="G54" s="164">
        <f t="shared" si="10"/>
        <v>-11</v>
      </c>
      <c r="H54" s="166">
        <f t="shared" si="12"/>
        <v>31800000</v>
      </c>
      <c r="I54" s="164"/>
      <c r="J54" s="164"/>
      <c r="K54" s="164"/>
      <c r="L54" s="164"/>
    </row>
    <row r="55" spans="1:12">
      <c r="A55" s="213" t="s">
        <v>27</v>
      </c>
      <c r="B55" s="167">
        <v>7950000</v>
      </c>
      <c r="C55" s="256"/>
      <c r="D55" s="165">
        <v>45272</v>
      </c>
      <c r="E55" s="164">
        <v>30</v>
      </c>
      <c r="F55" s="165">
        <f t="shared" si="9"/>
        <v>45302</v>
      </c>
      <c r="G55" s="164">
        <f t="shared" si="10"/>
        <v>-11</v>
      </c>
      <c r="H55" s="166">
        <f t="shared" si="12"/>
        <v>7950000</v>
      </c>
      <c r="I55" s="164"/>
      <c r="J55" s="164"/>
      <c r="K55" s="164"/>
      <c r="L55" s="164"/>
    </row>
    <row r="56" spans="1:12">
      <c r="A56" s="213" t="s">
        <v>27</v>
      </c>
      <c r="B56" s="167">
        <v>32700000</v>
      </c>
      <c r="C56" s="256"/>
      <c r="D56" s="165">
        <v>45272</v>
      </c>
      <c r="E56" s="164">
        <v>30</v>
      </c>
      <c r="F56" s="165">
        <f t="shared" si="9"/>
        <v>45302</v>
      </c>
      <c r="G56" s="164">
        <f t="shared" si="10"/>
        <v>-11</v>
      </c>
      <c r="H56" s="166">
        <f t="shared" si="12"/>
        <v>32700000</v>
      </c>
      <c r="I56" s="166"/>
      <c r="J56" s="164"/>
      <c r="K56" s="164"/>
      <c r="L56" s="164"/>
    </row>
    <row r="57" spans="1:12">
      <c r="A57" s="213" t="s">
        <v>27</v>
      </c>
      <c r="B57" s="167">
        <v>15900000</v>
      </c>
      <c r="C57" s="256"/>
      <c r="D57" s="165">
        <v>45272</v>
      </c>
      <c r="E57" s="164">
        <v>30</v>
      </c>
      <c r="F57" s="165">
        <f t="shared" si="9"/>
        <v>45302</v>
      </c>
      <c r="G57" s="164">
        <f t="shared" si="10"/>
        <v>-11</v>
      </c>
      <c r="H57" s="166">
        <f t="shared" si="12"/>
        <v>15900000</v>
      </c>
      <c r="I57" s="166"/>
      <c r="J57" s="164"/>
      <c r="K57" s="164"/>
      <c r="L57" s="164"/>
    </row>
    <row r="58" spans="1:12">
      <c r="A58" s="213" t="s">
        <v>27</v>
      </c>
      <c r="B58" s="167">
        <v>63600000</v>
      </c>
      <c r="C58" s="256"/>
      <c r="D58" s="165">
        <v>45273</v>
      </c>
      <c r="E58" s="164">
        <v>30</v>
      </c>
      <c r="F58" s="165">
        <f t="shared" si="9"/>
        <v>45303</v>
      </c>
      <c r="G58" s="164">
        <f t="shared" si="10"/>
        <v>-12</v>
      </c>
      <c r="H58" s="166">
        <f t="shared" si="12"/>
        <v>63600000</v>
      </c>
      <c r="I58" s="166"/>
      <c r="J58" s="164"/>
      <c r="K58" s="164"/>
      <c r="L58" s="164"/>
    </row>
    <row r="59" spans="1:12">
      <c r="A59" s="213" t="s">
        <v>27</v>
      </c>
      <c r="B59" s="167">
        <v>81750000</v>
      </c>
      <c r="C59" s="256"/>
      <c r="D59" s="165">
        <v>45273</v>
      </c>
      <c r="E59" s="164">
        <v>30</v>
      </c>
      <c r="F59" s="165">
        <f t="shared" si="9"/>
        <v>45303</v>
      </c>
      <c r="G59" s="164">
        <f t="shared" si="10"/>
        <v>-12</v>
      </c>
      <c r="H59" s="166">
        <f t="shared" si="12"/>
        <v>81750000</v>
      </c>
      <c r="I59" s="166"/>
      <c r="J59" s="164"/>
      <c r="K59" s="164"/>
      <c r="L59" s="164"/>
    </row>
    <row r="60" spans="1:12">
      <c r="A60" s="213" t="s">
        <v>27</v>
      </c>
      <c r="B60" s="167">
        <v>63600000</v>
      </c>
      <c r="C60" s="256"/>
      <c r="D60" s="165">
        <v>45282</v>
      </c>
      <c r="E60" s="164">
        <v>30</v>
      </c>
      <c r="F60" s="165">
        <f t="shared" si="9"/>
        <v>45312</v>
      </c>
      <c r="G60" s="164">
        <f t="shared" si="10"/>
        <v>-21</v>
      </c>
      <c r="H60" s="166">
        <f t="shared" si="12"/>
        <v>63600000</v>
      </c>
      <c r="I60" s="166"/>
      <c r="J60" s="164"/>
      <c r="K60" s="164"/>
      <c r="L60" s="164"/>
    </row>
    <row r="61" spans="1:12">
      <c r="A61" s="213" t="s">
        <v>27</v>
      </c>
      <c r="B61" s="167">
        <v>63600000</v>
      </c>
      <c r="C61" s="256"/>
      <c r="D61" s="165">
        <v>45282</v>
      </c>
      <c r="E61" s="164">
        <v>30</v>
      </c>
      <c r="F61" s="165">
        <f t="shared" si="9"/>
        <v>45312</v>
      </c>
      <c r="G61" s="164">
        <f t="shared" si="10"/>
        <v>-21</v>
      </c>
      <c r="H61" s="166">
        <f t="shared" si="12"/>
        <v>63600000</v>
      </c>
      <c r="I61" s="166"/>
      <c r="J61" s="164"/>
      <c r="K61" s="164"/>
      <c r="L61" s="164"/>
    </row>
    <row r="62" spans="1:12">
      <c r="A62" s="213" t="s">
        <v>27</v>
      </c>
      <c r="B62" s="167">
        <v>81750000</v>
      </c>
      <c r="C62" s="256"/>
      <c r="D62" s="165">
        <v>45282</v>
      </c>
      <c r="E62" s="164">
        <v>30</v>
      </c>
      <c r="F62" s="165">
        <f t="shared" si="9"/>
        <v>45312</v>
      </c>
      <c r="G62" s="164">
        <f t="shared" si="10"/>
        <v>-21</v>
      </c>
      <c r="H62" s="166">
        <f t="shared" si="12"/>
        <v>81750000</v>
      </c>
      <c r="I62" s="166"/>
      <c r="J62" s="164"/>
      <c r="K62" s="164"/>
      <c r="L62" s="164"/>
    </row>
    <row r="63" spans="1:12">
      <c r="A63" s="213" t="s">
        <v>27</v>
      </c>
      <c r="B63" s="167">
        <v>32700000</v>
      </c>
      <c r="C63" s="256"/>
      <c r="D63" s="165">
        <v>45282</v>
      </c>
      <c r="E63" s="164">
        <v>30</v>
      </c>
      <c r="F63" s="165">
        <f t="shared" si="9"/>
        <v>45312</v>
      </c>
      <c r="G63" s="164">
        <f t="shared" si="10"/>
        <v>-21</v>
      </c>
      <c r="H63" s="166">
        <f t="shared" si="12"/>
        <v>32700000</v>
      </c>
      <c r="I63" s="166"/>
      <c r="J63" s="164"/>
      <c r="K63" s="164"/>
      <c r="L63" s="164"/>
    </row>
    <row r="64" spans="1:12">
      <c r="A64" s="213" t="s">
        <v>27</v>
      </c>
      <c r="B64" s="167">
        <v>32600000</v>
      </c>
      <c r="C64" s="256"/>
      <c r="D64" s="165">
        <v>45282</v>
      </c>
      <c r="E64" s="164">
        <v>30</v>
      </c>
      <c r="F64" s="165">
        <f t="shared" si="9"/>
        <v>45312</v>
      </c>
      <c r="G64" s="164">
        <f t="shared" si="10"/>
        <v>-21</v>
      </c>
      <c r="H64" s="166">
        <f t="shared" si="12"/>
        <v>32600000</v>
      </c>
      <c r="I64" s="166"/>
      <c r="J64" s="164"/>
      <c r="K64" s="164"/>
      <c r="L64" s="164"/>
    </row>
    <row r="65" spans="1:12">
      <c r="A65" s="213"/>
      <c r="B65" s="101"/>
      <c r="C65" s="256"/>
      <c r="D65" s="165"/>
      <c r="E65" s="164"/>
      <c r="F65" s="165"/>
      <c r="G65" s="164"/>
      <c r="H65" s="166"/>
      <c r="I65" s="164"/>
      <c r="J65" s="164"/>
      <c r="K65" s="164"/>
      <c r="L65" s="164"/>
    </row>
    <row r="66" spans="1:12">
      <c r="A66" s="213" t="s">
        <v>32</v>
      </c>
      <c r="B66" s="214">
        <v>5025000</v>
      </c>
      <c r="C66" s="256"/>
      <c r="D66" s="215">
        <v>45231</v>
      </c>
      <c r="E66" s="164">
        <v>30</v>
      </c>
      <c r="F66" s="165">
        <f t="shared" si="2"/>
        <v>45261</v>
      </c>
      <c r="G66" s="164">
        <f t="shared" si="3"/>
        <v>30</v>
      </c>
      <c r="H66" s="166"/>
      <c r="I66" s="166">
        <f>B66</f>
        <v>5025000</v>
      </c>
      <c r="J66" s="164"/>
      <c r="K66" s="164"/>
      <c r="L66" s="164"/>
    </row>
    <row r="67" spans="1:12">
      <c r="A67" s="213"/>
      <c r="B67" s="101"/>
      <c r="C67" s="256"/>
      <c r="D67" s="165"/>
      <c r="E67" s="164"/>
      <c r="F67" s="165"/>
      <c r="G67" s="164"/>
      <c r="H67" s="166"/>
      <c r="I67" s="164"/>
      <c r="J67" s="164"/>
      <c r="K67" s="164"/>
      <c r="L67" s="164"/>
    </row>
    <row r="68" spans="1:12">
      <c r="A68" s="213" t="s">
        <v>35</v>
      </c>
      <c r="B68" s="258">
        <v>993450</v>
      </c>
      <c r="C68" s="256" t="s">
        <v>520</v>
      </c>
      <c r="D68" s="259">
        <v>45214</v>
      </c>
      <c r="E68" s="164">
        <v>30</v>
      </c>
      <c r="F68" s="165">
        <f t="shared" ref="F68:F107" si="13">D68+E68</f>
        <v>45244</v>
      </c>
      <c r="G68" s="164">
        <f t="shared" ref="G68:G107" si="14">$A$3-F68</f>
        <v>47</v>
      </c>
      <c r="H68" s="166"/>
      <c r="I68" s="166"/>
      <c r="J68" s="166">
        <f>B68</f>
        <v>993450</v>
      </c>
      <c r="K68" s="164"/>
      <c r="L68" s="164"/>
    </row>
    <row r="69" spans="1:12">
      <c r="A69" s="213" t="s">
        <v>35</v>
      </c>
      <c r="B69" s="258">
        <v>1554000</v>
      </c>
      <c r="C69" s="256" t="s">
        <v>521</v>
      </c>
      <c r="D69" s="259">
        <v>45218</v>
      </c>
      <c r="E69" s="164">
        <v>30</v>
      </c>
      <c r="F69" s="165">
        <f t="shared" si="13"/>
        <v>45248</v>
      </c>
      <c r="G69" s="164">
        <f t="shared" si="14"/>
        <v>43</v>
      </c>
      <c r="H69" s="166"/>
      <c r="I69" s="166"/>
      <c r="J69" s="166">
        <f t="shared" ref="J69:J71" si="15">B69</f>
        <v>1554000</v>
      </c>
      <c r="K69" s="164"/>
      <c r="L69" s="164"/>
    </row>
    <row r="70" spans="1:12">
      <c r="A70" s="213" t="s">
        <v>35</v>
      </c>
      <c r="B70" s="258">
        <v>125985</v>
      </c>
      <c r="C70" s="256" t="s">
        <v>522</v>
      </c>
      <c r="D70" s="259">
        <v>45218</v>
      </c>
      <c r="E70" s="164">
        <v>30</v>
      </c>
      <c r="F70" s="165">
        <f t="shared" si="13"/>
        <v>45248</v>
      </c>
      <c r="G70" s="164">
        <f t="shared" si="14"/>
        <v>43</v>
      </c>
      <c r="H70" s="166"/>
      <c r="I70" s="166"/>
      <c r="J70" s="166">
        <f t="shared" si="15"/>
        <v>125985</v>
      </c>
      <c r="K70" s="164"/>
      <c r="L70" s="164"/>
    </row>
    <row r="71" spans="1:12">
      <c r="A71" s="213" t="s">
        <v>35</v>
      </c>
      <c r="B71" s="258">
        <v>1554000</v>
      </c>
      <c r="C71" s="256" t="s">
        <v>523</v>
      </c>
      <c r="D71" s="259">
        <v>45218</v>
      </c>
      <c r="E71" s="164">
        <v>30</v>
      </c>
      <c r="F71" s="165">
        <f t="shared" si="13"/>
        <v>45248</v>
      </c>
      <c r="G71" s="164">
        <f t="shared" si="14"/>
        <v>43</v>
      </c>
      <c r="H71" s="166"/>
      <c r="I71" s="166"/>
      <c r="J71" s="166">
        <f t="shared" si="15"/>
        <v>1554000</v>
      </c>
      <c r="K71" s="164"/>
      <c r="L71" s="164"/>
    </row>
    <row r="72" spans="1:12">
      <c r="A72" s="213" t="s">
        <v>35</v>
      </c>
      <c r="B72" s="258">
        <v>2266620</v>
      </c>
      <c r="C72" s="256" t="s">
        <v>524</v>
      </c>
      <c r="D72" s="259">
        <v>45224</v>
      </c>
      <c r="E72" s="164">
        <v>30</v>
      </c>
      <c r="F72" s="165">
        <f t="shared" si="13"/>
        <v>45254</v>
      </c>
      <c r="G72" s="164">
        <f t="shared" si="14"/>
        <v>37</v>
      </c>
      <c r="H72" s="166"/>
      <c r="I72" s="166"/>
      <c r="J72" s="166">
        <f>B72</f>
        <v>2266620</v>
      </c>
      <c r="K72" s="164"/>
      <c r="L72" s="164"/>
    </row>
    <row r="73" spans="1:12">
      <c r="A73" s="213" t="s">
        <v>35</v>
      </c>
      <c r="B73" s="258">
        <v>2620266</v>
      </c>
      <c r="C73" s="256" t="s">
        <v>525</v>
      </c>
      <c r="D73" s="259">
        <v>45142</v>
      </c>
      <c r="E73" s="164">
        <v>30</v>
      </c>
      <c r="F73" s="165">
        <f t="shared" si="13"/>
        <v>45172</v>
      </c>
      <c r="G73" s="164">
        <f t="shared" si="14"/>
        <v>119</v>
      </c>
      <c r="H73" s="166"/>
      <c r="I73" s="166"/>
      <c r="J73" s="164"/>
      <c r="K73" s="164"/>
      <c r="L73" s="166">
        <f>B73</f>
        <v>2620266</v>
      </c>
    </row>
    <row r="74" spans="1:12">
      <c r="A74" s="213" t="s">
        <v>35</v>
      </c>
      <c r="B74" s="258">
        <v>199800</v>
      </c>
      <c r="C74" s="256" t="s">
        <v>526</v>
      </c>
      <c r="D74" s="259">
        <v>45149</v>
      </c>
      <c r="E74" s="164">
        <v>30</v>
      </c>
      <c r="F74" s="165">
        <f t="shared" si="13"/>
        <v>45179</v>
      </c>
      <c r="G74" s="164">
        <f t="shared" si="14"/>
        <v>112</v>
      </c>
      <c r="H74" s="166"/>
      <c r="I74" s="166"/>
      <c r="J74" s="164"/>
      <c r="K74" s="164"/>
      <c r="L74" s="166">
        <f t="shared" ref="L74:L79" si="16">B74</f>
        <v>199800</v>
      </c>
    </row>
    <row r="75" spans="1:12">
      <c r="A75" s="213" t="s">
        <v>35</v>
      </c>
      <c r="B75" s="258">
        <v>652680</v>
      </c>
      <c r="C75" s="256" t="s">
        <v>527</v>
      </c>
      <c r="D75" s="259">
        <v>45149</v>
      </c>
      <c r="E75" s="164">
        <v>30</v>
      </c>
      <c r="F75" s="165">
        <f t="shared" si="13"/>
        <v>45179</v>
      </c>
      <c r="G75" s="164">
        <f t="shared" si="14"/>
        <v>112</v>
      </c>
      <c r="H75" s="166"/>
      <c r="I75" s="166"/>
      <c r="J75" s="164"/>
      <c r="K75" s="164"/>
      <c r="L75" s="166">
        <f t="shared" si="16"/>
        <v>652680</v>
      </c>
    </row>
    <row r="76" spans="1:12">
      <c r="A76" s="213" t="s">
        <v>35</v>
      </c>
      <c r="B76" s="258">
        <v>691530</v>
      </c>
      <c r="C76" s="256" t="s">
        <v>528</v>
      </c>
      <c r="D76" s="259">
        <v>45151</v>
      </c>
      <c r="E76" s="164">
        <v>30</v>
      </c>
      <c r="F76" s="165">
        <f t="shared" si="13"/>
        <v>45181</v>
      </c>
      <c r="G76" s="164">
        <f t="shared" si="14"/>
        <v>110</v>
      </c>
      <c r="H76" s="166"/>
      <c r="I76" s="166"/>
      <c r="J76" s="164"/>
      <c r="K76" s="164"/>
      <c r="L76" s="166">
        <f t="shared" si="16"/>
        <v>691530</v>
      </c>
    </row>
    <row r="77" spans="1:12">
      <c r="A77" s="213" t="s">
        <v>35</v>
      </c>
      <c r="B77" s="258">
        <v>55500</v>
      </c>
      <c r="C77" s="256" t="s">
        <v>529</v>
      </c>
      <c r="D77" s="259">
        <v>45155</v>
      </c>
      <c r="E77" s="164">
        <v>30</v>
      </c>
      <c r="F77" s="165">
        <f t="shared" si="13"/>
        <v>45185</v>
      </c>
      <c r="G77" s="164">
        <f t="shared" si="14"/>
        <v>106</v>
      </c>
      <c r="H77" s="166"/>
      <c r="I77" s="166"/>
      <c r="J77" s="164"/>
      <c r="K77" s="164"/>
      <c r="L77" s="166">
        <f t="shared" si="16"/>
        <v>55500</v>
      </c>
    </row>
    <row r="78" spans="1:12">
      <c r="A78" s="213" t="s">
        <v>35</v>
      </c>
      <c r="B78" s="258">
        <v>260850</v>
      </c>
      <c r="C78" s="256" t="s">
        <v>530</v>
      </c>
      <c r="D78" s="259">
        <v>45155</v>
      </c>
      <c r="E78" s="164">
        <v>30</v>
      </c>
      <c r="F78" s="165">
        <f t="shared" si="13"/>
        <v>45185</v>
      </c>
      <c r="G78" s="164">
        <f t="shared" si="14"/>
        <v>106</v>
      </c>
      <c r="H78" s="166"/>
      <c r="I78" s="166"/>
      <c r="J78" s="164"/>
      <c r="K78" s="164"/>
      <c r="L78" s="166">
        <f t="shared" si="16"/>
        <v>260850</v>
      </c>
    </row>
    <row r="79" spans="1:12">
      <c r="A79" s="213" t="s">
        <v>35</v>
      </c>
      <c r="B79" s="258">
        <v>840270</v>
      </c>
      <c r="C79" s="256" t="s">
        <v>531</v>
      </c>
      <c r="D79" s="259">
        <v>45158</v>
      </c>
      <c r="E79" s="164">
        <v>30</v>
      </c>
      <c r="F79" s="165">
        <f t="shared" si="13"/>
        <v>45188</v>
      </c>
      <c r="G79" s="164">
        <f t="shared" si="14"/>
        <v>103</v>
      </c>
      <c r="H79" s="166"/>
      <c r="I79" s="166"/>
      <c r="J79" s="164"/>
      <c r="K79" s="164"/>
      <c r="L79" s="166">
        <f t="shared" si="16"/>
        <v>840270</v>
      </c>
    </row>
    <row r="80" spans="1:12">
      <c r="A80" s="213" t="s">
        <v>35</v>
      </c>
      <c r="B80" s="258">
        <v>1820400</v>
      </c>
      <c r="C80" s="256" t="s">
        <v>532</v>
      </c>
      <c r="D80" s="259">
        <v>45234</v>
      </c>
      <c r="E80" s="164">
        <v>30</v>
      </c>
      <c r="F80" s="165">
        <f t="shared" si="13"/>
        <v>45264</v>
      </c>
      <c r="G80" s="164">
        <f t="shared" si="14"/>
        <v>27</v>
      </c>
      <c r="H80" s="166"/>
      <c r="I80" s="166">
        <f>B80</f>
        <v>1820400</v>
      </c>
      <c r="J80" s="164"/>
      <c r="K80" s="164"/>
      <c r="L80" s="164"/>
    </row>
    <row r="81" spans="1:12">
      <c r="A81" s="213" t="s">
        <v>35</v>
      </c>
      <c r="B81" s="258">
        <v>1176600</v>
      </c>
      <c r="C81" s="256" t="s">
        <v>533</v>
      </c>
      <c r="D81" s="259">
        <v>45236</v>
      </c>
      <c r="E81" s="164">
        <v>30</v>
      </c>
      <c r="F81" s="165">
        <f t="shared" si="13"/>
        <v>45266</v>
      </c>
      <c r="G81" s="164">
        <f t="shared" si="14"/>
        <v>25</v>
      </c>
      <c r="H81" s="166"/>
      <c r="I81" s="166">
        <f t="shared" ref="I81:I84" si="17">B81</f>
        <v>1176600</v>
      </c>
      <c r="J81" s="164"/>
      <c r="K81" s="164"/>
      <c r="L81" s="164"/>
    </row>
    <row r="82" spans="1:12">
      <c r="A82" s="213" t="s">
        <v>35</v>
      </c>
      <c r="B82" s="258">
        <v>793650</v>
      </c>
      <c r="C82" s="256" t="s">
        <v>534</v>
      </c>
      <c r="D82" s="259">
        <v>45240</v>
      </c>
      <c r="E82" s="164">
        <v>30</v>
      </c>
      <c r="F82" s="165">
        <f t="shared" si="13"/>
        <v>45270</v>
      </c>
      <c r="G82" s="164">
        <f t="shared" si="14"/>
        <v>21</v>
      </c>
      <c r="H82" s="166"/>
      <c r="I82" s="166">
        <f t="shared" si="17"/>
        <v>793650</v>
      </c>
      <c r="J82" s="164"/>
      <c r="K82" s="164"/>
      <c r="L82" s="164"/>
    </row>
    <row r="83" spans="1:12">
      <c r="A83" s="213" t="s">
        <v>35</v>
      </c>
      <c r="B83" s="258">
        <v>222000</v>
      </c>
      <c r="C83" s="256" t="s">
        <v>535</v>
      </c>
      <c r="D83" s="259">
        <v>45246</v>
      </c>
      <c r="E83" s="164">
        <v>30</v>
      </c>
      <c r="F83" s="165">
        <f t="shared" si="13"/>
        <v>45276</v>
      </c>
      <c r="G83" s="164">
        <f t="shared" si="14"/>
        <v>15</v>
      </c>
      <c r="H83" s="166"/>
      <c r="I83" s="166">
        <f t="shared" si="17"/>
        <v>222000</v>
      </c>
      <c r="J83" s="164"/>
      <c r="K83" s="164"/>
      <c r="L83" s="164"/>
    </row>
    <row r="84" spans="1:12">
      <c r="A84" s="213" t="s">
        <v>35</v>
      </c>
      <c r="B84" s="258">
        <v>649350</v>
      </c>
      <c r="C84" s="256" t="s">
        <v>536</v>
      </c>
      <c r="D84" s="259">
        <v>45250</v>
      </c>
      <c r="E84" s="164">
        <v>30</v>
      </c>
      <c r="F84" s="165">
        <f t="shared" si="13"/>
        <v>45280</v>
      </c>
      <c r="G84" s="164">
        <f t="shared" si="14"/>
        <v>11</v>
      </c>
      <c r="H84" s="166"/>
      <c r="I84" s="166">
        <f t="shared" si="17"/>
        <v>649350</v>
      </c>
      <c r="J84" s="164"/>
      <c r="K84" s="164"/>
      <c r="L84" s="164"/>
    </row>
    <row r="85" spans="1:12">
      <c r="A85" s="213" t="s">
        <v>35</v>
      </c>
      <c r="B85" s="258">
        <v>1277832</v>
      </c>
      <c r="C85" s="256" t="s">
        <v>537</v>
      </c>
      <c r="D85" s="259">
        <v>45201</v>
      </c>
      <c r="E85" s="164">
        <v>30</v>
      </c>
      <c r="F85" s="165">
        <f t="shared" si="13"/>
        <v>45231</v>
      </c>
      <c r="G85" s="164">
        <f t="shared" si="14"/>
        <v>60</v>
      </c>
      <c r="H85" s="166"/>
      <c r="I85" s="166"/>
      <c r="J85" s="166">
        <f>B85</f>
        <v>1277832</v>
      </c>
      <c r="K85" s="164"/>
      <c r="L85" s="164"/>
    </row>
    <row r="86" spans="1:12">
      <c r="A86" s="213" t="s">
        <v>35</v>
      </c>
      <c r="B86" s="258">
        <v>382950</v>
      </c>
      <c r="C86" s="256" t="s">
        <v>538</v>
      </c>
      <c r="D86" s="259">
        <v>45203</v>
      </c>
      <c r="E86" s="164">
        <v>30</v>
      </c>
      <c r="F86" s="165">
        <f t="shared" si="13"/>
        <v>45233</v>
      </c>
      <c r="G86" s="164">
        <f t="shared" si="14"/>
        <v>58</v>
      </c>
      <c r="H86" s="166"/>
      <c r="I86" s="166"/>
      <c r="J86" s="166">
        <f t="shared" ref="J86:J89" si="18">B86</f>
        <v>382950</v>
      </c>
      <c r="K86" s="164"/>
      <c r="L86" s="164"/>
    </row>
    <row r="87" spans="1:12">
      <c r="A87" s="213" t="s">
        <v>35</v>
      </c>
      <c r="B87" s="258">
        <v>566100</v>
      </c>
      <c r="C87" s="256" t="s">
        <v>539</v>
      </c>
      <c r="D87" s="259">
        <v>45204</v>
      </c>
      <c r="E87" s="164">
        <v>30</v>
      </c>
      <c r="F87" s="165">
        <f t="shared" si="13"/>
        <v>45234</v>
      </c>
      <c r="G87" s="164">
        <f t="shared" si="14"/>
        <v>57</v>
      </c>
      <c r="H87" s="166"/>
      <c r="I87" s="166"/>
      <c r="J87" s="166">
        <f t="shared" si="18"/>
        <v>566100</v>
      </c>
      <c r="K87" s="164"/>
      <c r="L87" s="164"/>
    </row>
    <row r="88" spans="1:12">
      <c r="A88" s="213" t="s">
        <v>35</v>
      </c>
      <c r="B88" s="258">
        <v>555000</v>
      </c>
      <c r="C88" s="256" t="s">
        <v>540</v>
      </c>
      <c r="D88" s="259">
        <v>45211</v>
      </c>
      <c r="E88" s="164">
        <v>30</v>
      </c>
      <c r="F88" s="165">
        <f t="shared" si="13"/>
        <v>45241</v>
      </c>
      <c r="G88" s="164">
        <f t="shared" si="14"/>
        <v>50</v>
      </c>
      <c r="H88" s="166"/>
      <c r="I88" s="166"/>
      <c r="J88" s="166">
        <f t="shared" si="18"/>
        <v>555000</v>
      </c>
      <c r="K88" s="164"/>
      <c r="L88" s="164"/>
    </row>
    <row r="89" spans="1:12">
      <c r="A89" s="213" t="s">
        <v>35</v>
      </c>
      <c r="B89" s="258">
        <v>177600</v>
      </c>
      <c r="C89" s="256" t="s">
        <v>541</v>
      </c>
      <c r="D89" s="259">
        <v>45224</v>
      </c>
      <c r="E89" s="164">
        <v>30</v>
      </c>
      <c r="F89" s="165">
        <f t="shared" si="13"/>
        <v>45254</v>
      </c>
      <c r="G89" s="164">
        <f t="shared" si="14"/>
        <v>37</v>
      </c>
      <c r="H89" s="166"/>
      <c r="I89" s="166"/>
      <c r="J89" s="166">
        <f t="shared" si="18"/>
        <v>177600</v>
      </c>
      <c r="K89" s="164"/>
      <c r="L89" s="164"/>
    </row>
    <row r="90" spans="1:12">
      <c r="A90" s="213" t="s">
        <v>35</v>
      </c>
      <c r="B90" s="258">
        <v>1669440</v>
      </c>
      <c r="C90" s="256" t="s">
        <v>542</v>
      </c>
      <c r="D90" s="259">
        <v>45142</v>
      </c>
      <c r="E90" s="164">
        <v>30</v>
      </c>
      <c r="F90" s="165">
        <f t="shared" si="13"/>
        <v>45172</v>
      </c>
      <c r="G90" s="164">
        <f t="shared" si="14"/>
        <v>119</v>
      </c>
      <c r="H90" s="166"/>
      <c r="I90" s="166"/>
      <c r="J90" s="164"/>
      <c r="K90" s="164"/>
      <c r="L90" s="166">
        <f>B90</f>
        <v>1669440</v>
      </c>
    </row>
    <row r="91" spans="1:12">
      <c r="A91" s="213" t="s">
        <v>35</v>
      </c>
      <c r="B91" s="258">
        <v>954600</v>
      </c>
      <c r="C91" s="256" t="s">
        <v>543</v>
      </c>
      <c r="D91" s="259">
        <v>45149</v>
      </c>
      <c r="E91" s="164">
        <v>30</v>
      </c>
      <c r="F91" s="165">
        <f t="shared" si="13"/>
        <v>45179</v>
      </c>
      <c r="G91" s="164">
        <f t="shared" si="14"/>
        <v>112</v>
      </c>
      <c r="H91" s="166"/>
      <c r="I91" s="166"/>
      <c r="J91" s="164"/>
      <c r="K91" s="164"/>
      <c r="L91" s="166">
        <f>B91</f>
        <v>954600</v>
      </c>
    </row>
    <row r="92" spans="1:12">
      <c r="A92" s="213" t="s">
        <v>35</v>
      </c>
      <c r="B92" s="258">
        <v>705960</v>
      </c>
      <c r="C92" s="256" t="s">
        <v>544</v>
      </c>
      <c r="D92" s="259">
        <v>45246</v>
      </c>
      <c r="E92" s="164">
        <v>30</v>
      </c>
      <c r="F92" s="165">
        <f t="shared" si="13"/>
        <v>45276</v>
      </c>
      <c r="G92" s="164">
        <f t="shared" si="14"/>
        <v>15</v>
      </c>
      <c r="H92" s="166"/>
      <c r="I92" s="166">
        <f>B92</f>
        <v>705960</v>
      </c>
      <c r="J92" s="164"/>
      <c r="K92" s="164"/>
      <c r="L92" s="164"/>
    </row>
    <row r="93" spans="1:12">
      <c r="A93" s="213" t="s">
        <v>35</v>
      </c>
      <c r="B93" s="258">
        <v>7525800</v>
      </c>
      <c r="C93" s="256">
        <v>2311339</v>
      </c>
      <c r="D93" s="259">
        <v>45239</v>
      </c>
      <c r="E93" s="164">
        <v>30</v>
      </c>
      <c r="F93" s="165">
        <f t="shared" si="13"/>
        <v>45269</v>
      </c>
      <c r="G93" s="164">
        <f t="shared" si="14"/>
        <v>22</v>
      </c>
      <c r="H93" s="166"/>
      <c r="I93" s="166">
        <f>B93</f>
        <v>7525800</v>
      </c>
      <c r="J93" s="164"/>
      <c r="K93" s="164"/>
      <c r="L93" s="164"/>
    </row>
    <row r="94" spans="1:12">
      <c r="A94" s="213" t="s">
        <v>35</v>
      </c>
      <c r="B94" s="258">
        <v>4329000</v>
      </c>
      <c r="C94" s="256">
        <v>2308249</v>
      </c>
      <c r="D94" s="259">
        <v>45153</v>
      </c>
      <c r="E94" s="164">
        <v>30</v>
      </c>
      <c r="F94" s="165">
        <f t="shared" si="13"/>
        <v>45183</v>
      </c>
      <c r="G94" s="164">
        <f t="shared" si="14"/>
        <v>108</v>
      </c>
      <c r="H94" s="166"/>
      <c r="I94" s="166"/>
      <c r="J94" s="164"/>
      <c r="K94" s="164"/>
      <c r="L94" s="166">
        <f>B94</f>
        <v>4329000</v>
      </c>
    </row>
    <row r="95" spans="1:12">
      <c r="A95" s="213" t="s">
        <v>35</v>
      </c>
      <c r="B95" s="258">
        <v>3829500</v>
      </c>
      <c r="C95" s="256">
        <v>2308250</v>
      </c>
      <c r="D95" s="259">
        <v>45153</v>
      </c>
      <c r="E95" s="164">
        <v>30</v>
      </c>
      <c r="F95" s="165">
        <f t="shared" si="13"/>
        <v>45183</v>
      </c>
      <c r="G95" s="164">
        <f t="shared" si="14"/>
        <v>108</v>
      </c>
      <c r="H95" s="166"/>
      <c r="I95" s="166"/>
      <c r="J95" s="164"/>
      <c r="K95" s="164"/>
      <c r="L95" s="166">
        <f>B95</f>
        <v>3829500</v>
      </c>
    </row>
    <row r="96" spans="1:12">
      <c r="A96" s="213" t="s">
        <v>35</v>
      </c>
      <c r="B96" s="258">
        <v>3762900</v>
      </c>
      <c r="C96" s="256">
        <v>2308246</v>
      </c>
      <c r="D96" s="259">
        <v>45149</v>
      </c>
      <c r="E96" s="164">
        <v>30</v>
      </c>
      <c r="F96" s="165">
        <f t="shared" si="13"/>
        <v>45179</v>
      </c>
      <c r="G96" s="164">
        <f t="shared" si="14"/>
        <v>112</v>
      </c>
      <c r="H96" s="166"/>
      <c r="I96" s="166"/>
      <c r="J96" s="164"/>
      <c r="K96" s="164"/>
      <c r="L96" s="166">
        <f>B96</f>
        <v>3762900</v>
      </c>
    </row>
    <row r="97" spans="1:12">
      <c r="A97" s="213" t="s">
        <v>35</v>
      </c>
      <c r="B97" s="258">
        <v>2596290</v>
      </c>
      <c r="C97" s="256">
        <v>2311338</v>
      </c>
      <c r="D97" s="259">
        <v>45225</v>
      </c>
      <c r="E97" s="164">
        <v>30</v>
      </c>
      <c r="F97" s="165">
        <f t="shared" si="13"/>
        <v>45255</v>
      </c>
      <c r="G97" s="164">
        <f t="shared" si="14"/>
        <v>36</v>
      </c>
      <c r="H97" s="166"/>
      <c r="I97" s="166"/>
      <c r="J97" s="166">
        <f>B97</f>
        <v>2596290</v>
      </c>
      <c r="K97" s="164"/>
      <c r="L97" s="166"/>
    </row>
    <row r="98" spans="1:12">
      <c r="A98" s="213" t="s">
        <v>35</v>
      </c>
      <c r="B98" s="258">
        <v>2257740</v>
      </c>
      <c r="C98" s="256" t="s">
        <v>545</v>
      </c>
      <c r="D98" s="259">
        <v>45194</v>
      </c>
      <c r="E98" s="164">
        <v>30</v>
      </c>
      <c r="F98" s="165">
        <f t="shared" si="13"/>
        <v>45224</v>
      </c>
      <c r="G98" s="164">
        <f t="shared" si="14"/>
        <v>67</v>
      </c>
      <c r="H98" s="166"/>
      <c r="I98" s="166"/>
      <c r="J98" s="164"/>
      <c r="K98" s="166">
        <f>B98</f>
        <v>2257740</v>
      </c>
      <c r="L98" s="164"/>
    </row>
    <row r="99" spans="1:12">
      <c r="A99" s="213" t="s">
        <v>35</v>
      </c>
      <c r="B99" s="258">
        <v>2114550</v>
      </c>
      <c r="C99" s="256">
        <v>2308247</v>
      </c>
      <c r="D99" s="259">
        <v>45149</v>
      </c>
      <c r="E99" s="164">
        <v>30</v>
      </c>
      <c r="F99" s="165">
        <f t="shared" si="13"/>
        <v>45179</v>
      </c>
      <c r="G99" s="164">
        <f t="shared" si="14"/>
        <v>112</v>
      </c>
      <c r="H99" s="166"/>
      <c r="I99" s="166"/>
      <c r="J99" s="164"/>
      <c r="K99" s="164"/>
      <c r="L99" s="166">
        <f>B99</f>
        <v>2114550</v>
      </c>
    </row>
    <row r="100" spans="1:12">
      <c r="A100" s="213" t="s">
        <v>35</v>
      </c>
      <c r="B100" s="258">
        <v>2097900</v>
      </c>
      <c r="C100" s="256" t="s">
        <v>546</v>
      </c>
      <c r="D100" s="259">
        <v>45194</v>
      </c>
      <c r="E100" s="164">
        <v>30</v>
      </c>
      <c r="F100" s="165">
        <f t="shared" si="13"/>
        <v>45224</v>
      </c>
      <c r="G100" s="164">
        <f t="shared" si="14"/>
        <v>67</v>
      </c>
      <c r="H100" s="166"/>
      <c r="I100" s="166"/>
      <c r="J100" s="164"/>
      <c r="K100" s="166">
        <f>B100</f>
        <v>2097900</v>
      </c>
      <c r="L100" s="164"/>
    </row>
    <row r="101" spans="1:12">
      <c r="A101" s="213" t="s">
        <v>35</v>
      </c>
      <c r="B101" s="258">
        <v>1881450</v>
      </c>
      <c r="C101" s="256">
        <v>2309328</v>
      </c>
      <c r="D101" s="259">
        <v>45166</v>
      </c>
      <c r="E101" s="164">
        <v>30</v>
      </c>
      <c r="F101" s="165">
        <f t="shared" si="13"/>
        <v>45196</v>
      </c>
      <c r="G101" s="164">
        <f t="shared" si="14"/>
        <v>95</v>
      </c>
      <c r="H101" s="166"/>
      <c r="I101" s="166"/>
      <c r="J101" s="164"/>
      <c r="K101" s="164"/>
      <c r="L101" s="166">
        <f>B101</f>
        <v>1881450</v>
      </c>
    </row>
    <row r="102" spans="1:12">
      <c r="A102" s="213" t="s">
        <v>35</v>
      </c>
      <c r="B102" s="258">
        <v>1881450</v>
      </c>
      <c r="C102" s="256">
        <v>2310408</v>
      </c>
      <c r="D102" s="259">
        <v>45215</v>
      </c>
      <c r="E102" s="164">
        <v>30</v>
      </c>
      <c r="F102" s="165">
        <f t="shared" si="13"/>
        <v>45245</v>
      </c>
      <c r="G102" s="164">
        <f t="shared" si="14"/>
        <v>46</v>
      </c>
      <c r="H102" s="166"/>
      <c r="I102" s="166"/>
      <c r="J102" s="166">
        <f>B102</f>
        <v>1881450</v>
      </c>
      <c r="K102" s="164"/>
      <c r="L102" s="164"/>
    </row>
    <row r="103" spans="1:12">
      <c r="A103" s="213" t="s">
        <v>35</v>
      </c>
      <c r="B103" s="258">
        <v>1293150</v>
      </c>
      <c r="C103" s="256">
        <v>2309329</v>
      </c>
      <c r="D103" s="259">
        <v>45167</v>
      </c>
      <c r="E103" s="164">
        <v>30</v>
      </c>
      <c r="F103" s="165">
        <f t="shared" si="13"/>
        <v>45197</v>
      </c>
      <c r="G103" s="164">
        <f t="shared" si="14"/>
        <v>94</v>
      </c>
      <c r="H103" s="166"/>
      <c r="I103" s="166"/>
      <c r="J103" s="164"/>
      <c r="K103" s="164"/>
      <c r="L103" s="166">
        <f>B103</f>
        <v>1293150</v>
      </c>
    </row>
    <row r="104" spans="1:12">
      <c r="A104" s="213" t="s">
        <v>35</v>
      </c>
      <c r="B104" s="258">
        <v>1094460</v>
      </c>
      <c r="C104" s="256">
        <v>2310411</v>
      </c>
      <c r="D104" s="259">
        <v>45203</v>
      </c>
      <c r="E104" s="164">
        <v>30</v>
      </c>
      <c r="F104" s="165">
        <f t="shared" si="13"/>
        <v>45233</v>
      </c>
      <c r="G104" s="164">
        <f t="shared" si="14"/>
        <v>58</v>
      </c>
      <c r="H104" s="166"/>
      <c r="I104" s="166"/>
      <c r="J104" s="166">
        <f>B104</f>
        <v>1094460</v>
      </c>
      <c r="K104" s="164"/>
      <c r="L104" s="164"/>
    </row>
    <row r="105" spans="1:12">
      <c r="A105" s="213" t="s">
        <v>35</v>
      </c>
      <c r="B105" s="258">
        <v>638250</v>
      </c>
      <c r="C105" s="256">
        <v>2308245</v>
      </c>
      <c r="D105" s="259">
        <v>45146</v>
      </c>
      <c r="E105" s="164">
        <v>30</v>
      </c>
      <c r="F105" s="165">
        <f t="shared" si="13"/>
        <v>45176</v>
      </c>
      <c r="G105" s="164">
        <f t="shared" si="14"/>
        <v>115</v>
      </c>
      <c r="H105" s="166"/>
      <c r="I105" s="166"/>
      <c r="J105" s="164"/>
      <c r="K105" s="164"/>
      <c r="L105" s="166">
        <f t="shared" ref="L105:L107" si="19">B105</f>
        <v>638250</v>
      </c>
    </row>
    <row r="106" spans="1:12">
      <c r="A106" s="213" t="s">
        <v>35</v>
      </c>
      <c r="B106" s="258">
        <v>160950</v>
      </c>
      <c r="C106" s="256" t="s">
        <v>547</v>
      </c>
      <c r="D106" s="259">
        <v>45149</v>
      </c>
      <c r="E106" s="164">
        <v>30</v>
      </c>
      <c r="F106" s="165">
        <f t="shared" si="13"/>
        <v>45179</v>
      </c>
      <c r="G106" s="164">
        <f t="shared" si="14"/>
        <v>112</v>
      </c>
      <c r="H106" s="166"/>
      <c r="I106" s="166"/>
      <c r="J106" s="164"/>
      <c r="K106" s="164"/>
      <c r="L106" s="166">
        <f t="shared" si="19"/>
        <v>160950</v>
      </c>
    </row>
    <row r="107" spans="1:12">
      <c r="A107" s="213" t="s">
        <v>35</v>
      </c>
      <c r="B107" s="258">
        <v>39763276</v>
      </c>
      <c r="C107" s="256"/>
      <c r="D107" s="260">
        <v>44927</v>
      </c>
      <c r="E107" s="164">
        <v>30</v>
      </c>
      <c r="F107" s="165">
        <f t="shared" si="13"/>
        <v>44957</v>
      </c>
      <c r="G107" s="164">
        <f t="shared" si="14"/>
        <v>334</v>
      </c>
      <c r="H107" s="166"/>
      <c r="I107" s="166"/>
      <c r="J107" s="164"/>
      <c r="K107" s="164"/>
      <c r="L107" s="166">
        <f t="shared" si="19"/>
        <v>39763276</v>
      </c>
    </row>
    <row r="108" spans="1:12">
      <c r="A108" s="213"/>
      <c r="B108" s="101"/>
      <c r="C108" s="256"/>
      <c r="D108" s="165"/>
      <c r="E108" s="164"/>
      <c r="F108" s="165"/>
      <c r="G108" s="164"/>
      <c r="H108" s="166"/>
      <c r="I108" s="164"/>
      <c r="J108" s="164"/>
      <c r="K108" s="164"/>
      <c r="L108" s="164"/>
    </row>
    <row r="109" spans="1:12">
      <c r="A109" s="213" t="s">
        <v>36</v>
      </c>
      <c r="B109" s="167">
        <v>971250</v>
      </c>
      <c r="C109" s="256" t="s">
        <v>548</v>
      </c>
      <c r="D109" s="165">
        <v>44802</v>
      </c>
      <c r="E109" s="164">
        <v>30</v>
      </c>
      <c r="F109" s="165">
        <f t="shared" si="2"/>
        <v>44832</v>
      </c>
      <c r="G109" s="164">
        <f t="shared" si="3"/>
        <v>459</v>
      </c>
      <c r="H109" s="166"/>
      <c r="I109" s="164"/>
      <c r="J109" s="164"/>
      <c r="K109" s="164"/>
      <c r="L109" s="166">
        <f>B109</f>
        <v>971250</v>
      </c>
    </row>
    <row r="110" spans="1:12">
      <c r="A110" s="213"/>
      <c r="B110" s="101"/>
      <c r="C110" s="256"/>
      <c r="D110" s="165"/>
      <c r="E110" s="164"/>
      <c r="F110" s="165"/>
      <c r="G110" s="164"/>
      <c r="H110" s="166"/>
      <c r="I110" s="164"/>
      <c r="J110" s="164"/>
      <c r="K110" s="164"/>
      <c r="L110" s="164"/>
    </row>
    <row r="111" spans="1:12">
      <c r="A111" s="213" t="s">
        <v>221</v>
      </c>
      <c r="B111" s="167">
        <v>24990000</v>
      </c>
      <c r="C111" s="256">
        <v>6</v>
      </c>
      <c r="D111" s="165">
        <v>44896</v>
      </c>
      <c r="E111" s="164">
        <v>30</v>
      </c>
      <c r="F111" s="165">
        <f t="shared" si="2"/>
        <v>44926</v>
      </c>
      <c r="G111" s="164">
        <f t="shared" si="3"/>
        <v>365</v>
      </c>
      <c r="H111" s="166"/>
      <c r="I111" s="164"/>
      <c r="J111" s="164"/>
      <c r="K111" s="164"/>
      <c r="L111" s="166">
        <f>B111</f>
        <v>24990000</v>
      </c>
    </row>
    <row r="112" spans="1:12">
      <c r="A112" s="213"/>
      <c r="B112" s="101"/>
      <c r="C112" s="256"/>
      <c r="D112" s="165"/>
      <c r="E112" s="164"/>
      <c r="F112" s="165"/>
      <c r="G112" s="164"/>
      <c r="H112" s="164"/>
      <c r="I112" s="164"/>
      <c r="J112" s="164"/>
      <c r="K112" s="166"/>
      <c r="L112" s="164"/>
    </row>
    <row r="113" spans="1:12">
      <c r="A113" s="213" t="s">
        <v>249</v>
      </c>
      <c r="B113" s="167">
        <v>75000000</v>
      </c>
      <c r="C113" s="261">
        <v>100122358883636</v>
      </c>
      <c r="D113" s="165">
        <v>45177</v>
      </c>
      <c r="E113" s="164">
        <v>30</v>
      </c>
      <c r="F113" s="165">
        <f t="shared" si="2"/>
        <v>45207</v>
      </c>
      <c r="G113" s="164">
        <f t="shared" si="3"/>
        <v>84</v>
      </c>
      <c r="H113" s="166"/>
      <c r="I113" s="164"/>
      <c r="J113" s="166"/>
      <c r="K113" s="164"/>
      <c r="L113" s="166">
        <f>B113</f>
        <v>75000000</v>
      </c>
    </row>
    <row r="114" spans="1:12">
      <c r="A114" s="213"/>
      <c r="B114" s="101"/>
      <c r="C114" s="256"/>
      <c r="D114" s="165"/>
      <c r="E114" s="164"/>
      <c r="F114" s="165"/>
      <c r="G114" s="164"/>
      <c r="H114" s="164"/>
      <c r="I114" s="164"/>
      <c r="J114" s="166"/>
      <c r="K114" s="164"/>
      <c r="L114" s="164"/>
    </row>
    <row r="115" spans="1:12">
      <c r="A115" s="213" t="s">
        <v>235</v>
      </c>
      <c r="B115" s="167">
        <v>116369995</v>
      </c>
      <c r="C115" s="256" t="s">
        <v>549</v>
      </c>
      <c r="D115" s="165">
        <v>45265</v>
      </c>
      <c r="E115" s="164">
        <v>30</v>
      </c>
      <c r="F115" s="165">
        <f t="shared" si="2"/>
        <v>45295</v>
      </c>
      <c r="G115" s="164">
        <f t="shared" si="3"/>
        <v>-4</v>
      </c>
      <c r="H115" s="166">
        <f>B115</f>
        <v>116369995</v>
      </c>
      <c r="I115" s="164"/>
      <c r="J115" s="164"/>
      <c r="K115" s="166"/>
      <c r="L115" s="164"/>
    </row>
    <row r="116" spans="1:12">
      <c r="A116" s="213"/>
      <c r="B116" s="101"/>
      <c r="C116" s="256"/>
      <c r="D116" s="165"/>
      <c r="E116" s="164"/>
      <c r="F116" s="165"/>
      <c r="G116" s="164"/>
      <c r="H116" s="164"/>
      <c r="I116" s="164"/>
      <c r="J116" s="164"/>
      <c r="K116" s="166"/>
      <c r="L116" s="164"/>
    </row>
    <row r="117" spans="1:12">
      <c r="A117" s="213" t="s">
        <v>250</v>
      </c>
      <c r="B117" s="167">
        <v>29249998.489999771</v>
      </c>
      <c r="C117" s="256" t="s">
        <v>550</v>
      </c>
      <c r="D117" s="165">
        <v>45280</v>
      </c>
      <c r="E117" s="164">
        <v>30</v>
      </c>
      <c r="F117" s="165">
        <f t="shared" si="2"/>
        <v>45310</v>
      </c>
      <c r="G117" s="164">
        <f t="shared" si="3"/>
        <v>-19</v>
      </c>
      <c r="H117" s="166">
        <f>B117</f>
        <v>29249998.489999771</v>
      </c>
      <c r="I117" s="166"/>
      <c r="J117" s="164"/>
      <c r="K117" s="164"/>
      <c r="L117" s="164"/>
    </row>
    <row r="118" spans="1:12">
      <c r="A118" s="213"/>
      <c r="B118" s="101"/>
      <c r="C118" s="256"/>
      <c r="D118" s="165"/>
      <c r="E118" s="164"/>
      <c r="F118" s="165"/>
      <c r="G118" s="164"/>
      <c r="H118" s="164"/>
      <c r="I118" s="166"/>
      <c r="J118" s="164"/>
      <c r="K118" s="164"/>
      <c r="L118" s="164"/>
    </row>
    <row r="119" spans="1:12">
      <c r="A119" s="213" t="s">
        <v>278</v>
      </c>
      <c r="B119" s="167">
        <v>19068210</v>
      </c>
      <c r="C119" s="256">
        <v>10116</v>
      </c>
      <c r="D119" s="165">
        <v>45244</v>
      </c>
      <c r="E119" s="164">
        <v>30</v>
      </c>
      <c r="F119" s="165">
        <f t="shared" si="2"/>
        <v>45274</v>
      </c>
      <c r="G119" s="164">
        <f t="shared" si="3"/>
        <v>17</v>
      </c>
      <c r="H119" s="164"/>
      <c r="I119" s="166">
        <f>B119</f>
        <v>19068210</v>
      </c>
      <c r="J119" s="164"/>
      <c r="K119" s="164"/>
      <c r="L119" s="164"/>
    </row>
    <row r="120" spans="1:12">
      <c r="A120" s="213"/>
      <c r="B120" s="101"/>
      <c r="C120" s="256"/>
      <c r="D120" s="165"/>
      <c r="E120" s="164"/>
      <c r="F120" s="165"/>
      <c r="G120" s="164"/>
      <c r="H120" s="164"/>
      <c r="I120" s="166"/>
      <c r="J120" s="164"/>
      <c r="K120" s="164"/>
      <c r="L120" s="164"/>
    </row>
    <row r="121" spans="1:12">
      <c r="A121" s="163" t="s">
        <v>279</v>
      </c>
      <c r="B121" s="167">
        <v>49110000</v>
      </c>
      <c r="C121" s="256">
        <v>561</v>
      </c>
      <c r="D121" s="165">
        <v>45258</v>
      </c>
      <c r="E121" s="164">
        <v>30</v>
      </c>
      <c r="F121" s="165">
        <f t="shared" ref="F121:F123" si="20">D121+E121</f>
        <v>45288</v>
      </c>
      <c r="G121" s="164">
        <f t="shared" ref="G121:G123" si="21">$A$3-F121</f>
        <v>3</v>
      </c>
      <c r="H121" s="166"/>
      <c r="I121" s="166">
        <f>B121</f>
        <v>49110000</v>
      </c>
      <c r="J121" s="164"/>
      <c r="K121" s="164"/>
      <c r="L121" s="164"/>
    </row>
    <row r="122" spans="1:12">
      <c r="A122" s="163" t="s">
        <v>279</v>
      </c>
      <c r="B122" s="167">
        <v>22150000</v>
      </c>
      <c r="C122" s="256" t="s">
        <v>551</v>
      </c>
      <c r="D122" s="165">
        <v>45280</v>
      </c>
      <c r="E122" s="164">
        <v>30</v>
      </c>
      <c r="F122" s="165">
        <f t="shared" si="20"/>
        <v>45310</v>
      </c>
      <c r="G122" s="164">
        <f t="shared" si="21"/>
        <v>-19</v>
      </c>
      <c r="H122" s="166">
        <f>B122</f>
        <v>22150000</v>
      </c>
      <c r="I122" s="164"/>
      <c r="J122" s="164"/>
      <c r="K122" s="164"/>
      <c r="L122" s="164"/>
    </row>
    <row r="123" spans="1:12">
      <c r="A123" s="163" t="s">
        <v>279</v>
      </c>
      <c r="B123" s="167">
        <v>22150000</v>
      </c>
      <c r="C123" s="256">
        <v>562</v>
      </c>
      <c r="D123" s="165">
        <v>45288</v>
      </c>
      <c r="E123" s="164">
        <v>30</v>
      </c>
      <c r="F123" s="165">
        <f t="shared" si="20"/>
        <v>45318</v>
      </c>
      <c r="G123" s="164">
        <f t="shared" si="21"/>
        <v>-27</v>
      </c>
      <c r="H123" s="166">
        <f>B123</f>
        <v>22150000</v>
      </c>
      <c r="I123" s="164"/>
      <c r="J123" s="164"/>
      <c r="K123" s="164"/>
      <c r="L123" s="164"/>
    </row>
    <row r="124" spans="1:12">
      <c r="A124" s="163"/>
      <c r="B124" s="101"/>
      <c r="C124" s="256"/>
      <c r="D124" s="165"/>
      <c r="E124" s="164"/>
      <c r="F124" s="165"/>
      <c r="G124" s="164"/>
      <c r="H124" s="166"/>
      <c r="I124" s="164"/>
      <c r="J124" s="164"/>
      <c r="K124" s="164"/>
      <c r="L124" s="164"/>
    </row>
    <row r="125" spans="1:12">
      <c r="A125" s="163" t="s">
        <v>280</v>
      </c>
      <c r="B125" s="167">
        <v>21064800</v>
      </c>
      <c r="C125" s="256" t="s">
        <v>552</v>
      </c>
      <c r="D125" s="165">
        <v>45220</v>
      </c>
      <c r="E125" s="164">
        <v>30</v>
      </c>
      <c r="F125" s="165">
        <f t="shared" ref="F125:F126" si="22">D125+E125</f>
        <v>45250</v>
      </c>
      <c r="G125" s="164">
        <f t="shared" ref="G125:G126" si="23">$A$3-F125</f>
        <v>41</v>
      </c>
      <c r="H125" s="166"/>
      <c r="I125" s="164"/>
      <c r="J125" s="166">
        <f>B125</f>
        <v>21064800</v>
      </c>
      <c r="K125" s="164"/>
      <c r="L125" s="164"/>
    </row>
    <row r="126" spans="1:12">
      <c r="A126" s="163" t="s">
        <v>280</v>
      </c>
      <c r="B126" s="167">
        <v>22502000</v>
      </c>
      <c r="C126" s="256" t="s">
        <v>553</v>
      </c>
      <c r="D126" s="165">
        <v>45281</v>
      </c>
      <c r="E126" s="164">
        <v>30</v>
      </c>
      <c r="F126" s="165">
        <f t="shared" si="22"/>
        <v>45311</v>
      </c>
      <c r="G126" s="164">
        <f t="shared" si="23"/>
        <v>-20</v>
      </c>
      <c r="H126" s="166">
        <f>B126</f>
        <v>22502000</v>
      </c>
      <c r="I126" s="164"/>
      <c r="J126" s="164"/>
      <c r="K126" s="164"/>
      <c r="L126" s="164"/>
    </row>
    <row r="127" spans="1:12">
      <c r="A127" s="163"/>
      <c r="B127" s="101"/>
      <c r="C127" s="256"/>
      <c r="D127" s="165"/>
      <c r="E127" s="164"/>
      <c r="F127" s="165"/>
      <c r="G127" s="164"/>
      <c r="H127" s="166"/>
      <c r="I127" s="164"/>
      <c r="J127" s="164"/>
      <c r="K127" s="164"/>
      <c r="L127" s="164"/>
    </row>
    <row r="128" spans="1:12">
      <c r="A128" s="163" t="s">
        <v>281</v>
      </c>
      <c r="B128" s="167">
        <v>56870004.230000496</v>
      </c>
      <c r="C128" s="256">
        <v>501</v>
      </c>
      <c r="D128" s="165">
        <v>45270</v>
      </c>
      <c r="E128" s="164">
        <v>30</v>
      </c>
      <c r="F128" s="165">
        <f t="shared" ref="F128:F130" si="24">D128+E128</f>
        <v>45300</v>
      </c>
      <c r="G128" s="164">
        <f t="shared" ref="G128:G130" si="25">$A$3-F128</f>
        <v>-9</v>
      </c>
      <c r="H128" s="166">
        <f>B128</f>
        <v>56870004.230000496</v>
      </c>
      <c r="I128" s="164"/>
      <c r="J128" s="164"/>
      <c r="K128" s="164"/>
      <c r="L128" s="164"/>
    </row>
    <row r="129" spans="1:12">
      <c r="A129" s="163" t="s">
        <v>281</v>
      </c>
      <c r="B129" s="167">
        <v>44630000</v>
      </c>
      <c r="C129" s="256">
        <v>510</v>
      </c>
      <c r="D129" s="165">
        <v>45281</v>
      </c>
      <c r="E129" s="164">
        <v>30</v>
      </c>
      <c r="F129" s="165">
        <f t="shared" si="24"/>
        <v>45311</v>
      </c>
      <c r="G129" s="164">
        <f t="shared" si="25"/>
        <v>-20</v>
      </c>
      <c r="H129" s="166">
        <f>B129</f>
        <v>44630000</v>
      </c>
      <c r="I129" s="166"/>
      <c r="J129" s="164"/>
      <c r="K129" s="164"/>
      <c r="L129" s="164"/>
    </row>
    <row r="130" spans="1:12">
      <c r="A130" s="163" t="s">
        <v>281</v>
      </c>
      <c r="B130" s="167">
        <v>88550000</v>
      </c>
      <c r="C130" s="256">
        <v>521</v>
      </c>
      <c r="D130" s="165">
        <v>45291</v>
      </c>
      <c r="E130" s="164">
        <v>30</v>
      </c>
      <c r="F130" s="165">
        <f t="shared" si="24"/>
        <v>45321</v>
      </c>
      <c r="G130" s="164">
        <f t="shared" si="25"/>
        <v>-30</v>
      </c>
      <c r="H130" s="166">
        <f>B130</f>
        <v>88550000</v>
      </c>
      <c r="I130" s="166"/>
      <c r="J130" s="164"/>
      <c r="K130" s="164"/>
      <c r="L130" s="164"/>
    </row>
    <row r="131" spans="1:12">
      <c r="A131" s="163"/>
      <c r="B131" s="101"/>
      <c r="C131" s="256"/>
      <c r="D131" s="165"/>
      <c r="E131" s="164"/>
      <c r="F131" s="165"/>
      <c r="G131" s="164"/>
      <c r="H131" s="164"/>
      <c r="I131" s="166"/>
      <c r="J131" s="164"/>
      <c r="K131" s="164"/>
      <c r="L131" s="164"/>
    </row>
    <row r="132" spans="1:12">
      <c r="A132" s="163" t="s">
        <v>282</v>
      </c>
      <c r="B132" s="167">
        <v>2171499</v>
      </c>
      <c r="C132" s="256" t="s">
        <v>554</v>
      </c>
      <c r="D132" s="165">
        <v>45160</v>
      </c>
      <c r="E132" s="164">
        <v>30</v>
      </c>
      <c r="F132" s="165">
        <f t="shared" ref="F132:F137" si="26">D132+E132</f>
        <v>45190</v>
      </c>
      <c r="G132" s="164">
        <f t="shared" ref="G132:G137" si="27">$A$3-F132</f>
        <v>101</v>
      </c>
      <c r="H132" s="164"/>
      <c r="I132" s="166"/>
      <c r="J132" s="164"/>
      <c r="K132" s="164"/>
      <c r="L132" s="166">
        <f>B132</f>
        <v>2171499</v>
      </c>
    </row>
    <row r="133" spans="1:12">
      <c r="A133" s="163" t="s">
        <v>282</v>
      </c>
      <c r="B133" s="167">
        <v>7827500</v>
      </c>
      <c r="C133" s="256" t="s">
        <v>555</v>
      </c>
      <c r="D133" s="165">
        <v>45176</v>
      </c>
      <c r="E133" s="164">
        <v>30</v>
      </c>
      <c r="F133" s="165">
        <f t="shared" si="26"/>
        <v>45206</v>
      </c>
      <c r="G133" s="164">
        <f t="shared" si="27"/>
        <v>85</v>
      </c>
      <c r="H133" s="164"/>
      <c r="I133" s="166"/>
      <c r="J133" s="164"/>
      <c r="K133" s="166">
        <f>B133</f>
        <v>7827500</v>
      </c>
      <c r="L133" s="164"/>
    </row>
    <row r="134" spans="1:12">
      <c r="A134" s="163" t="s">
        <v>282</v>
      </c>
      <c r="B134" s="167">
        <v>11094849</v>
      </c>
      <c r="C134" s="256" t="s">
        <v>556</v>
      </c>
      <c r="D134" s="165">
        <v>45177</v>
      </c>
      <c r="E134" s="164">
        <v>30</v>
      </c>
      <c r="F134" s="165">
        <f t="shared" si="26"/>
        <v>45207</v>
      </c>
      <c r="G134" s="164">
        <f t="shared" si="27"/>
        <v>84</v>
      </c>
      <c r="H134" s="164"/>
      <c r="I134" s="166"/>
      <c r="J134" s="164"/>
      <c r="K134" s="166">
        <f>B134</f>
        <v>11094849</v>
      </c>
      <c r="L134" s="164"/>
    </row>
    <row r="135" spans="1:12">
      <c r="A135" s="163" t="s">
        <v>282</v>
      </c>
      <c r="B135" s="167">
        <v>11094849</v>
      </c>
      <c r="C135" s="256">
        <v>537</v>
      </c>
      <c r="D135" s="165">
        <v>45247</v>
      </c>
      <c r="E135" s="164">
        <v>30</v>
      </c>
      <c r="F135" s="165">
        <f t="shared" si="26"/>
        <v>45277</v>
      </c>
      <c r="G135" s="164">
        <f t="shared" si="27"/>
        <v>14</v>
      </c>
      <c r="H135" s="164"/>
      <c r="I135" s="166">
        <f>B135</f>
        <v>11094849</v>
      </c>
      <c r="J135" s="164"/>
      <c r="K135" s="164"/>
      <c r="L135" s="164"/>
    </row>
    <row r="136" spans="1:12">
      <c r="A136" s="163" t="s">
        <v>282</v>
      </c>
      <c r="B136" s="167">
        <v>11094849</v>
      </c>
      <c r="C136" s="256">
        <v>589</v>
      </c>
      <c r="D136" s="165">
        <v>45282</v>
      </c>
      <c r="E136" s="164">
        <v>30</v>
      </c>
      <c r="F136" s="165">
        <f t="shared" si="26"/>
        <v>45312</v>
      </c>
      <c r="G136" s="164">
        <f t="shared" si="27"/>
        <v>-21</v>
      </c>
      <c r="H136" s="166">
        <f>B136</f>
        <v>11094849</v>
      </c>
      <c r="I136" s="166"/>
      <c r="J136" s="164"/>
      <c r="K136" s="164"/>
      <c r="L136" s="164"/>
    </row>
    <row r="137" spans="1:12">
      <c r="A137" s="163" t="s">
        <v>282</v>
      </c>
      <c r="B137" s="167">
        <v>7051801</v>
      </c>
      <c r="C137" s="256">
        <v>389</v>
      </c>
      <c r="D137" s="165">
        <v>45273</v>
      </c>
      <c r="E137" s="164">
        <v>30</v>
      </c>
      <c r="F137" s="165">
        <f t="shared" si="26"/>
        <v>45303</v>
      </c>
      <c r="G137" s="164">
        <f t="shared" si="27"/>
        <v>-12</v>
      </c>
      <c r="H137" s="166">
        <f>B137</f>
        <v>7051801</v>
      </c>
      <c r="I137" s="166"/>
      <c r="J137" s="164"/>
      <c r="K137" s="164"/>
      <c r="L137" s="164"/>
    </row>
    <row r="138" spans="1:12">
      <c r="A138" s="163"/>
      <c r="B138" s="101"/>
      <c r="C138" s="256"/>
      <c r="D138" s="165"/>
      <c r="E138" s="164"/>
      <c r="F138" s="165"/>
      <c r="G138" s="164"/>
      <c r="H138" s="164"/>
      <c r="I138" s="166"/>
      <c r="J138" s="164"/>
      <c r="K138" s="164"/>
      <c r="L138" s="164"/>
    </row>
    <row r="139" spans="1:12">
      <c r="A139" s="213" t="s">
        <v>283</v>
      </c>
      <c r="B139" s="216">
        <v>481500</v>
      </c>
      <c r="C139" s="256" t="s">
        <v>557</v>
      </c>
      <c r="D139" s="165">
        <v>45013</v>
      </c>
      <c r="E139" s="164">
        <v>30</v>
      </c>
      <c r="F139" s="165">
        <f t="shared" ref="F139:F180" si="28">D139+E139</f>
        <v>45043</v>
      </c>
      <c r="G139" s="164">
        <f t="shared" ref="G139:G180" si="29">$A$3-F139</f>
        <v>248</v>
      </c>
      <c r="H139" s="166"/>
      <c r="I139" s="164"/>
      <c r="J139" s="164"/>
      <c r="K139" s="164"/>
      <c r="L139" s="166">
        <f t="shared" ref="L139:L161" si="30">B139</f>
        <v>481500</v>
      </c>
    </row>
    <row r="140" spans="1:12">
      <c r="A140" s="213" t="s">
        <v>283</v>
      </c>
      <c r="B140" s="216">
        <v>1625000</v>
      </c>
      <c r="C140" s="256" t="s">
        <v>558</v>
      </c>
      <c r="D140" s="165">
        <v>45055</v>
      </c>
      <c r="E140" s="164">
        <v>30</v>
      </c>
      <c r="F140" s="165">
        <f t="shared" si="28"/>
        <v>45085</v>
      </c>
      <c r="G140" s="164">
        <f t="shared" si="29"/>
        <v>206</v>
      </c>
      <c r="H140" s="166"/>
      <c r="I140" s="164"/>
      <c r="J140" s="164"/>
      <c r="K140" s="164"/>
      <c r="L140" s="166">
        <f t="shared" si="30"/>
        <v>1625000</v>
      </c>
    </row>
    <row r="141" spans="1:12">
      <c r="A141" s="213" t="s">
        <v>283</v>
      </c>
      <c r="B141" s="216">
        <v>472500</v>
      </c>
      <c r="C141" s="256" t="s">
        <v>559</v>
      </c>
      <c r="D141" s="165">
        <v>45055</v>
      </c>
      <c r="E141" s="164">
        <v>30</v>
      </c>
      <c r="F141" s="165">
        <f t="shared" si="28"/>
        <v>45085</v>
      </c>
      <c r="G141" s="164">
        <f t="shared" si="29"/>
        <v>206</v>
      </c>
      <c r="H141" s="166"/>
      <c r="I141" s="164"/>
      <c r="J141" s="164"/>
      <c r="K141" s="164"/>
      <c r="L141" s="166">
        <f t="shared" si="30"/>
        <v>472500</v>
      </c>
    </row>
    <row r="142" spans="1:12">
      <c r="A142" s="213" t="s">
        <v>283</v>
      </c>
      <c r="B142" s="216">
        <v>760000</v>
      </c>
      <c r="C142" s="256" t="s">
        <v>560</v>
      </c>
      <c r="D142" s="165">
        <v>45058</v>
      </c>
      <c r="E142" s="164">
        <v>30</v>
      </c>
      <c r="F142" s="165">
        <f t="shared" si="28"/>
        <v>45088</v>
      </c>
      <c r="G142" s="164">
        <f t="shared" si="29"/>
        <v>203</v>
      </c>
      <c r="H142" s="166"/>
      <c r="I142" s="164"/>
      <c r="J142" s="164"/>
      <c r="K142" s="164"/>
      <c r="L142" s="166">
        <f t="shared" si="30"/>
        <v>760000</v>
      </c>
    </row>
    <row r="143" spans="1:12">
      <c r="A143" s="213" t="s">
        <v>283</v>
      </c>
      <c r="B143" s="216">
        <v>190000</v>
      </c>
      <c r="C143" s="256" t="s">
        <v>561</v>
      </c>
      <c r="D143" s="165">
        <v>45062</v>
      </c>
      <c r="E143" s="164">
        <v>30</v>
      </c>
      <c r="F143" s="165">
        <f t="shared" si="28"/>
        <v>45092</v>
      </c>
      <c r="G143" s="164">
        <f t="shared" si="29"/>
        <v>199</v>
      </c>
      <c r="H143" s="166"/>
      <c r="I143" s="164"/>
      <c r="J143" s="164"/>
      <c r="K143" s="164"/>
      <c r="L143" s="166">
        <f t="shared" si="30"/>
        <v>190000</v>
      </c>
    </row>
    <row r="144" spans="1:12">
      <c r="A144" s="213" t="s">
        <v>283</v>
      </c>
      <c r="B144" s="216">
        <v>180000</v>
      </c>
      <c r="C144" s="256" t="s">
        <v>562</v>
      </c>
      <c r="D144" s="165">
        <v>45071</v>
      </c>
      <c r="E144" s="164">
        <v>30</v>
      </c>
      <c r="F144" s="165">
        <f t="shared" si="28"/>
        <v>45101</v>
      </c>
      <c r="G144" s="164">
        <f t="shared" si="29"/>
        <v>190</v>
      </c>
      <c r="H144" s="166"/>
      <c r="I144" s="164"/>
      <c r="J144" s="164"/>
      <c r="K144" s="164"/>
      <c r="L144" s="166">
        <f t="shared" si="30"/>
        <v>180000</v>
      </c>
    </row>
    <row r="145" spans="1:12">
      <c r="A145" s="213" t="s">
        <v>283</v>
      </c>
      <c r="B145" s="216">
        <v>432500</v>
      </c>
      <c r="C145" s="256" t="s">
        <v>563</v>
      </c>
      <c r="D145" s="165">
        <v>45071</v>
      </c>
      <c r="E145" s="164">
        <v>30</v>
      </c>
      <c r="F145" s="165">
        <f t="shared" si="28"/>
        <v>45101</v>
      </c>
      <c r="G145" s="164">
        <f t="shared" si="29"/>
        <v>190</v>
      </c>
      <c r="H145" s="166"/>
      <c r="I145" s="164"/>
      <c r="J145" s="164"/>
      <c r="K145" s="164"/>
      <c r="L145" s="166">
        <f t="shared" si="30"/>
        <v>432500</v>
      </c>
    </row>
    <row r="146" spans="1:12">
      <c r="A146" s="213" t="s">
        <v>283</v>
      </c>
      <c r="B146" s="216">
        <v>1183000</v>
      </c>
      <c r="C146" s="256" t="s">
        <v>564</v>
      </c>
      <c r="D146" s="165">
        <v>45076</v>
      </c>
      <c r="E146" s="164">
        <v>30</v>
      </c>
      <c r="F146" s="165">
        <f t="shared" si="28"/>
        <v>45106</v>
      </c>
      <c r="G146" s="164">
        <f t="shared" si="29"/>
        <v>185</v>
      </c>
      <c r="H146" s="166"/>
      <c r="I146" s="164"/>
      <c r="J146" s="164"/>
      <c r="K146" s="164"/>
      <c r="L146" s="166">
        <f t="shared" si="30"/>
        <v>1183000</v>
      </c>
    </row>
    <row r="147" spans="1:12">
      <c r="A147" s="213" t="s">
        <v>283</v>
      </c>
      <c r="B147" s="216">
        <v>465000</v>
      </c>
      <c r="C147" s="256" t="s">
        <v>565</v>
      </c>
      <c r="D147" s="165">
        <v>45089</v>
      </c>
      <c r="E147" s="164">
        <v>30</v>
      </c>
      <c r="F147" s="165">
        <f t="shared" si="28"/>
        <v>45119</v>
      </c>
      <c r="G147" s="164">
        <f t="shared" si="29"/>
        <v>172</v>
      </c>
      <c r="H147" s="166"/>
      <c r="I147" s="164"/>
      <c r="J147" s="164"/>
      <c r="K147" s="164"/>
      <c r="L147" s="166">
        <f t="shared" si="30"/>
        <v>465000</v>
      </c>
    </row>
    <row r="148" spans="1:12">
      <c r="A148" s="213" t="s">
        <v>283</v>
      </c>
      <c r="B148" s="216">
        <v>460000</v>
      </c>
      <c r="C148" s="256" t="s">
        <v>566</v>
      </c>
      <c r="D148" s="165">
        <v>45093</v>
      </c>
      <c r="E148" s="164">
        <v>30</v>
      </c>
      <c r="F148" s="165">
        <f t="shared" si="28"/>
        <v>45123</v>
      </c>
      <c r="G148" s="164">
        <f t="shared" si="29"/>
        <v>168</v>
      </c>
      <c r="H148" s="166"/>
      <c r="I148" s="164"/>
      <c r="J148" s="164"/>
      <c r="K148" s="164"/>
      <c r="L148" s="166">
        <f t="shared" si="30"/>
        <v>460000</v>
      </c>
    </row>
    <row r="149" spans="1:12">
      <c r="A149" s="213" t="s">
        <v>283</v>
      </c>
      <c r="B149" s="216">
        <v>399000</v>
      </c>
      <c r="C149" s="256" t="s">
        <v>567</v>
      </c>
      <c r="D149" s="165">
        <v>45111</v>
      </c>
      <c r="E149" s="164">
        <v>30</v>
      </c>
      <c r="F149" s="165">
        <f t="shared" si="28"/>
        <v>45141</v>
      </c>
      <c r="G149" s="164">
        <f t="shared" si="29"/>
        <v>150</v>
      </c>
      <c r="H149" s="166"/>
      <c r="I149" s="164"/>
      <c r="J149" s="164"/>
      <c r="K149" s="164"/>
      <c r="L149" s="166">
        <f t="shared" si="30"/>
        <v>399000</v>
      </c>
    </row>
    <row r="150" spans="1:12">
      <c r="A150" s="213" t="s">
        <v>283</v>
      </c>
      <c r="B150" s="216">
        <v>175000</v>
      </c>
      <c r="C150" s="256" t="s">
        <v>568</v>
      </c>
      <c r="D150" s="165">
        <v>45114</v>
      </c>
      <c r="E150" s="164">
        <v>30</v>
      </c>
      <c r="F150" s="165">
        <f t="shared" si="28"/>
        <v>45144</v>
      </c>
      <c r="G150" s="164">
        <f t="shared" si="29"/>
        <v>147</v>
      </c>
      <c r="H150" s="166"/>
      <c r="I150" s="164"/>
      <c r="J150" s="164"/>
      <c r="K150" s="164"/>
      <c r="L150" s="166">
        <f t="shared" si="30"/>
        <v>175000</v>
      </c>
    </row>
    <row r="151" spans="1:12">
      <c r="A151" s="213" t="s">
        <v>283</v>
      </c>
      <c r="B151" s="216">
        <v>585000</v>
      </c>
      <c r="C151" s="256" t="s">
        <v>569</v>
      </c>
      <c r="D151" s="165">
        <v>45120</v>
      </c>
      <c r="E151" s="164">
        <v>30</v>
      </c>
      <c r="F151" s="165">
        <f t="shared" si="28"/>
        <v>45150</v>
      </c>
      <c r="G151" s="164">
        <f t="shared" si="29"/>
        <v>141</v>
      </c>
      <c r="H151" s="166"/>
      <c r="I151" s="164"/>
      <c r="J151" s="164"/>
      <c r="K151" s="164"/>
      <c r="L151" s="166">
        <f t="shared" si="30"/>
        <v>585000</v>
      </c>
    </row>
    <row r="152" spans="1:12">
      <c r="A152" s="213" t="s">
        <v>283</v>
      </c>
      <c r="B152" s="307">
        <v>450000</v>
      </c>
      <c r="C152" s="256" t="s">
        <v>569</v>
      </c>
      <c r="D152" s="165">
        <v>45120</v>
      </c>
      <c r="E152" s="164">
        <v>30</v>
      </c>
      <c r="F152" s="165">
        <f t="shared" si="28"/>
        <v>45150</v>
      </c>
      <c r="G152" s="164">
        <f t="shared" si="29"/>
        <v>141</v>
      </c>
      <c r="H152" s="166"/>
      <c r="I152" s="164"/>
      <c r="J152" s="164"/>
      <c r="K152" s="164"/>
      <c r="L152" s="166">
        <f t="shared" si="30"/>
        <v>450000</v>
      </c>
    </row>
    <row r="153" spans="1:12">
      <c r="A153" s="213" t="s">
        <v>283</v>
      </c>
      <c r="B153" s="307">
        <v>450000</v>
      </c>
      <c r="C153" s="256" t="s">
        <v>570</v>
      </c>
      <c r="D153" s="165">
        <v>45124</v>
      </c>
      <c r="E153" s="164">
        <v>30</v>
      </c>
      <c r="F153" s="165">
        <f t="shared" si="28"/>
        <v>45154</v>
      </c>
      <c r="G153" s="164">
        <f t="shared" si="29"/>
        <v>137</v>
      </c>
      <c r="H153" s="166"/>
      <c r="I153" s="164"/>
      <c r="J153" s="164"/>
      <c r="K153" s="164"/>
      <c r="L153" s="166">
        <f t="shared" si="30"/>
        <v>450000</v>
      </c>
    </row>
    <row r="154" spans="1:12">
      <c r="A154" s="213" t="s">
        <v>283</v>
      </c>
      <c r="B154" s="307">
        <v>500000</v>
      </c>
      <c r="C154" s="256" t="s">
        <v>571</v>
      </c>
      <c r="D154" s="165">
        <v>45125</v>
      </c>
      <c r="E154" s="164">
        <v>30</v>
      </c>
      <c r="F154" s="165">
        <f t="shared" si="28"/>
        <v>45155</v>
      </c>
      <c r="G154" s="164">
        <f t="shared" si="29"/>
        <v>136</v>
      </c>
      <c r="H154" s="166"/>
      <c r="I154" s="164"/>
      <c r="J154" s="164"/>
      <c r="K154" s="164"/>
      <c r="L154" s="166">
        <f t="shared" si="30"/>
        <v>500000</v>
      </c>
    </row>
    <row r="155" spans="1:12">
      <c r="A155" s="213" t="s">
        <v>283</v>
      </c>
      <c r="B155" s="307">
        <v>840000</v>
      </c>
      <c r="C155" s="256" t="s">
        <v>572</v>
      </c>
      <c r="D155" s="165">
        <v>45133</v>
      </c>
      <c r="E155" s="164">
        <v>30</v>
      </c>
      <c r="F155" s="165">
        <f t="shared" si="28"/>
        <v>45163</v>
      </c>
      <c r="G155" s="164">
        <f t="shared" si="29"/>
        <v>128</v>
      </c>
      <c r="H155" s="166"/>
      <c r="I155" s="164"/>
      <c r="J155" s="164"/>
      <c r="K155" s="164"/>
      <c r="L155" s="166">
        <f t="shared" si="30"/>
        <v>840000</v>
      </c>
    </row>
    <row r="156" spans="1:12">
      <c r="A156" s="213" t="s">
        <v>283</v>
      </c>
      <c r="B156" s="216">
        <v>46000</v>
      </c>
      <c r="C156" s="256" t="s">
        <v>573</v>
      </c>
      <c r="D156" s="165">
        <v>45139</v>
      </c>
      <c r="E156" s="164">
        <v>30</v>
      </c>
      <c r="F156" s="165">
        <f t="shared" si="28"/>
        <v>45169</v>
      </c>
      <c r="G156" s="164">
        <f t="shared" si="29"/>
        <v>122</v>
      </c>
      <c r="H156" s="166"/>
      <c r="I156" s="164"/>
      <c r="J156" s="164"/>
      <c r="K156" s="164"/>
      <c r="L156" s="166">
        <f t="shared" si="30"/>
        <v>46000</v>
      </c>
    </row>
    <row r="157" spans="1:12">
      <c r="A157" s="213" t="s">
        <v>283</v>
      </c>
      <c r="B157" s="216">
        <v>125000</v>
      </c>
      <c r="C157" s="256" t="s">
        <v>574</v>
      </c>
      <c r="D157" s="165">
        <v>45149</v>
      </c>
      <c r="E157" s="164">
        <v>30</v>
      </c>
      <c r="F157" s="165">
        <f t="shared" si="28"/>
        <v>45179</v>
      </c>
      <c r="G157" s="164">
        <f t="shared" si="29"/>
        <v>112</v>
      </c>
      <c r="H157" s="166"/>
      <c r="I157" s="164"/>
      <c r="J157" s="164"/>
      <c r="K157" s="164"/>
      <c r="L157" s="166">
        <f t="shared" si="30"/>
        <v>125000</v>
      </c>
    </row>
    <row r="158" spans="1:12">
      <c r="A158" s="213" t="s">
        <v>283</v>
      </c>
      <c r="B158" s="307">
        <v>325000</v>
      </c>
      <c r="C158" s="256" t="s">
        <v>575</v>
      </c>
      <c r="D158" s="165">
        <v>45149</v>
      </c>
      <c r="E158" s="164">
        <v>30</v>
      </c>
      <c r="F158" s="165">
        <f t="shared" si="28"/>
        <v>45179</v>
      </c>
      <c r="G158" s="164">
        <f t="shared" si="29"/>
        <v>112</v>
      </c>
      <c r="H158" s="166"/>
      <c r="I158" s="164"/>
      <c r="J158" s="164"/>
      <c r="K158" s="164"/>
      <c r="L158" s="166">
        <f t="shared" si="30"/>
        <v>325000</v>
      </c>
    </row>
    <row r="159" spans="1:12">
      <c r="A159" s="213" t="s">
        <v>283</v>
      </c>
      <c r="B159" s="307">
        <v>3062500</v>
      </c>
      <c r="C159" s="256" t="s">
        <v>574</v>
      </c>
      <c r="D159" s="165">
        <v>45149</v>
      </c>
      <c r="E159" s="164">
        <v>30</v>
      </c>
      <c r="F159" s="165">
        <f t="shared" si="28"/>
        <v>45179</v>
      </c>
      <c r="G159" s="164">
        <f t="shared" si="29"/>
        <v>112</v>
      </c>
      <c r="H159" s="166"/>
      <c r="I159" s="164"/>
      <c r="J159" s="164"/>
      <c r="K159" s="164"/>
      <c r="L159" s="166">
        <f t="shared" si="30"/>
        <v>3062500</v>
      </c>
    </row>
    <row r="160" spans="1:12">
      <c r="A160" s="213" t="s">
        <v>283</v>
      </c>
      <c r="B160" s="307">
        <v>300000</v>
      </c>
      <c r="C160" s="256" t="s">
        <v>576</v>
      </c>
      <c r="D160" s="165">
        <v>45153</v>
      </c>
      <c r="E160" s="164">
        <v>30</v>
      </c>
      <c r="F160" s="165">
        <f t="shared" si="28"/>
        <v>45183</v>
      </c>
      <c r="G160" s="164">
        <f t="shared" si="29"/>
        <v>108</v>
      </c>
      <c r="H160" s="166"/>
      <c r="I160" s="164"/>
      <c r="J160" s="164"/>
      <c r="K160" s="164"/>
      <c r="L160" s="166">
        <f t="shared" si="30"/>
        <v>300000</v>
      </c>
    </row>
    <row r="161" spans="1:12">
      <c r="A161" s="213" t="s">
        <v>283</v>
      </c>
      <c r="B161" s="307">
        <v>1200000</v>
      </c>
      <c r="C161" s="256" t="s">
        <v>577</v>
      </c>
      <c r="D161" s="165">
        <v>45166</v>
      </c>
      <c r="E161" s="164">
        <v>30</v>
      </c>
      <c r="F161" s="165">
        <f t="shared" si="28"/>
        <v>45196</v>
      </c>
      <c r="G161" s="164">
        <f t="shared" si="29"/>
        <v>95</v>
      </c>
      <c r="H161" s="166"/>
      <c r="I161" s="164"/>
      <c r="J161" s="164"/>
      <c r="K161" s="164"/>
      <c r="L161" s="166">
        <f t="shared" si="30"/>
        <v>1200000</v>
      </c>
    </row>
    <row r="162" spans="1:12">
      <c r="A162" s="213" t="s">
        <v>283</v>
      </c>
      <c r="B162" s="307">
        <v>175000</v>
      </c>
      <c r="C162" s="256" t="s">
        <v>578</v>
      </c>
      <c r="D162" s="165">
        <v>45177</v>
      </c>
      <c r="E162" s="164">
        <v>30</v>
      </c>
      <c r="F162" s="165">
        <f t="shared" si="28"/>
        <v>45207</v>
      </c>
      <c r="G162" s="164">
        <f t="shared" si="29"/>
        <v>84</v>
      </c>
      <c r="H162" s="166"/>
      <c r="I162" s="164"/>
      <c r="J162" s="164"/>
      <c r="K162" s="166">
        <f>B162</f>
        <v>175000</v>
      </c>
      <c r="L162" s="164"/>
    </row>
    <row r="163" spans="1:12">
      <c r="A163" s="213" t="s">
        <v>283</v>
      </c>
      <c r="B163" s="307">
        <v>800000</v>
      </c>
      <c r="C163" s="256" t="s">
        <v>579</v>
      </c>
      <c r="D163" s="165">
        <v>45181</v>
      </c>
      <c r="E163" s="164">
        <v>30</v>
      </c>
      <c r="F163" s="165">
        <f t="shared" si="28"/>
        <v>45211</v>
      </c>
      <c r="G163" s="164">
        <f t="shared" si="29"/>
        <v>80</v>
      </c>
      <c r="H163" s="166"/>
      <c r="I163" s="164"/>
      <c r="J163" s="164"/>
      <c r="K163" s="166">
        <f>B163</f>
        <v>800000</v>
      </c>
      <c r="L163" s="164"/>
    </row>
    <row r="164" spans="1:12">
      <c r="A164" s="213" t="s">
        <v>283</v>
      </c>
      <c r="B164" s="307">
        <v>325000</v>
      </c>
      <c r="C164" s="256" t="s">
        <v>580</v>
      </c>
      <c r="D164" s="165">
        <v>45183</v>
      </c>
      <c r="E164" s="164">
        <v>30</v>
      </c>
      <c r="F164" s="165">
        <f t="shared" si="28"/>
        <v>45213</v>
      </c>
      <c r="G164" s="164">
        <f t="shared" si="29"/>
        <v>78</v>
      </c>
      <c r="H164" s="166"/>
      <c r="I164" s="164"/>
      <c r="J164" s="164"/>
      <c r="K164" s="166">
        <f>B164</f>
        <v>325000</v>
      </c>
      <c r="L164" s="164"/>
    </row>
    <row r="165" spans="1:12">
      <c r="A165" s="213" t="s">
        <v>283</v>
      </c>
      <c r="B165" s="307">
        <v>400000</v>
      </c>
      <c r="C165" s="256" t="s">
        <v>581</v>
      </c>
      <c r="D165" s="165">
        <v>45215</v>
      </c>
      <c r="E165" s="164">
        <v>30</v>
      </c>
      <c r="F165" s="165">
        <f t="shared" si="28"/>
        <v>45245</v>
      </c>
      <c r="G165" s="164">
        <f t="shared" si="29"/>
        <v>46</v>
      </c>
      <c r="H165" s="166"/>
      <c r="I165" s="164"/>
      <c r="J165" s="166">
        <f>B165</f>
        <v>400000</v>
      </c>
      <c r="K165" s="164"/>
      <c r="L165" s="164"/>
    </row>
    <row r="166" spans="1:12">
      <c r="A166" s="213" t="s">
        <v>283</v>
      </c>
      <c r="B166" s="307">
        <v>410000</v>
      </c>
      <c r="C166" s="256" t="s">
        <v>582</v>
      </c>
      <c r="D166" s="165">
        <v>45222</v>
      </c>
      <c r="E166" s="164">
        <v>30</v>
      </c>
      <c r="F166" s="165">
        <f t="shared" si="28"/>
        <v>45252</v>
      </c>
      <c r="G166" s="164">
        <f t="shared" si="29"/>
        <v>39</v>
      </c>
      <c r="H166" s="166"/>
      <c r="I166" s="164"/>
      <c r="J166" s="166">
        <f>B166</f>
        <v>410000</v>
      </c>
      <c r="K166" s="164"/>
      <c r="L166" s="164"/>
    </row>
    <row r="167" spans="1:12">
      <c r="A167" s="213" t="s">
        <v>283</v>
      </c>
      <c r="B167" s="307">
        <v>240000</v>
      </c>
      <c r="C167" s="256" t="s">
        <v>583</v>
      </c>
      <c r="D167" s="165">
        <v>45226</v>
      </c>
      <c r="E167" s="164">
        <v>30</v>
      </c>
      <c r="F167" s="165">
        <f t="shared" si="28"/>
        <v>45256</v>
      </c>
      <c r="G167" s="164">
        <f t="shared" si="29"/>
        <v>35</v>
      </c>
      <c r="H167" s="166"/>
      <c r="I167" s="164"/>
      <c r="J167" s="166">
        <f>B167</f>
        <v>240000</v>
      </c>
      <c r="K167" s="164"/>
      <c r="L167" s="164"/>
    </row>
    <row r="168" spans="1:12">
      <c r="A168" s="213" t="s">
        <v>283</v>
      </c>
      <c r="B168" s="307">
        <v>430000</v>
      </c>
      <c r="C168" s="256" t="s">
        <v>584</v>
      </c>
      <c r="D168" s="165">
        <v>45246</v>
      </c>
      <c r="E168" s="164">
        <v>30</v>
      </c>
      <c r="F168" s="165">
        <f t="shared" si="28"/>
        <v>45276</v>
      </c>
      <c r="G168" s="164">
        <f t="shared" si="29"/>
        <v>15</v>
      </c>
      <c r="H168" s="166"/>
      <c r="I168" s="166">
        <f>B168</f>
        <v>430000</v>
      </c>
      <c r="J168" s="164"/>
      <c r="K168" s="164"/>
      <c r="L168" s="164"/>
    </row>
    <row r="169" spans="1:12">
      <c r="A169" s="213" t="s">
        <v>283</v>
      </c>
      <c r="B169" s="307">
        <v>1210000</v>
      </c>
      <c r="C169" s="256" t="s">
        <v>585</v>
      </c>
      <c r="D169" s="165">
        <v>45260</v>
      </c>
      <c r="E169" s="164">
        <v>30</v>
      </c>
      <c r="F169" s="165">
        <f t="shared" si="28"/>
        <v>45290</v>
      </c>
      <c r="G169" s="164">
        <f t="shared" si="29"/>
        <v>1</v>
      </c>
      <c r="H169" s="166"/>
      <c r="I169" s="166">
        <f>B169</f>
        <v>1210000</v>
      </c>
      <c r="J169" s="164"/>
      <c r="K169" s="164"/>
      <c r="L169" s="164"/>
    </row>
    <row r="170" spans="1:12">
      <c r="A170" s="213" t="s">
        <v>283</v>
      </c>
      <c r="B170" s="307">
        <v>3120000</v>
      </c>
      <c r="C170" s="256" t="s">
        <v>284</v>
      </c>
      <c r="D170" s="165">
        <v>45258</v>
      </c>
      <c r="E170" s="164">
        <v>30</v>
      </c>
      <c r="F170" s="165">
        <f t="shared" si="28"/>
        <v>45288</v>
      </c>
      <c r="G170" s="164">
        <f t="shared" si="29"/>
        <v>3</v>
      </c>
      <c r="H170" s="166"/>
      <c r="I170" s="166">
        <f>B170</f>
        <v>3120000</v>
      </c>
      <c r="J170" s="164"/>
      <c r="K170" s="164"/>
      <c r="L170" s="164"/>
    </row>
    <row r="171" spans="1:12">
      <c r="A171" s="213" t="s">
        <v>283</v>
      </c>
      <c r="B171" s="307">
        <v>280000</v>
      </c>
      <c r="C171" s="256" t="s">
        <v>285</v>
      </c>
      <c r="D171" s="165">
        <v>45260</v>
      </c>
      <c r="E171" s="164">
        <v>30</v>
      </c>
      <c r="F171" s="165">
        <f t="shared" si="28"/>
        <v>45290</v>
      </c>
      <c r="G171" s="164">
        <f t="shared" si="29"/>
        <v>1</v>
      </c>
      <c r="H171" s="166"/>
      <c r="I171" s="166">
        <f>B171</f>
        <v>280000</v>
      </c>
      <c r="J171" s="164"/>
      <c r="K171" s="164"/>
      <c r="L171" s="164"/>
    </row>
    <row r="172" spans="1:12">
      <c r="A172" s="213" t="s">
        <v>283</v>
      </c>
      <c r="B172" s="307">
        <v>455000</v>
      </c>
      <c r="C172" s="256" t="s">
        <v>286</v>
      </c>
      <c r="D172" s="165">
        <v>45266</v>
      </c>
      <c r="E172" s="164">
        <v>30</v>
      </c>
      <c r="F172" s="165">
        <f t="shared" si="28"/>
        <v>45296</v>
      </c>
      <c r="G172" s="164">
        <f t="shared" si="29"/>
        <v>-5</v>
      </c>
      <c r="H172" s="166">
        <f>B172</f>
        <v>455000</v>
      </c>
      <c r="I172" s="164"/>
      <c r="J172" s="164"/>
      <c r="K172" s="164"/>
      <c r="L172" s="164"/>
    </row>
    <row r="173" spans="1:12">
      <c r="A173" s="213" t="s">
        <v>283</v>
      </c>
      <c r="B173" s="307">
        <v>2250000</v>
      </c>
      <c r="C173" s="256" t="s">
        <v>287</v>
      </c>
      <c r="D173" s="165">
        <v>45222</v>
      </c>
      <c r="E173" s="164">
        <v>30</v>
      </c>
      <c r="F173" s="165">
        <f t="shared" si="28"/>
        <v>45252</v>
      </c>
      <c r="G173" s="164">
        <f t="shared" si="29"/>
        <v>39</v>
      </c>
      <c r="H173" s="166"/>
      <c r="I173" s="164"/>
      <c r="J173" s="166">
        <f>B173</f>
        <v>2250000</v>
      </c>
      <c r="K173" s="164"/>
      <c r="L173" s="164"/>
    </row>
    <row r="174" spans="1:12">
      <c r="A174" s="213" t="s">
        <v>283</v>
      </c>
      <c r="B174" s="307">
        <v>4500000</v>
      </c>
      <c r="C174" s="256" t="s">
        <v>288</v>
      </c>
      <c r="D174" s="165">
        <v>45226</v>
      </c>
      <c r="E174" s="164">
        <v>30</v>
      </c>
      <c r="F174" s="165">
        <f t="shared" si="28"/>
        <v>45256</v>
      </c>
      <c r="G174" s="164">
        <f t="shared" si="29"/>
        <v>35</v>
      </c>
      <c r="H174" s="166"/>
      <c r="I174" s="164"/>
      <c r="J174" s="166">
        <f>B174</f>
        <v>4500000</v>
      </c>
      <c r="K174" s="164"/>
      <c r="L174" s="164"/>
    </row>
    <row r="175" spans="1:12">
      <c r="A175" s="213" t="s">
        <v>283</v>
      </c>
      <c r="B175" s="307">
        <v>770000</v>
      </c>
      <c r="C175" s="256" t="s">
        <v>289</v>
      </c>
      <c r="D175" s="165">
        <v>45252</v>
      </c>
      <c r="E175" s="164">
        <v>30</v>
      </c>
      <c r="F175" s="165">
        <f t="shared" si="28"/>
        <v>45282</v>
      </c>
      <c r="G175" s="164">
        <f t="shared" si="29"/>
        <v>9</v>
      </c>
      <c r="H175" s="166"/>
      <c r="I175" s="166">
        <f>B175</f>
        <v>770000</v>
      </c>
      <c r="J175" s="164"/>
      <c r="K175" s="164"/>
      <c r="L175" s="164"/>
    </row>
    <row r="176" spans="1:12">
      <c r="A176" s="213" t="s">
        <v>283</v>
      </c>
      <c r="B176" s="307">
        <v>4277000</v>
      </c>
      <c r="C176" s="256" t="s">
        <v>290</v>
      </c>
      <c r="D176" s="165">
        <v>45252</v>
      </c>
      <c r="E176" s="164">
        <v>30</v>
      </c>
      <c r="F176" s="165">
        <f t="shared" si="28"/>
        <v>45282</v>
      </c>
      <c r="G176" s="164">
        <f t="shared" si="29"/>
        <v>9</v>
      </c>
      <c r="H176" s="166"/>
      <c r="I176" s="166">
        <f>B176</f>
        <v>4277000</v>
      </c>
      <c r="J176" s="164"/>
      <c r="K176" s="164"/>
      <c r="L176" s="164"/>
    </row>
    <row r="177" spans="1:12">
      <c r="A177" s="213" t="s">
        <v>283</v>
      </c>
      <c r="B177" s="307">
        <v>2348000</v>
      </c>
      <c r="C177" s="256" t="s">
        <v>291</v>
      </c>
      <c r="D177" s="165">
        <v>45265</v>
      </c>
      <c r="E177" s="164">
        <v>30</v>
      </c>
      <c r="F177" s="165">
        <f t="shared" si="28"/>
        <v>45295</v>
      </c>
      <c r="G177" s="164">
        <f t="shared" si="29"/>
        <v>-4</v>
      </c>
      <c r="H177" s="166">
        <f>B177</f>
        <v>2348000</v>
      </c>
      <c r="I177" s="164"/>
      <c r="J177" s="164"/>
      <c r="K177" s="164"/>
      <c r="L177" s="164"/>
    </row>
    <row r="178" spans="1:12">
      <c r="A178" s="213" t="s">
        <v>283</v>
      </c>
      <c r="B178" s="307">
        <v>225000</v>
      </c>
      <c r="C178" s="256" t="s">
        <v>292</v>
      </c>
      <c r="D178" s="165">
        <v>45266</v>
      </c>
      <c r="E178" s="164">
        <v>30</v>
      </c>
      <c r="F178" s="165">
        <f t="shared" si="28"/>
        <v>45296</v>
      </c>
      <c r="G178" s="164">
        <f t="shared" si="29"/>
        <v>-5</v>
      </c>
      <c r="H178" s="166">
        <f>B178</f>
        <v>225000</v>
      </c>
      <c r="I178" s="164"/>
      <c r="J178" s="164"/>
      <c r="K178" s="164"/>
      <c r="L178" s="164"/>
    </row>
    <row r="179" spans="1:12">
      <c r="A179" s="213" t="s">
        <v>283</v>
      </c>
      <c r="B179" s="307">
        <v>460000</v>
      </c>
      <c r="C179" s="256" t="s">
        <v>293</v>
      </c>
      <c r="D179" s="165">
        <v>45272</v>
      </c>
      <c r="E179" s="164">
        <v>30</v>
      </c>
      <c r="F179" s="165">
        <f t="shared" si="28"/>
        <v>45302</v>
      </c>
      <c r="G179" s="164">
        <f t="shared" si="29"/>
        <v>-11</v>
      </c>
      <c r="H179" s="166">
        <f>B179</f>
        <v>460000</v>
      </c>
      <c r="I179" s="164"/>
      <c r="J179" s="164"/>
      <c r="K179" s="164"/>
      <c r="L179" s="164"/>
    </row>
    <row r="180" spans="1:12">
      <c r="A180" s="213" t="s">
        <v>283</v>
      </c>
      <c r="B180" s="307">
        <v>790000</v>
      </c>
      <c r="C180" s="256" t="s">
        <v>294</v>
      </c>
      <c r="D180" s="165">
        <v>45272</v>
      </c>
      <c r="E180" s="164">
        <v>30</v>
      </c>
      <c r="F180" s="165">
        <f t="shared" si="28"/>
        <v>45302</v>
      </c>
      <c r="G180" s="164">
        <f t="shared" si="29"/>
        <v>-11</v>
      </c>
      <c r="H180" s="166">
        <f>B180</f>
        <v>790000</v>
      </c>
      <c r="I180" s="164"/>
      <c r="J180" s="164"/>
      <c r="K180" s="164"/>
      <c r="L180" s="164"/>
    </row>
    <row r="181" spans="1:12">
      <c r="A181" s="213"/>
      <c r="B181" s="101"/>
      <c r="C181" s="256"/>
      <c r="D181" s="165"/>
      <c r="E181" s="164"/>
      <c r="F181" s="165"/>
      <c r="G181" s="164"/>
      <c r="H181" s="166"/>
      <c r="I181" s="164"/>
      <c r="J181" s="164"/>
      <c r="K181" s="164"/>
      <c r="L181" s="164"/>
    </row>
    <row r="182" spans="1:12">
      <c r="A182" s="213" t="s">
        <v>295</v>
      </c>
      <c r="B182" s="101">
        <v>112830473.29999995</v>
      </c>
      <c r="C182" s="256">
        <v>448</v>
      </c>
      <c r="D182" s="165">
        <v>45098</v>
      </c>
      <c r="E182" s="164">
        <v>30</v>
      </c>
      <c r="F182" s="165">
        <f t="shared" si="2"/>
        <v>45128</v>
      </c>
      <c r="G182" s="164">
        <f t="shared" si="3"/>
        <v>163</v>
      </c>
      <c r="H182" s="166"/>
      <c r="I182" s="164"/>
      <c r="J182" s="164"/>
      <c r="K182" s="164"/>
      <c r="L182" s="166">
        <f>B182</f>
        <v>112830473.29999995</v>
      </c>
    </row>
    <row r="183" spans="1:12">
      <c r="A183" s="213"/>
      <c r="B183" s="101"/>
      <c r="C183" s="256"/>
      <c r="D183" s="165"/>
      <c r="E183" s="164"/>
      <c r="F183" s="165"/>
      <c r="G183" s="164"/>
      <c r="H183" s="166"/>
      <c r="I183" s="164"/>
      <c r="J183" s="164"/>
      <c r="K183" s="164"/>
      <c r="L183" s="164"/>
    </row>
    <row r="184" spans="1:12">
      <c r="A184" s="213" t="s">
        <v>296</v>
      </c>
      <c r="B184" s="101">
        <v>44322279.530000001</v>
      </c>
      <c r="C184" s="256" t="s">
        <v>586</v>
      </c>
      <c r="D184" s="165">
        <v>45024</v>
      </c>
      <c r="E184" s="164">
        <v>30</v>
      </c>
      <c r="F184" s="165">
        <f t="shared" ref="F184:F185" si="31">D184+E184</f>
        <v>45054</v>
      </c>
      <c r="G184" s="164">
        <f t="shared" ref="G184:G185" si="32">$A$3-F184</f>
        <v>237</v>
      </c>
      <c r="H184" s="166"/>
      <c r="I184" s="164"/>
      <c r="J184" s="164"/>
      <c r="K184" s="164"/>
      <c r="L184" s="166">
        <f>B184</f>
        <v>44322279.530000001</v>
      </c>
    </row>
    <row r="185" spans="1:12">
      <c r="A185" s="213" t="s">
        <v>296</v>
      </c>
      <c r="B185" s="101">
        <v>73495941.579999998</v>
      </c>
      <c r="C185" s="256" t="s">
        <v>587</v>
      </c>
      <c r="D185" s="165">
        <v>45051</v>
      </c>
      <c r="E185" s="164">
        <v>30</v>
      </c>
      <c r="F185" s="165">
        <f t="shared" si="31"/>
        <v>45081</v>
      </c>
      <c r="G185" s="164">
        <f t="shared" si="32"/>
        <v>210</v>
      </c>
      <c r="H185" s="166"/>
      <c r="I185" s="164"/>
      <c r="J185" s="164"/>
      <c r="K185" s="164"/>
      <c r="L185" s="166">
        <f>B185</f>
        <v>73495941.579999998</v>
      </c>
    </row>
    <row r="186" spans="1:12">
      <c r="A186" s="213"/>
      <c r="B186" s="101"/>
      <c r="C186" s="256"/>
      <c r="D186" s="165"/>
      <c r="E186" s="164"/>
      <c r="F186" s="165"/>
      <c r="G186" s="164"/>
      <c r="H186" s="166"/>
      <c r="I186" s="164"/>
      <c r="J186" s="164"/>
      <c r="K186" s="164"/>
      <c r="L186" s="164"/>
    </row>
    <row r="187" spans="1:12">
      <c r="A187" s="213" t="s">
        <v>297</v>
      </c>
      <c r="B187" s="101">
        <v>301275023</v>
      </c>
      <c r="C187" s="256" t="s">
        <v>588</v>
      </c>
      <c r="D187" s="165">
        <v>45105</v>
      </c>
      <c r="E187" s="164">
        <v>30</v>
      </c>
      <c r="F187" s="165">
        <f t="shared" ref="F187:F202" si="33">D187+E187</f>
        <v>45135</v>
      </c>
      <c r="G187" s="164">
        <f t="shared" ref="G187:G202" si="34">$A$3-F187</f>
        <v>156</v>
      </c>
      <c r="H187" s="166"/>
      <c r="I187" s="164"/>
      <c r="J187" s="164"/>
      <c r="K187" s="164"/>
      <c r="L187" s="166">
        <f t="shared" ref="L187:L202" si="35">B187</f>
        <v>301275023</v>
      </c>
    </row>
    <row r="188" spans="1:12">
      <c r="A188" s="213" t="s">
        <v>297</v>
      </c>
      <c r="B188" s="101">
        <v>157159985</v>
      </c>
      <c r="C188" s="256" t="s">
        <v>589</v>
      </c>
      <c r="D188" s="165">
        <v>45110</v>
      </c>
      <c r="E188" s="164">
        <v>30</v>
      </c>
      <c r="F188" s="165">
        <f t="shared" si="33"/>
        <v>45140</v>
      </c>
      <c r="G188" s="164">
        <f t="shared" si="34"/>
        <v>151</v>
      </c>
      <c r="H188" s="166"/>
      <c r="I188" s="164"/>
      <c r="J188" s="164"/>
      <c r="K188" s="164"/>
      <c r="L188" s="166">
        <f t="shared" si="35"/>
        <v>157159985</v>
      </c>
    </row>
    <row r="189" spans="1:12">
      <c r="A189" s="213" t="s">
        <v>297</v>
      </c>
      <c r="B189" s="101">
        <v>109739272</v>
      </c>
      <c r="C189" s="256" t="s">
        <v>590</v>
      </c>
      <c r="D189" s="165">
        <v>45111</v>
      </c>
      <c r="E189" s="164">
        <v>30</v>
      </c>
      <c r="F189" s="165">
        <f t="shared" si="33"/>
        <v>45141</v>
      </c>
      <c r="G189" s="164">
        <f t="shared" si="34"/>
        <v>150</v>
      </c>
      <c r="H189" s="166"/>
      <c r="I189" s="164"/>
      <c r="J189" s="164"/>
      <c r="K189" s="164"/>
      <c r="L189" s="166">
        <f t="shared" si="35"/>
        <v>109739272</v>
      </c>
    </row>
    <row r="190" spans="1:12">
      <c r="A190" s="213" t="s">
        <v>297</v>
      </c>
      <c r="B190" s="101">
        <v>99828144</v>
      </c>
      <c r="C190" s="256" t="s">
        <v>591</v>
      </c>
      <c r="D190" s="165">
        <v>45117</v>
      </c>
      <c r="E190" s="164">
        <v>30</v>
      </c>
      <c r="F190" s="165">
        <f t="shared" si="33"/>
        <v>45147</v>
      </c>
      <c r="G190" s="164">
        <f t="shared" si="34"/>
        <v>144</v>
      </c>
      <c r="H190" s="166"/>
      <c r="I190" s="164"/>
      <c r="J190" s="164"/>
      <c r="K190" s="164"/>
      <c r="L190" s="166">
        <f t="shared" si="35"/>
        <v>99828144</v>
      </c>
    </row>
    <row r="191" spans="1:12">
      <c r="A191" s="213" t="s">
        <v>297</v>
      </c>
      <c r="B191" s="101">
        <v>28794816</v>
      </c>
      <c r="C191" s="256" t="s">
        <v>592</v>
      </c>
      <c r="D191" s="165">
        <v>45121</v>
      </c>
      <c r="E191" s="164">
        <v>30</v>
      </c>
      <c r="F191" s="165">
        <f t="shared" si="33"/>
        <v>45151</v>
      </c>
      <c r="G191" s="164">
        <f t="shared" si="34"/>
        <v>140</v>
      </c>
      <c r="H191" s="166"/>
      <c r="I191" s="164"/>
      <c r="J191" s="164"/>
      <c r="K191" s="164"/>
      <c r="L191" s="166">
        <f t="shared" si="35"/>
        <v>28794816</v>
      </c>
    </row>
    <row r="192" spans="1:12">
      <c r="A192" s="213" t="s">
        <v>297</v>
      </c>
      <c r="B192" s="101">
        <v>40392240</v>
      </c>
      <c r="C192" s="256" t="s">
        <v>593</v>
      </c>
      <c r="D192" s="165">
        <v>45122</v>
      </c>
      <c r="E192" s="164">
        <v>30</v>
      </c>
      <c r="F192" s="165">
        <f t="shared" si="33"/>
        <v>45152</v>
      </c>
      <c r="G192" s="164">
        <f t="shared" si="34"/>
        <v>139</v>
      </c>
      <c r="H192" s="166"/>
      <c r="I192" s="164"/>
      <c r="J192" s="164"/>
      <c r="K192" s="164"/>
      <c r="L192" s="166">
        <f t="shared" si="35"/>
        <v>40392240</v>
      </c>
    </row>
    <row r="193" spans="1:12">
      <c r="A193" s="213" t="s">
        <v>297</v>
      </c>
      <c r="B193" s="101">
        <v>112926705</v>
      </c>
      <c r="C193" s="256" t="s">
        <v>594</v>
      </c>
      <c r="D193" s="165">
        <v>45124</v>
      </c>
      <c r="E193" s="164">
        <v>30</v>
      </c>
      <c r="F193" s="165">
        <f t="shared" si="33"/>
        <v>45154</v>
      </c>
      <c r="G193" s="164">
        <f t="shared" si="34"/>
        <v>137</v>
      </c>
      <c r="H193" s="166"/>
      <c r="I193" s="164"/>
      <c r="J193" s="164"/>
      <c r="K193" s="164"/>
      <c r="L193" s="166">
        <f t="shared" si="35"/>
        <v>112926705</v>
      </c>
    </row>
    <row r="194" spans="1:12">
      <c r="A194" s="213" t="s">
        <v>297</v>
      </c>
      <c r="B194" s="101">
        <v>240694692</v>
      </c>
      <c r="C194" s="256" t="s">
        <v>595</v>
      </c>
      <c r="D194" s="165">
        <v>45128</v>
      </c>
      <c r="E194" s="164">
        <v>30</v>
      </c>
      <c r="F194" s="165">
        <f t="shared" si="33"/>
        <v>45158</v>
      </c>
      <c r="G194" s="164">
        <f t="shared" si="34"/>
        <v>133</v>
      </c>
      <c r="H194" s="166"/>
      <c r="I194" s="164"/>
      <c r="J194" s="164"/>
      <c r="K194" s="164"/>
      <c r="L194" s="166">
        <f t="shared" si="35"/>
        <v>240694692</v>
      </c>
    </row>
    <row r="195" spans="1:12">
      <c r="A195" s="213" t="s">
        <v>297</v>
      </c>
      <c r="B195" s="101">
        <v>51433157</v>
      </c>
      <c r="C195" s="256" t="s">
        <v>596</v>
      </c>
      <c r="D195" s="165">
        <v>45128</v>
      </c>
      <c r="E195" s="164">
        <v>30</v>
      </c>
      <c r="F195" s="165">
        <f t="shared" si="33"/>
        <v>45158</v>
      </c>
      <c r="G195" s="164">
        <f t="shared" si="34"/>
        <v>133</v>
      </c>
      <c r="H195" s="166"/>
      <c r="I195" s="164"/>
      <c r="J195" s="164"/>
      <c r="K195" s="164"/>
      <c r="L195" s="166">
        <f t="shared" si="35"/>
        <v>51433157</v>
      </c>
    </row>
    <row r="196" spans="1:12">
      <c r="A196" s="213" t="s">
        <v>297</v>
      </c>
      <c r="B196" s="101">
        <v>128902802</v>
      </c>
      <c r="C196" s="256">
        <v>408</v>
      </c>
      <c r="D196" s="165">
        <v>45131</v>
      </c>
      <c r="E196" s="164">
        <v>30</v>
      </c>
      <c r="F196" s="165">
        <f t="shared" si="33"/>
        <v>45161</v>
      </c>
      <c r="G196" s="164">
        <f t="shared" si="34"/>
        <v>130</v>
      </c>
      <c r="H196" s="166"/>
      <c r="I196" s="164"/>
      <c r="J196" s="164"/>
      <c r="K196" s="164"/>
      <c r="L196" s="166">
        <f t="shared" si="35"/>
        <v>128902802</v>
      </c>
    </row>
    <row r="197" spans="1:12">
      <c r="A197" s="213" t="s">
        <v>297</v>
      </c>
      <c r="B197" s="101">
        <v>83570183</v>
      </c>
      <c r="C197" s="256">
        <v>409</v>
      </c>
      <c r="D197" s="165">
        <v>45131</v>
      </c>
      <c r="E197" s="164">
        <v>30</v>
      </c>
      <c r="F197" s="165">
        <f t="shared" si="33"/>
        <v>45161</v>
      </c>
      <c r="G197" s="164">
        <f t="shared" si="34"/>
        <v>130</v>
      </c>
      <c r="H197" s="166"/>
      <c r="I197" s="164"/>
      <c r="J197" s="164"/>
      <c r="K197" s="164"/>
      <c r="L197" s="166">
        <f t="shared" si="35"/>
        <v>83570183</v>
      </c>
    </row>
    <row r="198" spans="1:12">
      <c r="A198" s="213" t="s">
        <v>297</v>
      </c>
      <c r="B198" s="101">
        <v>147457242</v>
      </c>
      <c r="C198" s="256">
        <v>411</v>
      </c>
      <c r="D198" s="165">
        <v>45133</v>
      </c>
      <c r="E198" s="164">
        <v>30</v>
      </c>
      <c r="F198" s="165">
        <f t="shared" si="33"/>
        <v>45163</v>
      </c>
      <c r="G198" s="164">
        <f t="shared" si="34"/>
        <v>128</v>
      </c>
      <c r="H198" s="166"/>
      <c r="I198" s="164"/>
      <c r="J198" s="164"/>
      <c r="K198" s="164"/>
      <c r="L198" s="166">
        <f t="shared" si="35"/>
        <v>147457242</v>
      </c>
    </row>
    <row r="199" spans="1:12">
      <c r="A199" s="213" t="s">
        <v>297</v>
      </c>
      <c r="B199" s="101">
        <v>59726258</v>
      </c>
      <c r="C199" s="256">
        <v>414</v>
      </c>
      <c r="D199" s="165">
        <v>45134</v>
      </c>
      <c r="E199" s="164">
        <v>30</v>
      </c>
      <c r="F199" s="165">
        <f t="shared" si="33"/>
        <v>45164</v>
      </c>
      <c r="G199" s="164">
        <f t="shared" si="34"/>
        <v>127</v>
      </c>
      <c r="H199" s="166"/>
      <c r="I199" s="164"/>
      <c r="J199" s="164"/>
      <c r="K199" s="164"/>
      <c r="L199" s="166">
        <f t="shared" si="35"/>
        <v>59726258</v>
      </c>
    </row>
    <row r="200" spans="1:12">
      <c r="A200" s="213" t="s">
        <v>297</v>
      </c>
      <c r="B200" s="101">
        <v>54169208</v>
      </c>
      <c r="C200" s="256">
        <v>415</v>
      </c>
      <c r="D200" s="165">
        <v>45138</v>
      </c>
      <c r="E200" s="164">
        <v>30</v>
      </c>
      <c r="F200" s="165">
        <f t="shared" si="33"/>
        <v>45168</v>
      </c>
      <c r="G200" s="164">
        <f t="shared" si="34"/>
        <v>123</v>
      </c>
      <c r="H200" s="166"/>
      <c r="I200" s="164"/>
      <c r="J200" s="164"/>
      <c r="K200" s="164"/>
      <c r="L200" s="166">
        <f t="shared" si="35"/>
        <v>54169208</v>
      </c>
    </row>
    <row r="201" spans="1:12">
      <c r="A201" s="213" t="s">
        <v>297</v>
      </c>
      <c r="B201" s="101">
        <v>141233121</v>
      </c>
      <c r="C201" s="256">
        <v>416</v>
      </c>
      <c r="D201" s="165">
        <v>45138</v>
      </c>
      <c r="E201" s="164">
        <v>30</v>
      </c>
      <c r="F201" s="165">
        <f t="shared" si="33"/>
        <v>45168</v>
      </c>
      <c r="G201" s="164">
        <f t="shared" si="34"/>
        <v>123</v>
      </c>
      <c r="H201" s="166"/>
      <c r="I201" s="164"/>
      <c r="J201" s="164"/>
      <c r="K201" s="164"/>
      <c r="L201" s="166">
        <f t="shared" si="35"/>
        <v>141233121</v>
      </c>
    </row>
    <row r="202" spans="1:12">
      <c r="A202" s="213" t="s">
        <v>297</v>
      </c>
      <c r="B202" s="101">
        <v>60093132</v>
      </c>
      <c r="C202" s="256">
        <v>418</v>
      </c>
      <c r="D202" s="165">
        <v>45149</v>
      </c>
      <c r="E202" s="164">
        <v>30</v>
      </c>
      <c r="F202" s="165">
        <f t="shared" si="33"/>
        <v>45179</v>
      </c>
      <c r="G202" s="164">
        <f t="shared" si="34"/>
        <v>112</v>
      </c>
      <c r="H202" s="166"/>
      <c r="I202" s="164"/>
      <c r="J202" s="164"/>
      <c r="K202" s="164"/>
      <c r="L202" s="166">
        <f t="shared" si="35"/>
        <v>60093132</v>
      </c>
    </row>
    <row r="203" spans="1:12">
      <c r="A203" s="213"/>
      <c r="B203" s="101"/>
      <c r="C203" s="256"/>
      <c r="D203" s="165"/>
      <c r="E203" s="164"/>
      <c r="F203" s="165"/>
      <c r="G203" s="164"/>
      <c r="H203" s="166"/>
      <c r="I203" s="164"/>
      <c r="J203" s="164"/>
      <c r="K203" s="164"/>
      <c r="L203" s="164"/>
    </row>
    <row r="204" spans="1:12">
      <c r="A204" s="213" t="s">
        <v>298</v>
      </c>
      <c r="B204" s="101">
        <v>310906705.04999924</v>
      </c>
      <c r="C204" s="256">
        <v>76</v>
      </c>
      <c r="D204" s="165">
        <v>44956</v>
      </c>
      <c r="E204" s="164">
        <v>30</v>
      </c>
      <c r="F204" s="165">
        <f t="shared" si="2"/>
        <v>44986</v>
      </c>
      <c r="G204" s="164">
        <f t="shared" si="3"/>
        <v>305</v>
      </c>
      <c r="H204" s="166"/>
      <c r="I204" s="164"/>
      <c r="J204" s="164"/>
      <c r="K204" s="164"/>
      <c r="L204" s="166">
        <f>B204</f>
        <v>310906705.04999924</v>
      </c>
    </row>
    <row r="205" spans="1:12">
      <c r="A205" s="213"/>
      <c r="B205" s="101"/>
      <c r="C205" s="256"/>
      <c r="D205" s="165"/>
      <c r="E205" s="164"/>
      <c r="F205" s="165"/>
      <c r="G205" s="164"/>
      <c r="H205" s="166"/>
      <c r="I205" s="164"/>
      <c r="J205" s="164"/>
      <c r="K205" s="164"/>
      <c r="L205" s="164"/>
    </row>
    <row r="206" spans="1:12">
      <c r="A206" s="213" t="s">
        <v>299</v>
      </c>
      <c r="B206" s="101">
        <v>141638568</v>
      </c>
      <c r="C206" s="256">
        <v>549</v>
      </c>
      <c r="D206" s="165">
        <v>45283</v>
      </c>
      <c r="E206" s="164">
        <v>30</v>
      </c>
      <c r="F206" s="165">
        <f t="shared" ref="F206:F207" si="36">D206+E206</f>
        <v>45313</v>
      </c>
      <c r="G206" s="164">
        <f t="shared" ref="G206:G207" si="37">$A$3-F206</f>
        <v>-22</v>
      </c>
      <c r="H206" s="166">
        <f>B206</f>
        <v>141638568</v>
      </c>
      <c r="I206" s="166"/>
      <c r="J206" s="164"/>
      <c r="K206" s="164"/>
      <c r="L206" s="164"/>
    </row>
    <row r="207" spans="1:12">
      <c r="A207" s="213" t="s">
        <v>299</v>
      </c>
      <c r="B207" s="101">
        <v>181830063</v>
      </c>
      <c r="C207" s="256">
        <v>551</v>
      </c>
      <c r="D207" s="165">
        <v>45290</v>
      </c>
      <c r="E207" s="164">
        <v>30</v>
      </c>
      <c r="F207" s="165">
        <f t="shared" si="36"/>
        <v>45320</v>
      </c>
      <c r="G207" s="164">
        <f t="shared" si="37"/>
        <v>-29</v>
      </c>
      <c r="H207" s="166">
        <f>B207</f>
        <v>181830063</v>
      </c>
      <c r="I207" s="166"/>
      <c r="J207" s="164"/>
      <c r="K207" s="164"/>
      <c r="L207" s="164"/>
    </row>
    <row r="208" spans="1:12">
      <c r="A208" s="213"/>
      <c r="B208" s="101"/>
      <c r="C208" s="256"/>
      <c r="D208" s="165"/>
      <c r="E208" s="164"/>
      <c r="F208" s="165"/>
      <c r="G208" s="164"/>
      <c r="H208" s="164"/>
      <c r="I208" s="166"/>
      <c r="J208" s="164"/>
      <c r="K208" s="164"/>
      <c r="L208" s="164"/>
    </row>
    <row r="209" spans="1:18">
      <c r="A209" s="213" t="s">
        <v>300</v>
      </c>
      <c r="B209" s="101">
        <v>35142908</v>
      </c>
      <c r="C209" s="256">
        <v>535</v>
      </c>
      <c r="D209" s="165">
        <v>45210</v>
      </c>
      <c r="E209" s="164">
        <v>30</v>
      </c>
      <c r="F209" s="165">
        <f t="shared" ref="F209:F211" si="38">D209+E209</f>
        <v>45240</v>
      </c>
      <c r="G209" s="164">
        <f t="shared" ref="G209:G211" si="39">$A$3-F209</f>
        <v>51</v>
      </c>
      <c r="H209" s="166"/>
      <c r="I209" s="164"/>
      <c r="J209" s="166">
        <f>B209</f>
        <v>35142908</v>
      </c>
      <c r="K209" s="164"/>
      <c r="L209" s="164"/>
    </row>
    <row r="210" spans="1:18">
      <c r="A210" s="213" t="s">
        <v>300</v>
      </c>
      <c r="B210" s="101">
        <v>124666535.48</v>
      </c>
      <c r="C210" s="256">
        <v>548</v>
      </c>
      <c r="D210" s="165">
        <v>45283</v>
      </c>
      <c r="E210" s="164">
        <v>30</v>
      </c>
      <c r="F210" s="165">
        <f t="shared" si="38"/>
        <v>45313</v>
      </c>
      <c r="G210" s="164">
        <f t="shared" si="39"/>
        <v>-22</v>
      </c>
      <c r="H210" s="166">
        <f>B210</f>
        <v>124666535.48</v>
      </c>
      <c r="I210" s="164"/>
      <c r="J210" s="164"/>
      <c r="K210" s="164"/>
      <c r="L210" s="164"/>
    </row>
    <row r="211" spans="1:18">
      <c r="A211" s="213" t="s">
        <v>300</v>
      </c>
      <c r="B211" s="101">
        <v>28147015.039999999</v>
      </c>
      <c r="C211" s="256">
        <v>550</v>
      </c>
      <c r="D211" s="165">
        <v>45287</v>
      </c>
      <c r="E211" s="164">
        <v>30</v>
      </c>
      <c r="F211" s="165">
        <f t="shared" si="38"/>
        <v>45317</v>
      </c>
      <c r="G211" s="164">
        <f t="shared" si="39"/>
        <v>-26</v>
      </c>
      <c r="H211" s="166">
        <f>B211</f>
        <v>28147015.039999999</v>
      </c>
      <c r="I211" s="164"/>
      <c r="J211" s="164"/>
      <c r="K211" s="164"/>
      <c r="L211" s="164"/>
    </row>
    <row r="212" spans="1:18">
      <c r="A212" s="213"/>
      <c r="B212" s="101"/>
      <c r="C212" s="256"/>
      <c r="D212" s="165"/>
      <c r="E212" s="164"/>
      <c r="F212" s="165"/>
      <c r="G212" s="164"/>
      <c r="H212" s="166"/>
      <c r="I212" s="164"/>
      <c r="J212" s="164"/>
      <c r="K212" s="164"/>
      <c r="L212" s="164"/>
    </row>
    <row r="213" spans="1:18">
      <c r="A213" s="213" t="s">
        <v>301</v>
      </c>
      <c r="B213" s="101">
        <v>210502844</v>
      </c>
      <c r="C213" s="256">
        <v>539</v>
      </c>
      <c r="D213" s="165">
        <v>45280</v>
      </c>
      <c r="E213" s="164">
        <v>30</v>
      </c>
      <c r="F213" s="165">
        <f t="shared" ref="F213:F217" si="40">D213+E213</f>
        <v>45310</v>
      </c>
      <c r="G213" s="164">
        <f t="shared" ref="G213:G217" si="41">$A$3-F213</f>
        <v>-19</v>
      </c>
      <c r="H213" s="166">
        <f>B213</f>
        <v>210502844</v>
      </c>
      <c r="I213" s="166"/>
      <c r="J213" s="164"/>
      <c r="K213" s="164"/>
      <c r="L213" s="164"/>
    </row>
    <row r="214" spans="1:18">
      <c r="A214" s="213" t="s">
        <v>301</v>
      </c>
      <c r="B214" s="101">
        <v>93643421</v>
      </c>
      <c r="C214" s="256">
        <v>540</v>
      </c>
      <c r="D214" s="165">
        <v>45280</v>
      </c>
      <c r="E214" s="164">
        <v>30</v>
      </c>
      <c r="F214" s="165">
        <f t="shared" si="40"/>
        <v>45310</v>
      </c>
      <c r="G214" s="164">
        <f t="shared" si="41"/>
        <v>-19</v>
      </c>
      <c r="H214" s="166">
        <f>B214</f>
        <v>93643421</v>
      </c>
      <c r="I214" s="166"/>
      <c r="J214" s="164"/>
      <c r="K214" s="164"/>
      <c r="L214" s="164"/>
    </row>
    <row r="215" spans="1:18">
      <c r="A215" s="213" t="s">
        <v>301</v>
      </c>
      <c r="B215" s="101">
        <v>231968605</v>
      </c>
      <c r="C215" s="256">
        <v>543</v>
      </c>
      <c r="D215" s="165">
        <v>45281</v>
      </c>
      <c r="E215" s="164">
        <v>30</v>
      </c>
      <c r="F215" s="165">
        <f t="shared" si="40"/>
        <v>45311</v>
      </c>
      <c r="G215" s="164">
        <f t="shared" si="41"/>
        <v>-20</v>
      </c>
      <c r="H215" s="166">
        <f>B215</f>
        <v>231968605</v>
      </c>
      <c r="I215" s="166"/>
      <c r="J215" s="164"/>
      <c r="K215" s="164"/>
      <c r="L215" s="164"/>
    </row>
    <row r="216" spans="1:18">
      <c r="A216" s="213" t="s">
        <v>301</v>
      </c>
      <c r="B216" s="101">
        <v>143922169</v>
      </c>
      <c r="C216" s="256">
        <v>544</v>
      </c>
      <c r="D216" s="165">
        <v>45281</v>
      </c>
      <c r="E216" s="164">
        <v>30</v>
      </c>
      <c r="F216" s="165">
        <f t="shared" si="40"/>
        <v>45311</v>
      </c>
      <c r="G216" s="164">
        <f t="shared" si="41"/>
        <v>-20</v>
      </c>
      <c r="H216" s="166">
        <f>B216</f>
        <v>143922169</v>
      </c>
      <c r="I216" s="166"/>
      <c r="J216" s="164"/>
      <c r="K216" s="164"/>
      <c r="L216" s="164"/>
    </row>
    <row r="217" spans="1:18">
      <c r="A217" s="213" t="s">
        <v>301</v>
      </c>
      <c r="B217" s="101">
        <v>205449266</v>
      </c>
      <c r="C217" s="256">
        <v>547</v>
      </c>
      <c r="D217" s="165">
        <v>45281</v>
      </c>
      <c r="E217" s="164">
        <v>30</v>
      </c>
      <c r="F217" s="165">
        <f t="shared" si="40"/>
        <v>45311</v>
      </c>
      <c r="G217" s="164">
        <f t="shared" si="41"/>
        <v>-20</v>
      </c>
      <c r="H217" s="166">
        <f>B217</f>
        <v>205449266</v>
      </c>
      <c r="I217" s="166"/>
      <c r="J217" s="164"/>
      <c r="K217" s="164"/>
      <c r="L217" s="164"/>
    </row>
    <row r="218" spans="1:18">
      <c r="A218" s="213"/>
      <c r="B218" s="101"/>
      <c r="C218" s="256"/>
      <c r="D218" s="165"/>
      <c r="E218" s="164"/>
      <c r="F218" s="165"/>
      <c r="G218" s="164"/>
      <c r="H218" s="164"/>
      <c r="I218" s="166"/>
      <c r="J218" s="164"/>
      <c r="K218" s="164"/>
      <c r="L218" s="164"/>
    </row>
    <row r="219" spans="1:18">
      <c r="A219" s="213" t="s">
        <v>302</v>
      </c>
      <c r="B219" s="101">
        <v>9000000</v>
      </c>
      <c r="C219" s="256">
        <v>6</v>
      </c>
      <c r="D219" s="165">
        <v>44927</v>
      </c>
      <c r="E219" s="164">
        <v>30</v>
      </c>
      <c r="F219" s="165">
        <f t="shared" si="2"/>
        <v>44957</v>
      </c>
      <c r="G219" s="164">
        <f t="shared" si="3"/>
        <v>334</v>
      </c>
      <c r="H219" s="164"/>
      <c r="I219" s="166"/>
      <c r="J219" s="164"/>
      <c r="K219" s="164"/>
      <c r="L219" s="166">
        <f>B219</f>
        <v>9000000</v>
      </c>
    </row>
    <row r="220" spans="1:18">
      <c r="A220" s="213"/>
      <c r="B220" s="101"/>
      <c r="C220" s="256"/>
      <c r="D220" s="165"/>
      <c r="E220" s="164"/>
      <c r="F220" s="165"/>
      <c r="G220" s="164"/>
      <c r="H220" s="164"/>
      <c r="I220" s="166"/>
      <c r="J220" s="164"/>
      <c r="K220" s="164"/>
      <c r="L220" s="164"/>
    </row>
    <row r="221" spans="1:18">
      <c r="A221" s="213" t="s">
        <v>253</v>
      </c>
      <c r="B221" s="101">
        <v>224827055</v>
      </c>
      <c r="C221" s="256"/>
      <c r="D221" s="165"/>
      <c r="E221" s="164">
        <v>30</v>
      </c>
      <c r="F221" s="165">
        <f t="shared" si="2"/>
        <v>30</v>
      </c>
      <c r="G221" s="164">
        <f t="shared" si="3"/>
        <v>45261</v>
      </c>
      <c r="H221" s="166"/>
      <c r="I221" s="166">
        <f>B221</f>
        <v>224827055</v>
      </c>
      <c r="J221" s="164"/>
      <c r="K221" s="164"/>
      <c r="L221" s="164"/>
    </row>
    <row r="222" spans="1:18">
      <c r="A222" s="213" t="s">
        <v>303</v>
      </c>
      <c r="B222" s="101">
        <v>1500000000</v>
      </c>
      <c r="C222" s="256"/>
      <c r="D222" s="165">
        <v>45273</v>
      </c>
      <c r="E222" s="164">
        <v>120</v>
      </c>
      <c r="F222" s="165">
        <f t="shared" ref="F222:F223" si="42">D222+E222</f>
        <v>45393</v>
      </c>
      <c r="G222" s="164">
        <f t="shared" ref="G222:G223" si="43">$A$3-F222</f>
        <v>-102</v>
      </c>
      <c r="H222" s="166">
        <f>B222</f>
        <v>1500000000</v>
      </c>
      <c r="I222" s="164"/>
      <c r="J222" s="166"/>
      <c r="K222" s="164"/>
      <c r="L222" s="166"/>
    </row>
    <row r="223" spans="1:18">
      <c r="A223" s="213"/>
      <c r="B223" s="101">
        <v>500000000</v>
      </c>
      <c r="C223" s="256"/>
      <c r="D223" s="165">
        <v>45263</v>
      </c>
      <c r="E223" s="164">
        <v>120</v>
      </c>
      <c r="F223" s="165">
        <f t="shared" si="42"/>
        <v>45383</v>
      </c>
      <c r="G223" s="164">
        <f t="shared" si="43"/>
        <v>-92</v>
      </c>
      <c r="H223" s="166">
        <f>B223</f>
        <v>500000000</v>
      </c>
      <c r="I223" s="166"/>
      <c r="J223" s="164"/>
      <c r="K223" s="164"/>
      <c r="L223" s="166"/>
    </row>
    <row r="224" spans="1:18">
      <c r="A224" s="213"/>
      <c r="B224" s="101"/>
      <c r="C224" s="256"/>
      <c r="D224" s="165"/>
      <c r="E224" s="164"/>
      <c r="F224" s="165"/>
      <c r="G224" s="164"/>
      <c r="H224" s="166"/>
      <c r="I224" s="164"/>
      <c r="J224" s="164"/>
      <c r="K224" s="164"/>
      <c r="L224" s="166"/>
      <c r="R224" s="162"/>
    </row>
    <row r="225" spans="1:20">
      <c r="A225" s="172"/>
      <c r="B225" s="172"/>
      <c r="C225" s="262"/>
      <c r="D225" s="172"/>
      <c r="E225" s="172"/>
      <c r="F225" s="172"/>
      <c r="G225" s="172"/>
      <c r="H225" s="172"/>
      <c r="I225" s="172"/>
      <c r="J225" s="172"/>
      <c r="K225" s="172"/>
      <c r="L225" s="172"/>
      <c r="M225" s="212">
        <f>SUM(H6:H224)</f>
        <v>4894953452.2399998</v>
      </c>
      <c r="N225" s="212">
        <f>SUM(I6:I224)</f>
        <v>749891857.20000005</v>
      </c>
      <c r="O225" s="212">
        <f>SUM(J6:J224)</f>
        <v>79033445</v>
      </c>
      <c r="P225" s="212">
        <f>SUM(K6:K224)</f>
        <v>81175580</v>
      </c>
      <c r="Q225" s="212">
        <f>SUM(L6:L224)</f>
        <v>2573709090.4599991</v>
      </c>
      <c r="R225" s="162">
        <f>SUM(M225:Q225)</f>
        <v>8378763424.8999987</v>
      </c>
      <c r="S225" s="180"/>
      <c r="T225" s="180"/>
    </row>
    <row r="226" spans="1:20" ht="14.5">
      <c r="A226" s="218" t="s">
        <v>172</v>
      </c>
      <c r="B226" s="219">
        <v>389330720.72000003</v>
      </c>
      <c r="C226" s="64" t="s">
        <v>304</v>
      </c>
      <c r="D226" s="4">
        <v>44963</v>
      </c>
      <c r="E226" s="174">
        <v>30</v>
      </c>
      <c r="F226" s="165">
        <f t="shared" ref="F226:F276" si="44">D226+E226</f>
        <v>44993</v>
      </c>
      <c r="G226" s="164">
        <f t="shared" ref="G226:G276" si="45">$A$3-F226</f>
        <v>298</v>
      </c>
      <c r="H226" s="166"/>
      <c r="I226" s="164"/>
      <c r="J226" s="164"/>
      <c r="K226" s="164"/>
      <c r="L226" s="166">
        <f t="shared" ref="L226:L239" si="46">B226</f>
        <v>389330720.72000003</v>
      </c>
      <c r="R226" s="180"/>
    </row>
    <row r="227" spans="1:20" ht="14.5">
      <c r="A227" s="218" t="s">
        <v>172</v>
      </c>
      <c r="B227" s="220">
        <v>19885325.030000001</v>
      </c>
      <c r="C227" s="64" t="s">
        <v>305</v>
      </c>
      <c r="D227" s="4">
        <v>44986</v>
      </c>
      <c r="E227" s="174">
        <v>30</v>
      </c>
      <c r="F227" s="165">
        <f t="shared" si="44"/>
        <v>45016</v>
      </c>
      <c r="G227" s="164">
        <f t="shared" si="45"/>
        <v>275</v>
      </c>
      <c r="H227" s="166"/>
      <c r="I227" s="164"/>
      <c r="J227" s="164"/>
      <c r="K227" s="164"/>
      <c r="L227" s="166">
        <f t="shared" si="46"/>
        <v>19885325.030000001</v>
      </c>
    </row>
    <row r="228" spans="1:20" ht="14.5">
      <c r="A228" s="218" t="s">
        <v>172</v>
      </c>
      <c r="B228" s="220">
        <v>23165676.600000001</v>
      </c>
      <c r="C228" s="64" t="s">
        <v>306</v>
      </c>
      <c r="D228" s="4">
        <v>45078</v>
      </c>
      <c r="E228" s="174">
        <v>30</v>
      </c>
      <c r="F228" s="165">
        <f t="shared" si="44"/>
        <v>45108</v>
      </c>
      <c r="G228" s="164">
        <f t="shared" si="45"/>
        <v>183</v>
      </c>
      <c r="H228" s="166"/>
      <c r="I228" s="164"/>
      <c r="J228" s="164"/>
      <c r="K228" s="164"/>
      <c r="L228" s="166">
        <f t="shared" si="46"/>
        <v>23165676.600000001</v>
      </c>
    </row>
    <row r="229" spans="1:20" ht="14.5">
      <c r="A229" s="218" t="s">
        <v>172</v>
      </c>
      <c r="B229" s="220">
        <v>19583812.699999999</v>
      </c>
      <c r="C229" s="64" t="s">
        <v>307</v>
      </c>
      <c r="D229" s="4">
        <v>45082</v>
      </c>
      <c r="E229" s="174">
        <v>30</v>
      </c>
      <c r="F229" s="165">
        <f t="shared" si="44"/>
        <v>45112</v>
      </c>
      <c r="G229" s="164">
        <f t="shared" si="45"/>
        <v>179</v>
      </c>
      <c r="H229" s="166"/>
      <c r="I229" s="164"/>
      <c r="J229" s="164"/>
      <c r="K229" s="164"/>
      <c r="L229" s="166">
        <f t="shared" si="46"/>
        <v>19583812.699999999</v>
      </c>
    </row>
    <row r="230" spans="1:20" ht="14.5">
      <c r="A230" s="218" t="s">
        <v>172</v>
      </c>
      <c r="B230" s="220">
        <v>73079258.900000006</v>
      </c>
      <c r="C230" s="64" t="s">
        <v>308</v>
      </c>
      <c r="D230" s="4">
        <v>45092</v>
      </c>
      <c r="E230" s="174">
        <v>30</v>
      </c>
      <c r="F230" s="165">
        <f t="shared" si="44"/>
        <v>45122</v>
      </c>
      <c r="G230" s="164">
        <f t="shared" si="45"/>
        <v>169</v>
      </c>
      <c r="H230" s="166"/>
      <c r="I230" s="164"/>
      <c r="J230" s="164"/>
      <c r="K230" s="164"/>
      <c r="L230" s="166">
        <f t="shared" si="46"/>
        <v>73079258.900000006</v>
      </c>
    </row>
    <row r="231" spans="1:20" ht="14.5">
      <c r="A231" s="218" t="s">
        <v>172</v>
      </c>
      <c r="B231" s="220">
        <v>293730339.68000001</v>
      </c>
      <c r="C231" s="64" t="s">
        <v>309</v>
      </c>
      <c r="D231" s="4">
        <v>45117</v>
      </c>
      <c r="E231" s="174">
        <v>30</v>
      </c>
      <c r="F231" s="165">
        <f t="shared" si="44"/>
        <v>45147</v>
      </c>
      <c r="G231" s="164">
        <f t="shared" si="45"/>
        <v>144</v>
      </c>
      <c r="H231" s="166"/>
      <c r="I231" s="164"/>
      <c r="J231" s="164"/>
      <c r="K231" s="164"/>
      <c r="L231" s="166">
        <f t="shared" si="46"/>
        <v>293730339.68000001</v>
      </c>
    </row>
    <row r="232" spans="1:20" ht="14.5">
      <c r="A232" s="218" t="s">
        <v>172</v>
      </c>
      <c r="B232" s="220">
        <v>128619151.61</v>
      </c>
      <c r="C232" s="64" t="s">
        <v>310</v>
      </c>
      <c r="D232" s="4">
        <v>45126</v>
      </c>
      <c r="E232" s="174">
        <v>30</v>
      </c>
      <c r="F232" s="165">
        <f t="shared" si="44"/>
        <v>45156</v>
      </c>
      <c r="G232" s="164">
        <f t="shared" si="45"/>
        <v>135</v>
      </c>
      <c r="H232" s="166"/>
      <c r="I232" s="164"/>
      <c r="J232" s="164"/>
      <c r="K232" s="164"/>
      <c r="L232" s="166">
        <f t="shared" si="46"/>
        <v>128619151.61</v>
      </c>
    </row>
    <row r="233" spans="1:20" ht="14.5">
      <c r="A233" s="218" t="s">
        <v>172</v>
      </c>
      <c r="B233" s="220">
        <v>278829226.13</v>
      </c>
      <c r="C233" s="64" t="s">
        <v>311</v>
      </c>
      <c r="D233" s="4">
        <v>45127</v>
      </c>
      <c r="E233" s="174">
        <v>30</v>
      </c>
      <c r="F233" s="165">
        <f t="shared" si="44"/>
        <v>45157</v>
      </c>
      <c r="G233" s="164">
        <f t="shared" si="45"/>
        <v>134</v>
      </c>
      <c r="H233" s="166"/>
      <c r="I233" s="164"/>
      <c r="J233" s="164"/>
      <c r="K233" s="164"/>
      <c r="L233" s="166">
        <f t="shared" si="46"/>
        <v>278829226.13</v>
      </c>
    </row>
    <row r="234" spans="1:20" ht="14.5">
      <c r="A234" s="218" t="s">
        <v>172</v>
      </c>
      <c r="B234" s="220">
        <v>51135884.75</v>
      </c>
      <c r="C234" s="64" t="s">
        <v>312</v>
      </c>
      <c r="D234" s="4">
        <v>45140</v>
      </c>
      <c r="E234" s="174">
        <v>30</v>
      </c>
      <c r="F234" s="165">
        <f t="shared" si="44"/>
        <v>45170</v>
      </c>
      <c r="G234" s="164">
        <f t="shared" si="45"/>
        <v>121</v>
      </c>
      <c r="H234" s="166"/>
      <c r="I234" s="164"/>
      <c r="J234" s="164"/>
      <c r="K234" s="164"/>
      <c r="L234" s="166">
        <f t="shared" si="46"/>
        <v>51135884.75</v>
      </c>
    </row>
    <row r="235" spans="1:20" ht="14.5">
      <c r="A235" s="218" t="s">
        <v>172</v>
      </c>
      <c r="B235" s="220">
        <v>9524466.3800000008</v>
      </c>
      <c r="C235" s="64" t="s">
        <v>313</v>
      </c>
      <c r="D235" s="4">
        <v>45153</v>
      </c>
      <c r="E235" s="174">
        <v>30</v>
      </c>
      <c r="F235" s="165">
        <f t="shared" si="44"/>
        <v>45183</v>
      </c>
      <c r="G235" s="164">
        <f t="shared" si="45"/>
        <v>108</v>
      </c>
      <c r="H235" s="166"/>
      <c r="I235" s="164"/>
      <c r="J235" s="164"/>
      <c r="K235" s="164"/>
      <c r="L235" s="166">
        <f t="shared" si="46"/>
        <v>9524466.3800000008</v>
      </c>
    </row>
    <row r="236" spans="1:20" ht="14.5">
      <c r="A236" s="218" t="s">
        <v>172</v>
      </c>
      <c r="B236" s="220">
        <v>25021919.550000001</v>
      </c>
      <c r="C236" s="64" t="s">
        <v>314</v>
      </c>
      <c r="D236" s="4">
        <v>45170</v>
      </c>
      <c r="E236" s="174">
        <v>30</v>
      </c>
      <c r="F236" s="165">
        <f t="shared" si="44"/>
        <v>45200</v>
      </c>
      <c r="G236" s="164">
        <f t="shared" si="45"/>
        <v>91</v>
      </c>
      <c r="H236" s="166"/>
      <c r="I236" s="164"/>
      <c r="J236" s="164"/>
      <c r="K236" s="164"/>
      <c r="L236" s="166">
        <f t="shared" si="46"/>
        <v>25021919.550000001</v>
      </c>
    </row>
    <row r="237" spans="1:20" ht="14.5">
      <c r="A237" s="218" t="s">
        <v>172</v>
      </c>
      <c r="B237" s="220">
        <v>59800283.729999997</v>
      </c>
      <c r="C237" s="64" t="s">
        <v>315</v>
      </c>
      <c r="D237" s="4">
        <v>45170</v>
      </c>
      <c r="E237" s="174">
        <v>30</v>
      </c>
      <c r="F237" s="165">
        <f t="shared" si="44"/>
        <v>45200</v>
      </c>
      <c r="G237" s="164">
        <f t="shared" si="45"/>
        <v>91</v>
      </c>
      <c r="H237" s="166"/>
      <c r="I237" s="164"/>
      <c r="J237" s="164"/>
      <c r="K237" s="164"/>
      <c r="L237" s="166">
        <f t="shared" si="46"/>
        <v>59800283.729999997</v>
      </c>
    </row>
    <row r="238" spans="1:20" ht="14.5">
      <c r="A238" s="218" t="s">
        <v>172</v>
      </c>
      <c r="B238" s="220">
        <v>376535815.38</v>
      </c>
      <c r="C238" s="64" t="s">
        <v>316</v>
      </c>
      <c r="D238" s="4">
        <v>45170</v>
      </c>
      <c r="E238" s="174">
        <v>30</v>
      </c>
      <c r="F238" s="165">
        <f t="shared" si="44"/>
        <v>45200</v>
      </c>
      <c r="G238" s="164">
        <f t="shared" si="45"/>
        <v>91</v>
      </c>
      <c r="H238" s="166"/>
      <c r="I238" s="164"/>
      <c r="J238" s="164"/>
      <c r="K238" s="164"/>
      <c r="L238" s="166">
        <f t="shared" si="46"/>
        <v>376535815.38</v>
      </c>
    </row>
    <row r="239" spans="1:20" ht="14.5">
      <c r="A239" s="218" t="s">
        <v>172</v>
      </c>
      <c r="B239" s="220">
        <v>504401174.76999998</v>
      </c>
      <c r="C239" s="64" t="s">
        <v>317</v>
      </c>
      <c r="D239" s="4">
        <v>45170</v>
      </c>
      <c r="E239" s="174">
        <v>30</v>
      </c>
      <c r="F239" s="165">
        <f t="shared" si="44"/>
        <v>45200</v>
      </c>
      <c r="G239" s="164">
        <f t="shared" si="45"/>
        <v>91</v>
      </c>
      <c r="H239" s="166"/>
      <c r="I239" s="164"/>
      <c r="J239" s="164"/>
      <c r="K239" s="164"/>
      <c r="L239" s="166">
        <f t="shared" si="46"/>
        <v>504401174.76999998</v>
      </c>
    </row>
    <row r="240" spans="1:20" ht="14.5">
      <c r="A240" s="218" t="s">
        <v>172</v>
      </c>
      <c r="B240" s="220">
        <v>226321967.52000001</v>
      </c>
      <c r="C240" s="64" t="s">
        <v>318</v>
      </c>
      <c r="D240" s="4">
        <v>45201</v>
      </c>
      <c r="E240" s="174">
        <v>30</v>
      </c>
      <c r="F240" s="165">
        <f t="shared" si="44"/>
        <v>45231</v>
      </c>
      <c r="G240" s="164">
        <f t="shared" si="45"/>
        <v>60</v>
      </c>
      <c r="H240" s="166"/>
      <c r="I240" s="164"/>
      <c r="J240" s="166">
        <f t="shared" ref="J240:J252" si="47">B240</f>
        <v>226321967.52000001</v>
      </c>
      <c r="K240" s="164"/>
      <c r="L240" s="164"/>
    </row>
    <row r="241" spans="1:12" ht="14.5">
      <c r="A241" s="218" t="s">
        <v>172</v>
      </c>
      <c r="B241" s="220">
        <v>123743424.58</v>
      </c>
      <c r="C241" s="64" t="s">
        <v>319</v>
      </c>
      <c r="D241" s="4">
        <v>45201</v>
      </c>
      <c r="E241" s="174">
        <v>30</v>
      </c>
      <c r="F241" s="165">
        <f t="shared" si="44"/>
        <v>45231</v>
      </c>
      <c r="G241" s="164">
        <f t="shared" si="45"/>
        <v>60</v>
      </c>
      <c r="H241" s="166"/>
      <c r="I241" s="164"/>
      <c r="J241" s="166">
        <f t="shared" si="47"/>
        <v>123743424.58</v>
      </c>
      <c r="K241" s="164"/>
      <c r="L241" s="164"/>
    </row>
    <row r="242" spans="1:12" ht="14.5">
      <c r="A242" s="218" t="s">
        <v>172</v>
      </c>
      <c r="B242" s="220">
        <v>100468840.94</v>
      </c>
      <c r="C242" s="64" t="s">
        <v>320</v>
      </c>
      <c r="D242" s="4">
        <v>45201</v>
      </c>
      <c r="E242" s="174">
        <v>30</v>
      </c>
      <c r="F242" s="165">
        <f t="shared" si="44"/>
        <v>45231</v>
      </c>
      <c r="G242" s="164">
        <f t="shared" si="45"/>
        <v>60</v>
      </c>
      <c r="H242" s="166"/>
      <c r="I242" s="164"/>
      <c r="J242" s="166">
        <f t="shared" si="47"/>
        <v>100468840.94</v>
      </c>
      <c r="K242" s="164"/>
      <c r="L242" s="164"/>
    </row>
    <row r="243" spans="1:12" ht="14.5">
      <c r="A243" s="218" t="s">
        <v>172</v>
      </c>
      <c r="B243" s="220">
        <v>95717868.530000001</v>
      </c>
      <c r="C243" s="64" t="s">
        <v>321</v>
      </c>
      <c r="D243" s="4">
        <v>45202</v>
      </c>
      <c r="E243" s="174">
        <v>30</v>
      </c>
      <c r="F243" s="165">
        <f t="shared" si="44"/>
        <v>45232</v>
      </c>
      <c r="G243" s="164">
        <f t="shared" si="45"/>
        <v>59</v>
      </c>
      <c r="H243" s="166"/>
      <c r="I243" s="164"/>
      <c r="J243" s="166">
        <f t="shared" si="47"/>
        <v>95717868.530000001</v>
      </c>
      <c r="K243" s="164"/>
      <c r="L243" s="164"/>
    </row>
    <row r="244" spans="1:12" ht="14.5">
      <c r="A244" s="218" t="s">
        <v>172</v>
      </c>
      <c r="B244" s="220">
        <v>11060256.859999999</v>
      </c>
      <c r="C244" s="64" t="s">
        <v>322</v>
      </c>
      <c r="D244" s="4">
        <v>45203</v>
      </c>
      <c r="E244" s="174">
        <v>30</v>
      </c>
      <c r="F244" s="165">
        <f t="shared" si="44"/>
        <v>45233</v>
      </c>
      <c r="G244" s="164">
        <f t="shared" si="45"/>
        <v>58</v>
      </c>
      <c r="H244" s="164"/>
      <c r="I244" s="164"/>
      <c r="J244" s="166">
        <f t="shared" si="47"/>
        <v>11060256.859999999</v>
      </c>
      <c r="K244" s="164"/>
      <c r="L244" s="166"/>
    </row>
    <row r="245" spans="1:12" ht="14.5">
      <c r="A245" s="218" t="s">
        <v>172</v>
      </c>
      <c r="B245" s="220">
        <v>124825097.68000001</v>
      </c>
      <c r="C245" s="64" t="s">
        <v>323</v>
      </c>
      <c r="D245" s="4">
        <v>45208</v>
      </c>
      <c r="E245" s="174">
        <v>30</v>
      </c>
      <c r="F245" s="165">
        <f t="shared" si="44"/>
        <v>45238</v>
      </c>
      <c r="G245" s="164">
        <f t="shared" si="45"/>
        <v>53</v>
      </c>
      <c r="H245" s="164"/>
      <c r="I245" s="164"/>
      <c r="J245" s="166">
        <f t="shared" si="47"/>
        <v>124825097.68000001</v>
      </c>
      <c r="K245" s="164"/>
      <c r="L245" s="166"/>
    </row>
    <row r="246" spans="1:12" ht="14.5">
      <c r="A246" s="218" t="s">
        <v>172</v>
      </c>
      <c r="B246" s="220">
        <v>122125506.3</v>
      </c>
      <c r="C246" s="64" t="s">
        <v>324</v>
      </c>
      <c r="D246" s="4">
        <v>45209</v>
      </c>
      <c r="E246" s="174">
        <v>30</v>
      </c>
      <c r="F246" s="165">
        <f t="shared" si="44"/>
        <v>45239</v>
      </c>
      <c r="G246" s="164">
        <f t="shared" si="45"/>
        <v>52</v>
      </c>
      <c r="H246" s="164"/>
      <c r="I246" s="164"/>
      <c r="J246" s="166">
        <f t="shared" si="47"/>
        <v>122125506.3</v>
      </c>
      <c r="K246" s="166"/>
      <c r="L246" s="164"/>
    </row>
    <row r="247" spans="1:12" ht="14.5">
      <c r="A247" s="218" t="s">
        <v>172</v>
      </c>
      <c r="B247" s="220">
        <v>33697073.030000001</v>
      </c>
      <c r="C247" s="64" t="s">
        <v>325</v>
      </c>
      <c r="D247" s="4">
        <v>45210</v>
      </c>
      <c r="E247" s="174">
        <v>30</v>
      </c>
      <c r="F247" s="165">
        <f t="shared" si="44"/>
        <v>45240</v>
      </c>
      <c r="G247" s="164">
        <f t="shared" si="45"/>
        <v>51</v>
      </c>
      <c r="H247" s="164"/>
      <c r="I247" s="164"/>
      <c r="J247" s="166">
        <f t="shared" si="47"/>
        <v>33697073.030000001</v>
      </c>
      <c r="K247" s="164"/>
      <c r="L247" s="166"/>
    </row>
    <row r="248" spans="1:12" ht="14.5">
      <c r="A248" s="218" t="s">
        <v>172</v>
      </c>
      <c r="B248" s="220">
        <v>19753874.91</v>
      </c>
      <c r="C248" s="64" t="s">
        <v>326</v>
      </c>
      <c r="D248" s="4">
        <v>45210</v>
      </c>
      <c r="E248" s="174">
        <v>30</v>
      </c>
      <c r="F248" s="165">
        <f t="shared" si="44"/>
        <v>45240</v>
      </c>
      <c r="G248" s="164">
        <f t="shared" si="45"/>
        <v>51</v>
      </c>
      <c r="H248" s="164"/>
      <c r="I248" s="166"/>
      <c r="J248" s="166">
        <f t="shared" si="47"/>
        <v>19753874.91</v>
      </c>
      <c r="K248" s="164"/>
      <c r="L248" s="164"/>
    </row>
    <row r="249" spans="1:12" ht="14.5">
      <c r="A249" s="218" t="s">
        <v>172</v>
      </c>
      <c r="B249" s="220">
        <v>26165359.98</v>
      </c>
      <c r="C249" s="64" t="s">
        <v>327</v>
      </c>
      <c r="D249" s="4">
        <v>45212</v>
      </c>
      <c r="E249" s="174">
        <v>30</v>
      </c>
      <c r="F249" s="165">
        <f t="shared" si="44"/>
        <v>45242</v>
      </c>
      <c r="G249" s="164">
        <f t="shared" si="45"/>
        <v>49</v>
      </c>
      <c r="H249" s="166"/>
      <c r="I249" s="164"/>
      <c r="J249" s="166">
        <f t="shared" si="47"/>
        <v>26165359.98</v>
      </c>
      <c r="K249" s="164"/>
      <c r="L249" s="164"/>
    </row>
    <row r="250" spans="1:12" ht="14.5">
      <c r="A250" s="218" t="s">
        <v>172</v>
      </c>
      <c r="B250" s="220">
        <v>50822997.259999998</v>
      </c>
      <c r="C250" s="64" t="s">
        <v>328</v>
      </c>
      <c r="D250" s="4">
        <v>45213</v>
      </c>
      <c r="E250" s="174">
        <v>30</v>
      </c>
      <c r="F250" s="165">
        <f t="shared" si="44"/>
        <v>45243</v>
      </c>
      <c r="G250" s="164">
        <f t="shared" si="45"/>
        <v>48</v>
      </c>
      <c r="H250" s="166"/>
      <c r="I250" s="164"/>
      <c r="J250" s="166">
        <f t="shared" si="47"/>
        <v>50822997.259999998</v>
      </c>
      <c r="K250" s="164"/>
      <c r="L250" s="164"/>
    </row>
    <row r="251" spans="1:12" ht="14.5">
      <c r="A251" s="218" t="s">
        <v>172</v>
      </c>
      <c r="B251" s="220">
        <v>157402079.55000001</v>
      </c>
      <c r="C251" s="64" t="s">
        <v>329</v>
      </c>
      <c r="D251" s="4">
        <v>45220</v>
      </c>
      <c r="E251" s="174">
        <v>30</v>
      </c>
      <c r="F251" s="165">
        <f t="shared" si="44"/>
        <v>45250</v>
      </c>
      <c r="G251" s="164">
        <f t="shared" si="45"/>
        <v>41</v>
      </c>
      <c r="H251" s="166"/>
      <c r="I251" s="164"/>
      <c r="J251" s="166">
        <f t="shared" si="47"/>
        <v>157402079.55000001</v>
      </c>
      <c r="K251" s="164"/>
      <c r="L251" s="164"/>
    </row>
    <row r="252" spans="1:12" ht="14.5">
      <c r="A252" s="218" t="s">
        <v>172</v>
      </c>
      <c r="B252" s="220">
        <v>232511998.09</v>
      </c>
      <c r="C252" s="64" t="s">
        <v>330</v>
      </c>
      <c r="D252" s="4">
        <v>45222</v>
      </c>
      <c r="E252" s="174">
        <v>30</v>
      </c>
      <c r="F252" s="165">
        <f t="shared" si="44"/>
        <v>45252</v>
      </c>
      <c r="G252" s="164">
        <f t="shared" si="45"/>
        <v>39</v>
      </c>
      <c r="H252" s="166"/>
      <c r="I252" s="164"/>
      <c r="J252" s="166">
        <f t="shared" si="47"/>
        <v>232511998.09</v>
      </c>
      <c r="K252" s="164"/>
      <c r="L252" s="164"/>
    </row>
    <row r="253" spans="1:12" ht="14.5">
      <c r="A253" s="218" t="s">
        <v>172</v>
      </c>
      <c r="B253" s="220">
        <v>21952350.52</v>
      </c>
      <c r="C253" s="64" t="s">
        <v>331</v>
      </c>
      <c r="D253" s="4">
        <v>45231</v>
      </c>
      <c r="E253" s="174">
        <v>30</v>
      </c>
      <c r="F253" s="165">
        <f t="shared" si="44"/>
        <v>45261</v>
      </c>
      <c r="G253" s="164">
        <f t="shared" si="45"/>
        <v>30</v>
      </c>
      <c r="H253" s="166"/>
      <c r="I253" s="166">
        <f t="shared" ref="I253:I257" si="48">B253</f>
        <v>21952350.52</v>
      </c>
      <c r="J253" s="164"/>
      <c r="K253" s="164"/>
      <c r="L253" s="164"/>
    </row>
    <row r="254" spans="1:12" ht="14.5">
      <c r="A254" s="218" t="s">
        <v>172</v>
      </c>
      <c r="B254" s="220">
        <v>211656466.53</v>
      </c>
      <c r="C254" s="64" t="s">
        <v>332</v>
      </c>
      <c r="D254" s="4">
        <v>45232</v>
      </c>
      <c r="E254" s="174">
        <v>30</v>
      </c>
      <c r="F254" s="165">
        <f t="shared" si="44"/>
        <v>45262</v>
      </c>
      <c r="G254" s="164">
        <f t="shared" si="45"/>
        <v>29</v>
      </c>
      <c r="H254" s="166"/>
      <c r="I254" s="166">
        <f t="shared" si="48"/>
        <v>211656466.53</v>
      </c>
      <c r="J254" s="164"/>
      <c r="K254" s="164"/>
      <c r="L254" s="164"/>
    </row>
    <row r="255" spans="1:12" ht="14.5">
      <c r="A255" s="218" t="s">
        <v>172</v>
      </c>
      <c r="B255" s="220">
        <v>222878121.13999999</v>
      </c>
      <c r="C255" s="64" t="s">
        <v>333</v>
      </c>
      <c r="D255" s="4">
        <v>45236</v>
      </c>
      <c r="E255" s="174">
        <v>30</v>
      </c>
      <c r="F255" s="165">
        <f t="shared" si="44"/>
        <v>45266</v>
      </c>
      <c r="G255" s="164">
        <f t="shared" si="45"/>
        <v>25</v>
      </c>
      <c r="H255" s="166"/>
      <c r="I255" s="166">
        <f t="shared" si="48"/>
        <v>222878121.13999999</v>
      </c>
      <c r="J255" s="164"/>
      <c r="K255" s="164"/>
      <c r="L255" s="164"/>
    </row>
    <row r="256" spans="1:12" ht="14.5">
      <c r="A256" s="218" t="s">
        <v>172</v>
      </c>
      <c r="B256" s="220">
        <v>85184465.099999994</v>
      </c>
      <c r="C256" s="64" t="s">
        <v>334</v>
      </c>
      <c r="D256" s="4">
        <v>45238</v>
      </c>
      <c r="E256" s="174">
        <v>30</v>
      </c>
      <c r="F256" s="165">
        <f t="shared" si="44"/>
        <v>45268</v>
      </c>
      <c r="G256" s="164">
        <f t="shared" si="45"/>
        <v>23</v>
      </c>
      <c r="H256" s="166"/>
      <c r="I256" s="166">
        <f t="shared" si="48"/>
        <v>85184465.099999994</v>
      </c>
      <c r="J256" s="164"/>
      <c r="K256" s="164"/>
      <c r="L256" s="164"/>
    </row>
    <row r="257" spans="1:12" ht="14.5">
      <c r="A257" s="218" t="s">
        <v>172</v>
      </c>
      <c r="B257" s="220">
        <v>58572545.549999997</v>
      </c>
      <c r="C257" s="64" t="s">
        <v>335</v>
      </c>
      <c r="D257" s="4">
        <v>45246</v>
      </c>
      <c r="E257" s="174">
        <v>30</v>
      </c>
      <c r="F257" s="165">
        <f t="shared" si="44"/>
        <v>45276</v>
      </c>
      <c r="G257" s="164">
        <f t="shared" si="45"/>
        <v>15</v>
      </c>
      <c r="H257" s="166"/>
      <c r="I257" s="166">
        <f t="shared" si="48"/>
        <v>58572545.549999997</v>
      </c>
      <c r="J257" s="164"/>
      <c r="K257" s="164"/>
      <c r="L257" s="164"/>
    </row>
    <row r="258" spans="1:12" ht="14.5">
      <c r="A258" s="218" t="s">
        <v>172</v>
      </c>
      <c r="B258" s="220">
        <v>132037186.11</v>
      </c>
      <c r="C258" s="64" t="s">
        <v>336</v>
      </c>
      <c r="D258" s="4">
        <v>45261</v>
      </c>
      <c r="E258" s="174">
        <v>30</v>
      </c>
      <c r="F258" s="165">
        <f t="shared" si="44"/>
        <v>45291</v>
      </c>
      <c r="G258" s="164">
        <f t="shared" si="45"/>
        <v>0</v>
      </c>
      <c r="H258" s="166">
        <f t="shared" ref="H258:H276" si="49">B258</f>
        <v>132037186.11</v>
      </c>
      <c r="I258" s="164"/>
      <c r="J258" s="164"/>
      <c r="K258" s="166"/>
      <c r="L258" s="164"/>
    </row>
    <row r="259" spans="1:12" ht="14.5">
      <c r="A259" s="218" t="s">
        <v>172</v>
      </c>
      <c r="B259" s="220">
        <v>232641132.31</v>
      </c>
      <c r="C259" s="64" t="s">
        <v>337</v>
      </c>
      <c r="D259" s="4">
        <v>45261</v>
      </c>
      <c r="E259" s="174">
        <v>30</v>
      </c>
      <c r="F259" s="165">
        <f t="shared" si="44"/>
        <v>45291</v>
      </c>
      <c r="G259" s="164">
        <f t="shared" si="45"/>
        <v>0</v>
      </c>
      <c r="H259" s="166">
        <f t="shared" si="49"/>
        <v>232641132.31</v>
      </c>
      <c r="I259" s="164"/>
      <c r="J259" s="164"/>
      <c r="K259" s="164"/>
      <c r="L259" s="166"/>
    </row>
    <row r="260" spans="1:12" ht="14.5">
      <c r="A260" s="218" t="s">
        <v>172</v>
      </c>
      <c r="B260" s="220">
        <v>241566814.08000001</v>
      </c>
      <c r="C260" s="64" t="s">
        <v>338</v>
      </c>
      <c r="D260" s="4">
        <v>45261</v>
      </c>
      <c r="E260" s="174">
        <v>30</v>
      </c>
      <c r="F260" s="165">
        <f t="shared" si="44"/>
        <v>45291</v>
      </c>
      <c r="G260" s="164">
        <f t="shared" si="45"/>
        <v>0</v>
      </c>
      <c r="H260" s="166">
        <f t="shared" si="49"/>
        <v>241566814.08000001</v>
      </c>
      <c r="I260" s="164"/>
      <c r="J260" s="164"/>
      <c r="K260" s="164"/>
      <c r="L260" s="166"/>
    </row>
    <row r="261" spans="1:12" ht="14.5">
      <c r="A261" s="218" t="s">
        <v>172</v>
      </c>
      <c r="B261" s="220">
        <v>265321746.55000001</v>
      </c>
      <c r="C261" s="64" t="s">
        <v>339</v>
      </c>
      <c r="D261" s="4">
        <v>45261</v>
      </c>
      <c r="E261" s="174">
        <v>30</v>
      </c>
      <c r="F261" s="165">
        <f t="shared" si="44"/>
        <v>45291</v>
      </c>
      <c r="G261" s="164">
        <f t="shared" si="45"/>
        <v>0</v>
      </c>
      <c r="H261" s="166">
        <f t="shared" si="49"/>
        <v>265321746.55000001</v>
      </c>
      <c r="I261" s="164"/>
      <c r="J261" s="164"/>
      <c r="K261" s="164"/>
      <c r="L261" s="166"/>
    </row>
    <row r="262" spans="1:12" ht="14.5">
      <c r="A262" s="218" t="s">
        <v>172</v>
      </c>
      <c r="B262" s="220">
        <v>223018878.5</v>
      </c>
      <c r="C262" s="64" t="s">
        <v>340</v>
      </c>
      <c r="D262" s="4">
        <v>45264</v>
      </c>
      <c r="E262" s="174">
        <v>30</v>
      </c>
      <c r="F262" s="165">
        <f t="shared" si="44"/>
        <v>45294</v>
      </c>
      <c r="G262" s="164">
        <f t="shared" si="45"/>
        <v>-3</v>
      </c>
      <c r="H262" s="166">
        <f t="shared" si="49"/>
        <v>223018878.5</v>
      </c>
      <c r="I262" s="164"/>
      <c r="J262" s="164"/>
      <c r="K262" s="164"/>
      <c r="L262" s="164"/>
    </row>
    <row r="263" spans="1:12" ht="14.5">
      <c r="A263" s="218" t="s">
        <v>172</v>
      </c>
      <c r="B263" s="220">
        <v>269385057.23000002</v>
      </c>
      <c r="C263" s="64" t="s">
        <v>341</v>
      </c>
      <c r="D263" s="4">
        <v>45267</v>
      </c>
      <c r="E263" s="174">
        <v>30</v>
      </c>
      <c r="F263" s="165">
        <f t="shared" si="44"/>
        <v>45297</v>
      </c>
      <c r="G263" s="164">
        <f t="shared" si="45"/>
        <v>-6</v>
      </c>
      <c r="H263" s="166">
        <f t="shared" si="49"/>
        <v>269385057.23000002</v>
      </c>
      <c r="I263" s="164"/>
      <c r="J263" s="164"/>
      <c r="K263" s="164"/>
      <c r="L263" s="164"/>
    </row>
    <row r="264" spans="1:12" ht="14.5">
      <c r="A264" s="218" t="s">
        <v>172</v>
      </c>
      <c r="B264" s="220">
        <v>81264355.920000002</v>
      </c>
      <c r="C264" s="64" t="s">
        <v>342</v>
      </c>
      <c r="D264" s="4">
        <v>45267</v>
      </c>
      <c r="E264" s="174">
        <v>30</v>
      </c>
      <c r="F264" s="165">
        <f t="shared" si="44"/>
        <v>45297</v>
      </c>
      <c r="G264" s="164">
        <f t="shared" si="45"/>
        <v>-6</v>
      </c>
      <c r="H264" s="166">
        <f t="shared" si="49"/>
        <v>81264355.920000002</v>
      </c>
      <c r="I264" s="164"/>
      <c r="J264" s="164"/>
      <c r="K264" s="164"/>
      <c r="L264" s="164"/>
    </row>
    <row r="265" spans="1:12" ht="14.5">
      <c r="A265" s="218" t="s">
        <v>172</v>
      </c>
      <c r="B265" s="220">
        <v>256550773.62</v>
      </c>
      <c r="C265" s="64" t="s">
        <v>343</v>
      </c>
      <c r="D265" s="4">
        <v>45268</v>
      </c>
      <c r="E265" s="174">
        <v>30</v>
      </c>
      <c r="F265" s="165">
        <f t="shared" si="44"/>
        <v>45298</v>
      </c>
      <c r="G265" s="164">
        <f t="shared" si="45"/>
        <v>-7</v>
      </c>
      <c r="H265" s="166">
        <f t="shared" si="49"/>
        <v>256550773.62</v>
      </c>
      <c r="I265" s="164"/>
      <c r="J265" s="164"/>
      <c r="K265" s="164"/>
      <c r="L265" s="166"/>
    </row>
    <row r="266" spans="1:12" ht="14.5">
      <c r="A266" s="218" t="s">
        <v>172</v>
      </c>
      <c r="B266" s="220">
        <v>127345424.45999999</v>
      </c>
      <c r="C266" s="64" t="s">
        <v>344</v>
      </c>
      <c r="D266" s="4">
        <v>45271</v>
      </c>
      <c r="E266" s="174">
        <v>30</v>
      </c>
      <c r="F266" s="165">
        <f t="shared" si="44"/>
        <v>45301</v>
      </c>
      <c r="G266" s="164">
        <f t="shared" si="45"/>
        <v>-10</v>
      </c>
      <c r="H266" s="166">
        <f t="shared" si="49"/>
        <v>127345424.45999999</v>
      </c>
      <c r="I266" s="164"/>
      <c r="J266" s="164"/>
      <c r="K266" s="164"/>
      <c r="L266" s="166"/>
    </row>
    <row r="267" spans="1:12" ht="14.5">
      <c r="A267" s="218" t="s">
        <v>172</v>
      </c>
      <c r="B267" s="220">
        <v>292088662.99000001</v>
      </c>
      <c r="C267" s="64" t="s">
        <v>345</v>
      </c>
      <c r="D267" s="4">
        <v>45271</v>
      </c>
      <c r="E267" s="174">
        <v>30</v>
      </c>
      <c r="F267" s="165">
        <f t="shared" si="44"/>
        <v>45301</v>
      </c>
      <c r="G267" s="164">
        <f t="shared" si="45"/>
        <v>-10</v>
      </c>
      <c r="H267" s="166">
        <f t="shared" si="49"/>
        <v>292088662.99000001</v>
      </c>
      <c r="I267" s="164"/>
      <c r="J267" s="164"/>
      <c r="K267" s="164"/>
      <c r="L267" s="164"/>
    </row>
    <row r="268" spans="1:12" ht="14.5">
      <c r="A268" s="218" t="s">
        <v>172</v>
      </c>
      <c r="B268" s="220">
        <v>278291103.5</v>
      </c>
      <c r="C268" s="64" t="s">
        <v>346</v>
      </c>
      <c r="D268" s="4">
        <v>45272</v>
      </c>
      <c r="E268" s="174">
        <v>30</v>
      </c>
      <c r="F268" s="165">
        <f t="shared" si="44"/>
        <v>45302</v>
      </c>
      <c r="G268" s="164">
        <f t="shared" si="45"/>
        <v>-11</v>
      </c>
      <c r="H268" s="166">
        <f t="shared" si="49"/>
        <v>278291103.5</v>
      </c>
      <c r="I268" s="164"/>
      <c r="J268" s="164"/>
      <c r="K268" s="166"/>
      <c r="L268" s="164"/>
    </row>
    <row r="269" spans="1:12" ht="14.5">
      <c r="A269" s="218" t="s">
        <v>172</v>
      </c>
      <c r="B269" s="219">
        <v>268098783.13999999</v>
      </c>
      <c r="C269" s="64" t="s">
        <v>347</v>
      </c>
      <c r="D269" s="4">
        <v>45273</v>
      </c>
      <c r="E269" s="174">
        <v>30</v>
      </c>
      <c r="F269" s="165">
        <f t="shared" si="44"/>
        <v>45303</v>
      </c>
      <c r="G269" s="164">
        <f t="shared" si="45"/>
        <v>-12</v>
      </c>
      <c r="H269" s="166">
        <f t="shared" si="49"/>
        <v>268098783.13999999</v>
      </c>
      <c r="I269" s="164"/>
      <c r="J269" s="164"/>
      <c r="K269" s="164"/>
      <c r="L269" s="164"/>
    </row>
    <row r="270" spans="1:12" ht="14.5">
      <c r="A270" s="218" t="s">
        <v>172</v>
      </c>
      <c r="B270" s="219">
        <v>265140985.81</v>
      </c>
      <c r="C270" s="64" t="s">
        <v>348</v>
      </c>
      <c r="D270" s="4">
        <v>45275</v>
      </c>
      <c r="E270" s="174">
        <v>30</v>
      </c>
      <c r="F270" s="165">
        <f t="shared" si="44"/>
        <v>45305</v>
      </c>
      <c r="G270" s="164">
        <f t="shared" si="45"/>
        <v>-14</v>
      </c>
      <c r="H270" s="166">
        <f t="shared" si="49"/>
        <v>265140985.81</v>
      </c>
      <c r="I270" s="164"/>
      <c r="J270" s="164"/>
      <c r="K270" s="164"/>
      <c r="L270" s="164"/>
    </row>
    <row r="271" spans="1:12" ht="14.5">
      <c r="A271" s="218" t="s">
        <v>172</v>
      </c>
      <c r="B271" s="219">
        <v>238731723.56999999</v>
      </c>
      <c r="C271" s="64" t="s">
        <v>349</v>
      </c>
      <c r="D271" s="4">
        <v>45276</v>
      </c>
      <c r="E271" s="174">
        <v>30</v>
      </c>
      <c r="F271" s="165">
        <f t="shared" si="44"/>
        <v>45306</v>
      </c>
      <c r="G271" s="164">
        <f t="shared" si="45"/>
        <v>-15</v>
      </c>
      <c r="H271" s="166">
        <f t="shared" si="49"/>
        <v>238731723.56999999</v>
      </c>
      <c r="I271" s="164"/>
      <c r="J271" s="164"/>
      <c r="K271" s="164"/>
      <c r="L271" s="164"/>
    </row>
    <row r="272" spans="1:12" ht="14.5">
      <c r="A272" s="218" t="s">
        <v>172</v>
      </c>
      <c r="B272" s="220">
        <v>142263665.53999999</v>
      </c>
      <c r="C272" s="64" t="s">
        <v>350</v>
      </c>
      <c r="D272" s="4">
        <v>45278</v>
      </c>
      <c r="E272" s="174">
        <v>30</v>
      </c>
      <c r="F272" s="165">
        <f t="shared" si="44"/>
        <v>45308</v>
      </c>
      <c r="G272" s="164">
        <f t="shared" si="45"/>
        <v>-17</v>
      </c>
      <c r="H272" s="166">
        <f t="shared" si="49"/>
        <v>142263665.53999999</v>
      </c>
      <c r="I272" s="164"/>
      <c r="J272" s="164"/>
      <c r="K272" s="164"/>
      <c r="L272" s="164"/>
    </row>
    <row r="273" spans="1:17" ht="14.5">
      <c r="A273" s="218" t="s">
        <v>172</v>
      </c>
      <c r="B273" s="220">
        <v>175461998.74000001</v>
      </c>
      <c r="C273" s="64" t="s">
        <v>351</v>
      </c>
      <c r="D273" s="4">
        <v>45280</v>
      </c>
      <c r="E273" s="174">
        <v>30</v>
      </c>
      <c r="F273" s="165">
        <f t="shared" si="44"/>
        <v>45310</v>
      </c>
      <c r="G273" s="164">
        <f t="shared" si="45"/>
        <v>-19</v>
      </c>
      <c r="H273" s="166">
        <f t="shared" si="49"/>
        <v>175461998.74000001</v>
      </c>
      <c r="I273" s="164"/>
      <c r="J273" s="164"/>
      <c r="K273" s="164"/>
      <c r="L273" s="164"/>
    </row>
    <row r="274" spans="1:17" ht="14.5">
      <c r="A274" s="218" t="s">
        <v>172</v>
      </c>
      <c r="B274" s="220">
        <v>97823153.799999997</v>
      </c>
      <c r="C274" s="64" t="s">
        <v>352</v>
      </c>
      <c r="D274" s="4">
        <v>45281</v>
      </c>
      <c r="E274" s="174">
        <v>30</v>
      </c>
      <c r="F274" s="165">
        <f t="shared" si="44"/>
        <v>45311</v>
      </c>
      <c r="G274" s="164">
        <f t="shared" si="45"/>
        <v>-20</v>
      </c>
      <c r="H274" s="166">
        <f t="shared" si="49"/>
        <v>97823153.799999997</v>
      </c>
      <c r="I274" s="164"/>
      <c r="J274" s="164"/>
      <c r="K274" s="164"/>
      <c r="L274" s="164"/>
    </row>
    <row r="275" spans="1:17" ht="14.5">
      <c r="A275" s="218" t="s">
        <v>172</v>
      </c>
      <c r="B275" s="220">
        <v>257468094.22</v>
      </c>
      <c r="C275" s="64" t="s">
        <v>353</v>
      </c>
      <c r="D275" s="4">
        <v>45281</v>
      </c>
      <c r="E275" s="174">
        <v>30</v>
      </c>
      <c r="F275" s="165">
        <f t="shared" si="44"/>
        <v>45311</v>
      </c>
      <c r="G275" s="164">
        <f t="shared" si="45"/>
        <v>-20</v>
      </c>
      <c r="H275" s="166">
        <f t="shared" si="49"/>
        <v>257468094.22</v>
      </c>
      <c r="I275" s="164"/>
      <c r="J275" s="164"/>
      <c r="K275" s="164"/>
      <c r="L275" s="164"/>
    </row>
    <row r="276" spans="1:17" ht="14.5">
      <c r="A276" s="218" t="s">
        <v>172</v>
      </c>
      <c r="B276" s="220">
        <v>57654470.630000003</v>
      </c>
      <c r="C276" s="64" t="s">
        <v>354</v>
      </c>
      <c r="D276" s="4">
        <v>45286</v>
      </c>
      <c r="E276" s="174">
        <v>30</v>
      </c>
      <c r="F276" s="165">
        <f t="shared" si="44"/>
        <v>45316</v>
      </c>
      <c r="G276" s="164">
        <f t="shared" si="45"/>
        <v>-25</v>
      </c>
      <c r="H276" s="166">
        <f t="shared" si="49"/>
        <v>57654470.630000003</v>
      </c>
      <c r="I276" s="164"/>
      <c r="J276" s="164"/>
      <c r="K276" s="164"/>
      <c r="L276" s="164"/>
    </row>
    <row r="277" spans="1:17">
      <c r="A277" s="164"/>
      <c r="B277" s="173"/>
      <c r="C277" s="256"/>
      <c r="D277" s="165"/>
      <c r="E277" s="174"/>
      <c r="F277" s="165"/>
      <c r="G277" s="164"/>
      <c r="H277" s="166"/>
      <c r="I277" s="164"/>
      <c r="J277" s="164"/>
      <c r="K277" s="164"/>
      <c r="L277" s="164"/>
    </row>
    <row r="278" spans="1:17">
      <c r="A278" s="164"/>
      <c r="B278" s="173"/>
      <c r="C278" s="256"/>
      <c r="D278" s="165"/>
      <c r="E278" s="174"/>
      <c r="F278" s="165"/>
      <c r="G278" s="164"/>
      <c r="H278" s="166"/>
      <c r="I278" s="164"/>
      <c r="J278" s="164"/>
      <c r="K278" s="164"/>
      <c r="L278" s="164"/>
    </row>
    <row r="279" spans="1:17" s="158" customFormat="1">
      <c r="A279" s="176" t="s">
        <v>246</v>
      </c>
      <c r="B279" s="180">
        <f>SUM(B6:B278)</f>
        <v>16458420785.619995</v>
      </c>
      <c r="C279" s="263"/>
      <c r="H279" s="177">
        <f>SUM(H6:H278)</f>
        <v>8797107462.9599991</v>
      </c>
      <c r="I279" s="177">
        <f>SUM(I6:I278)</f>
        <v>1350135806.0399997</v>
      </c>
      <c r="J279" s="177">
        <f>SUM(J6:J278)</f>
        <v>1403649790.2299998</v>
      </c>
      <c r="K279" s="177">
        <f>SUM(K6:K278)</f>
        <v>81175580</v>
      </c>
      <c r="L279" s="177">
        <f>SUM(L6:L278)</f>
        <v>4826352146.3899994</v>
      </c>
      <c r="M279" s="162"/>
      <c r="N279" s="162"/>
      <c r="O279" s="162"/>
      <c r="P279" s="162"/>
      <c r="Q279" s="162"/>
    </row>
    <row r="280" spans="1:17">
      <c r="A280" s="178" t="s">
        <v>243</v>
      </c>
      <c r="B280" s="179">
        <v>16458420785.620001</v>
      </c>
    </row>
    <row r="281" spans="1:17">
      <c r="B281" s="180">
        <f>B279-B280</f>
        <v>0</v>
      </c>
    </row>
    <row r="283" spans="1:17">
      <c r="H283" s="206">
        <v>0.90198110702787015</v>
      </c>
      <c r="I283" s="206">
        <v>1.7985725586499961E-2</v>
      </c>
      <c r="J283" s="206"/>
      <c r="K283" s="206">
        <v>2.4019430921829784E-2</v>
      </c>
      <c r="L283" s="206">
        <v>5.6013736463800104E-2</v>
      </c>
    </row>
  </sheetData>
  <autoFilter ref="A5:L281" xr:uid="{EA740C41-3EFC-4FD0-8743-E262FFF5155F}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6FD5-1B3D-4568-A883-5F299478C201}">
  <sheetPr>
    <tabColor theme="8" tint="0.39997558519241921"/>
  </sheetPr>
  <dimension ref="A1:XFD61"/>
  <sheetViews>
    <sheetView workbookViewId="0">
      <pane xSplit="2" ySplit="6" topLeftCell="M22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RowHeight="14.5"/>
  <cols>
    <col min="1" max="1" width="18.54296875" bestFit="1" customWidth="1"/>
    <col min="2" max="2" width="17.36328125" bestFit="1" customWidth="1"/>
    <col min="3" max="3" width="11.54296875" bestFit="1" customWidth="1"/>
    <col min="4" max="4" width="10.453125" bestFit="1" customWidth="1"/>
    <col min="5" max="5" width="12.08984375" bestFit="1" customWidth="1"/>
    <col min="6" max="6" width="18.6328125" bestFit="1" customWidth="1"/>
    <col min="7" max="7" width="10.453125" customWidth="1"/>
    <col min="8" max="8" width="17.36328125" bestFit="1" customWidth="1"/>
    <col min="9" max="9" width="16.26953125" bestFit="1" customWidth="1"/>
    <col min="10" max="11" width="10.453125" customWidth="1"/>
    <col min="12" max="12" width="16.26953125" bestFit="1" customWidth="1"/>
    <col min="13" max="13" width="18.54296875" bestFit="1" customWidth="1"/>
    <col min="14" max="14" width="17.453125" bestFit="1" customWidth="1"/>
    <col min="15" max="15" width="13.81640625" bestFit="1" customWidth="1"/>
    <col min="16" max="18" width="8.81640625" bestFit="1" customWidth="1"/>
  </cols>
  <sheetData>
    <row r="1" spans="1:13">
      <c r="A1" s="198" t="s">
        <v>172</v>
      </c>
    </row>
    <row r="2" spans="1:13">
      <c r="A2" s="198" t="s">
        <v>268</v>
      </c>
    </row>
    <row r="3" spans="1:13">
      <c r="A3" s="199">
        <v>44926</v>
      </c>
    </row>
    <row r="5" spans="1:13">
      <c r="A5" s="1"/>
      <c r="B5" s="1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  <c r="M5" s="2"/>
    </row>
    <row r="6" spans="1:13">
      <c r="A6" s="2" t="s">
        <v>2</v>
      </c>
      <c r="B6" s="2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  <c r="M6" s="2" t="s">
        <v>269</v>
      </c>
    </row>
    <row r="7" spans="1:13">
      <c r="A7" s="1" t="s">
        <v>102</v>
      </c>
      <c r="B7" s="3">
        <v>1791760900</v>
      </c>
      <c r="C7" s="2"/>
      <c r="D7" s="185">
        <v>44865</v>
      </c>
      <c r="E7" s="1">
        <v>60</v>
      </c>
      <c r="F7" s="4">
        <f>D7+E7</f>
        <v>44925</v>
      </c>
      <c r="G7" s="1">
        <f>$A$3-F7</f>
        <v>1</v>
      </c>
      <c r="H7" s="62"/>
      <c r="I7" s="62">
        <f>B7</f>
        <v>1791760900</v>
      </c>
      <c r="J7" s="1"/>
      <c r="K7" s="1"/>
      <c r="L7" s="1"/>
      <c r="M7" s="4">
        <v>44930</v>
      </c>
    </row>
    <row r="8" spans="1:13">
      <c r="A8" s="1" t="s">
        <v>102</v>
      </c>
      <c r="B8" s="3">
        <v>2219644100</v>
      </c>
      <c r="C8" s="1" t="s">
        <v>270</v>
      </c>
      <c r="D8" s="4">
        <v>44926</v>
      </c>
      <c r="E8" s="1">
        <v>60</v>
      </c>
      <c r="F8" s="4">
        <f t="shared" ref="F8:F16" si="0">D8+E8</f>
        <v>44986</v>
      </c>
      <c r="G8" s="1">
        <f t="shared" ref="G8:G16" si="1">$A$3-F8</f>
        <v>-60</v>
      </c>
      <c r="H8" s="62">
        <f>B8</f>
        <v>2219644100</v>
      </c>
      <c r="I8" s="4"/>
      <c r="J8" s="4"/>
      <c r="K8" s="4"/>
      <c r="L8" s="4"/>
      <c r="M8" s="4" t="s">
        <v>271</v>
      </c>
    </row>
    <row r="9" spans="1:13">
      <c r="A9" s="1" t="s">
        <v>272</v>
      </c>
      <c r="B9" s="3">
        <v>1498694731</v>
      </c>
      <c r="C9" s="1"/>
      <c r="D9" s="185">
        <v>44895</v>
      </c>
      <c r="E9" s="1">
        <v>60</v>
      </c>
      <c r="F9" s="4">
        <f t="shared" si="0"/>
        <v>44955</v>
      </c>
      <c r="G9" s="1">
        <f t="shared" si="1"/>
        <v>-29</v>
      </c>
      <c r="H9" s="62">
        <f t="shared" ref="H9:H16" si="2">B9</f>
        <v>1498694731</v>
      </c>
      <c r="I9" s="1"/>
      <c r="J9" s="1"/>
      <c r="K9" s="1"/>
      <c r="L9" s="1"/>
      <c r="M9" s="4">
        <v>44938</v>
      </c>
    </row>
    <row r="10" spans="1:13">
      <c r="A10" s="1" t="s">
        <v>107</v>
      </c>
      <c r="B10" s="3">
        <v>1924366936.3400002</v>
      </c>
      <c r="C10" s="1"/>
      <c r="D10" s="185">
        <v>44895</v>
      </c>
      <c r="E10" s="1">
        <v>60</v>
      </c>
      <c r="F10" s="4">
        <f t="shared" si="0"/>
        <v>44955</v>
      </c>
      <c r="G10" s="1">
        <f t="shared" si="1"/>
        <v>-29</v>
      </c>
      <c r="H10" s="62">
        <f t="shared" si="2"/>
        <v>1924366936.3400002</v>
      </c>
      <c r="I10" s="1"/>
      <c r="J10" s="1"/>
      <c r="K10" s="1"/>
      <c r="L10" s="1"/>
      <c r="M10" s="4">
        <v>44942</v>
      </c>
    </row>
    <row r="11" spans="1:13">
      <c r="A11" s="1" t="s">
        <v>111</v>
      </c>
      <c r="B11" s="3">
        <f>3327237119</f>
        <v>3327237119</v>
      </c>
      <c r="C11" s="1"/>
      <c r="D11" s="185">
        <v>44895</v>
      </c>
      <c r="E11" s="1">
        <v>60</v>
      </c>
      <c r="F11" s="4">
        <f t="shared" si="0"/>
        <v>44955</v>
      </c>
      <c r="G11" s="1">
        <f t="shared" si="1"/>
        <v>-29</v>
      </c>
      <c r="H11" s="62">
        <f t="shared" si="2"/>
        <v>3327237119</v>
      </c>
      <c r="I11" s="1"/>
      <c r="J11" s="1"/>
      <c r="K11" s="1"/>
      <c r="L11" s="1"/>
      <c r="M11" s="1" t="s">
        <v>271</v>
      </c>
    </row>
    <row r="12" spans="1:13">
      <c r="A12" s="1" t="s">
        <v>111</v>
      </c>
      <c r="B12" s="3">
        <v>2013568000</v>
      </c>
      <c r="C12" s="1" t="s">
        <v>273</v>
      </c>
      <c r="D12" s="4">
        <v>44926</v>
      </c>
      <c r="E12" s="1">
        <v>60</v>
      </c>
      <c r="F12" s="4">
        <f t="shared" si="0"/>
        <v>44986</v>
      </c>
      <c r="G12" s="1">
        <f t="shared" si="1"/>
        <v>-60</v>
      </c>
      <c r="H12" s="62">
        <f t="shared" si="2"/>
        <v>2013568000</v>
      </c>
      <c r="I12" s="4"/>
      <c r="J12" s="4"/>
      <c r="K12" s="4"/>
      <c r="L12" s="4"/>
      <c r="M12" s="1" t="s">
        <v>271</v>
      </c>
    </row>
    <row r="13" spans="1:13">
      <c r="A13" s="1" t="s">
        <v>111</v>
      </c>
      <c r="B13" s="3">
        <v>2013568000</v>
      </c>
      <c r="C13" s="1" t="s">
        <v>273</v>
      </c>
      <c r="D13" s="4">
        <v>44926</v>
      </c>
      <c r="E13" s="1">
        <v>60</v>
      </c>
      <c r="F13" s="4">
        <f t="shared" si="0"/>
        <v>44986</v>
      </c>
      <c r="G13" s="1">
        <f t="shared" si="1"/>
        <v>-60</v>
      </c>
      <c r="H13" s="62">
        <f t="shared" si="2"/>
        <v>2013568000</v>
      </c>
      <c r="I13" s="4"/>
      <c r="J13" s="4"/>
      <c r="K13" s="4"/>
      <c r="L13" s="4"/>
      <c r="M13" s="1"/>
    </row>
    <row r="14" spans="1:13">
      <c r="A14" s="1" t="s">
        <v>259</v>
      </c>
      <c r="B14" s="3">
        <v>1935110265.3800013</v>
      </c>
      <c r="C14" s="1"/>
      <c r="D14" s="185">
        <v>44895</v>
      </c>
      <c r="E14" s="1">
        <v>60</v>
      </c>
      <c r="F14" s="4">
        <f t="shared" si="0"/>
        <v>44955</v>
      </c>
      <c r="G14" s="1">
        <f t="shared" si="1"/>
        <v>-29</v>
      </c>
      <c r="H14" s="62">
        <f t="shared" si="2"/>
        <v>1935110265.3800013</v>
      </c>
      <c r="I14" s="4"/>
      <c r="J14" s="4"/>
      <c r="K14" s="4"/>
      <c r="L14" s="4"/>
      <c r="M14" s="4">
        <v>44928</v>
      </c>
    </row>
    <row r="15" spans="1:13">
      <c r="A15" s="1" t="s">
        <v>259</v>
      </c>
      <c r="B15" s="3">
        <v>1398234204</v>
      </c>
      <c r="C15" s="1" t="s">
        <v>274</v>
      </c>
      <c r="D15" s="4">
        <v>44926</v>
      </c>
      <c r="E15" s="1">
        <v>60</v>
      </c>
      <c r="F15" s="4">
        <f t="shared" si="0"/>
        <v>44986</v>
      </c>
      <c r="G15" s="1">
        <f t="shared" si="1"/>
        <v>-60</v>
      </c>
      <c r="H15" s="62">
        <f t="shared" si="2"/>
        <v>1398234204</v>
      </c>
      <c r="I15" s="4"/>
      <c r="J15" s="4"/>
      <c r="K15" s="4"/>
      <c r="L15" s="4"/>
      <c r="M15" s="4">
        <v>44960</v>
      </c>
    </row>
    <row r="16" spans="1:13">
      <c r="A16" s="1" t="s">
        <v>259</v>
      </c>
      <c r="B16" s="3">
        <v>1376283795.8399999</v>
      </c>
      <c r="C16" s="1" t="s">
        <v>275</v>
      </c>
      <c r="D16" s="4">
        <v>44926</v>
      </c>
      <c r="E16" s="1">
        <v>60</v>
      </c>
      <c r="F16" s="4">
        <f t="shared" si="0"/>
        <v>44986</v>
      </c>
      <c r="G16" s="1">
        <f t="shared" si="1"/>
        <v>-60</v>
      </c>
      <c r="H16" s="62">
        <f t="shared" si="2"/>
        <v>1376283795.8399999</v>
      </c>
      <c r="I16" s="4"/>
      <c r="J16" s="4"/>
      <c r="K16" s="4"/>
      <c r="L16" s="4"/>
      <c r="M16" s="4">
        <v>44956</v>
      </c>
    </row>
    <row r="17" spans="1:18 16384:16384">
      <c r="A17" s="6"/>
      <c r="B17" s="183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8 16384:16384">
      <c r="A18" s="1" t="s">
        <v>113</v>
      </c>
      <c r="B18" s="3">
        <v>49950000</v>
      </c>
      <c r="C18" s="1"/>
      <c r="D18" s="4">
        <v>44895</v>
      </c>
      <c r="E18" s="1">
        <v>30</v>
      </c>
      <c r="F18" s="4">
        <f t="shared" ref="F18:F26" si="3">D18+E18</f>
        <v>44925</v>
      </c>
      <c r="G18" s="1">
        <f t="shared" ref="G18:G26" si="4">$A$3-F18</f>
        <v>1</v>
      </c>
      <c r="H18" s="62"/>
      <c r="I18" s="39">
        <f>B18</f>
        <v>49950000</v>
      </c>
      <c r="J18" s="1"/>
      <c r="K18" s="1"/>
      <c r="L18" s="1"/>
      <c r="M18" s="4">
        <v>44951</v>
      </c>
    </row>
    <row r="19" spans="1:18 16384:16384">
      <c r="A19" s="1" t="s">
        <v>113</v>
      </c>
      <c r="B19" s="3">
        <v>38480000</v>
      </c>
      <c r="C19" s="1"/>
      <c r="D19" s="4">
        <v>44914</v>
      </c>
      <c r="E19" s="1">
        <v>30</v>
      </c>
      <c r="F19" s="4">
        <f t="shared" si="3"/>
        <v>44944</v>
      </c>
      <c r="G19" s="1">
        <f t="shared" si="4"/>
        <v>-18</v>
      </c>
      <c r="H19" s="62">
        <f>B19</f>
        <v>38480000</v>
      </c>
      <c r="I19" s="1"/>
      <c r="J19" s="1"/>
      <c r="K19" s="1"/>
      <c r="L19" s="1"/>
      <c r="M19" s="4"/>
    </row>
    <row r="20" spans="1:18 16384:16384">
      <c r="A20" s="1" t="s">
        <v>125</v>
      </c>
      <c r="B20" s="3">
        <v>14335000</v>
      </c>
      <c r="C20" s="1"/>
      <c r="D20" s="4">
        <v>44888</v>
      </c>
      <c r="E20" s="1">
        <v>30</v>
      </c>
      <c r="F20" s="4">
        <f t="shared" si="3"/>
        <v>44918</v>
      </c>
      <c r="G20" s="1">
        <f t="shared" si="4"/>
        <v>8</v>
      </c>
      <c r="H20" s="62"/>
      <c r="I20" s="39">
        <f t="shared" ref="I20:I21" si="5">B20</f>
        <v>14335000</v>
      </c>
      <c r="J20" s="1"/>
      <c r="K20" s="1"/>
      <c r="L20" s="1"/>
      <c r="M20" s="4">
        <v>44932</v>
      </c>
    </row>
    <row r="21" spans="1:18 16384:16384">
      <c r="A21" s="1" t="s">
        <v>125</v>
      </c>
      <c r="B21" s="3">
        <v>8440000</v>
      </c>
      <c r="C21" s="1"/>
      <c r="D21" s="4">
        <v>44895</v>
      </c>
      <c r="E21" s="1">
        <v>30</v>
      </c>
      <c r="F21" s="4">
        <f t="shared" si="3"/>
        <v>44925</v>
      </c>
      <c r="G21" s="1">
        <f t="shared" si="4"/>
        <v>1</v>
      </c>
      <c r="H21" s="62"/>
      <c r="I21" s="39">
        <f t="shared" si="5"/>
        <v>8440000</v>
      </c>
      <c r="J21" s="1"/>
      <c r="K21" s="1"/>
      <c r="L21" s="1"/>
      <c r="M21" s="4"/>
    </row>
    <row r="22" spans="1:18 16384:16384">
      <c r="A22" s="1" t="s">
        <v>125</v>
      </c>
      <c r="B22" s="3">
        <v>10325000</v>
      </c>
      <c r="C22" s="1"/>
      <c r="D22" s="4">
        <v>44902</v>
      </c>
      <c r="E22" s="1">
        <v>30</v>
      </c>
      <c r="F22" s="4">
        <f t="shared" si="3"/>
        <v>44932</v>
      </c>
      <c r="G22" s="1">
        <f t="shared" si="4"/>
        <v>-6</v>
      </c>
      <c r="H22" s="62">
        <f t="shared" ref="H22:H26" si="6">B22</f>
        <v>10325000</v>
      </c>
      <c r="I22" s="1"/>
      <c r="J22" s="1"/>
      <c r="K22" s="1"/>
      <c r="L22" s="1"/>
      <c r="M22" s="4"/>
    </row>
    <row r="23" spans="1:18 16384:16384">
      <c r="A23" s="1" t="s">
        <v>125</v>
      </c>
      <c r="B23" s="3">
        <v>11395000</v>
      </c>
      <c r="C23" s="1"/>
      <c r="D23" s="4">
        <v>44909</v>
      </c>
      <c r="E23" s="1">
        <v>30</v>
      </c>
      <c r="F23" s="4">
        <f t="shared" si="3"/>
        <v>44939</v>
      </c>
      <c r="G23" s="1">
        <f t="shared" si="4"/>
        <v>-13</v>
      </c>
      <c r="H23" s="62">
        <f t="shared" si="6"/>
        <v>11395000</v>
      </c>
      <c r="I23" s="1"/>
      <c r="J23" s="1"/>
      <c r="K23" s="1"/>
      <c r="L23" s="1"/>
      <c r="M23" s="4"/>
    </row>
    <row r="24" spans="1:18 16384:16384">
      <c r="A24" s="1" t="s">
        <v>125</v>
      </c>
      <c r="B24" s="3">
        <v>20260000</v>
      </c>
      <c r="C24" s="1"/>
      <c r="D24" s="4">
        <v>44917</v>
      </c>
      <c r="E24" s="1">
        <v>30</v>
      </c>
      <c r="F24" s="4">
        <f t="shared" si="3"/>
        <v>44947</v>
      </c>
      <c r="G24" s="1">
        <f t="shared" si="4"/>
        <v>-21</v>
      </c>
      <c r="H24" s="62">
        <f t="shared" si="6"/>
        <v>20260000</v>
      </c>
      <c r="I24" s="1"/>
      <c r="J24" s="1"/>
      <c r="K24" s="1"/>
      <c r="L24" s="1"/>
      <c r="M24" s="4"/>
    </row>
    <row r="25" spans="1:18 16384:16384">
      <c r="A25" s="1" t="s">
        <v>125</v>
      </c>
      <c r="B25" s="3">
        <v>19180000</v>
      </c>
      <c r="C25" s="1"/>
      <c r="D25" s="4">
        <v>44923</v>
      </c>
      <c r="E25" s="1">
        <v>30</v>
      </c>
      <c r="F25" s="4">
        <f t="shared" si="3"/>
        <v>44953</v>
      </c>
      <c r="G25" s="1">
        <f t="shared" si="4"/>
        <v>-27</v>
      </c>
      <c r="H25" s="62">
        <f t="shared" si="6"/>
        <v>19180000</v>
      </c>
      <c r="I25" s="1"/>
      <c r="J25" s="1"/>
      <c r="K25" s="1"/>
      <c r="L25" s="1"/>
      <c r="M25" s="4"/>
    </row>
    <row r="26" spans="1:18 16384:16384">
      <c r="A26" s="1" t="s">
        <v>125</v>
      </c>
      <c r="B26" s="3">
        <v>7000000</v>
      </c>
      <c r="C26" s="1"/>
      <c r="D26" s="4">
        <v>44924</v>
      </c>
      <c r="E26" s="1">
        <v>30</v>
      </c>
      <c r="F26" s="4">
        <f t="shared" si="3"/>
        <v>44954</v>
      </c>
      <c r="G26" s="1">
        <f t="shared" si="4"/>
        <v>-28</v>
      </c>
      <c r="H26" s="62">
        <f t="shared" si="6"/>
        <v>7000000</v>
      </c>
      <c r="I26" s="1"/>
      <c r="J26" s="1"/>
      <c r="K26" s="1"/>
      <c r="L26" s="1"/>
      <c r="M26" s="4"/>
    </row>
    <row r="27" spans="1:18 16384:16384">
      <c r="A27" s="1" t="s">
        <v>276</v>
      </c>
      <c r="B27" s="3">
        <v>19754400</v>
      </c>
      <c r="C27" s="1"/>
      <c r="D27" s="4"/>
      <c r="E27" s="1"/>
      <c r="F27" s="4"/>
      <c r="G27" s="1"/>
      <c r="H27" s="62"/>
      <c r="I27" s="62">
        <f>B27</f>
        <v>19754400</v>
      </c>
      <c r="J27" s="1"/>
      <c r="K27" s="1"/>
      <c r="L27" s="1"/>
      <c r="M27" s="4"/>
    </row>
    <row r="28" spans="1:18 16384:16384">
      <c r="A28" s="8"/>
      <c r="B28" s="18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6">
        <f>SUM(H7:H27)</f>
        <v>17813347151.560001</v>
      </c>
      <c r="O28" s="16">
        <f>SUM(I7:I27)</f>
        <v>1884240300</v>
      </c>
      <c r="P28" s="16">
        <f>SUM(J7:J27)</f>
        <v>0</v>
      </c>
      <c r="Q28" s="16">
        <f>SUM(K7:K27)</f>
        <v>0</v>
      </c>
      <c r="R28" s="16">
        <f>SUM(L7:L27)</f>
        <v>0</v>
      </c>
      <c r="XFD28" s="203"/>
    </row>
    <row r="29" spans="1:18 16384:16384">
      <c r="A29" s="1" t="s">
        <v>265</v>
      </c>
      <c r="B29" s="3">
        <v>10500000</v>
      </c>
      <c r="C29" s="1"/>
      <c r="D29" s="1"/>
      <c r="E29" s="1"/>
      <c r="F29" s="1"/>
      <c r="G29" s="1"/>
      <c r="H29" s="1"/>
      <c r="I29" s="1"/>
      <c r="J29" s="1"/>
      <c r="K29" s="1"/>
      <c r="L29" s="62">
        <f>B29</f>
        <v>10500000</v>
      </c>
      <c r="M29" s="1"/>
    </row>
    <row r="30" spans="1:18 16384:16384">
      <c r="A30" s="1" t="s">
        <v>266</v>
      </c>
      <c r="B30" s="3">
        <v>500000000</v>
      </c>
      <c r="C30" s="1"/>
      <c r="D30" s="1"/>
      <c r="E30" s="1"/>
      <c r="F30" s="1"/>
      <c r="G30" s="1"/>
      <c r="H30" s="1"/>
      <c r="I30" s="1"/>
      <c r="J30" s="1"/>
      <c r="K30" s="1"/>
      <c r="L30" s="62">
        <f t="shared" ref="L30:L31" si="7">B30</f>
        <v>500000000</v>
      </c>
      <c r="M30" s="1"/>
    </row>
    <row r="31" spans="1:18 16384:16384">
      <c r="A31" s="1" t="s">
        <v>144</v>
      </c>
      <c r="B31" s="3">
        <v>6000000000</v>
      </c>
      <c r="C31" s="1"/>
      <c r="D31" s="1"/>
      <c r="E31" s="1"/>
      <c r="F31" s="1"/>
      <c r="G31" s="1"/>
      <c r="H31" s="1"/>
      <c r="I31" s="1"/>
      <c r="J31" s="1"/>
      <c r="K31" s="1"/>
      <c r="L31" s="62">
        <f t="shared" si="7"/>
        <v>6000000000</v>
      </c>
      <c r="M31" s="1"/>
    </row>
    <row r="32" spans="1:18 16384:16384">
      <c r="A32" s="200" t="s">
        <v>145</v>
      </c>
      <c r="B32" s="201">
        <v>222444</v>
      </c>
      <c r="C32" s="1"/>
      <c r="D32" s="165">
        <v>44924</v>
      </c>
      <c r="E32" s="101">
        <v>30</v>
      </c>
      <c r="F32" s="4">
        <f t="shared" ref="F32:F58" si="8">D32+E32</f>
        <v>44954</v>
      </c>
      <c r="G32" s="1">
        <f t="shared" ref="G32:G58" si="9">$A$3-F32</f>
        <v>-28</v>
      </c>
      <c r="H32" s="62">
        <f t="shared" ref="H32:H34" si="10">B32</f>
        <v>222444</v>
      </c>
      <c r="I32" s="1"/>
      <c r="J32" s="1"/>
      <c r="K32" s="1"/>
      <c r="L32" s="1"/>
      <c r="M32" s="1"/>
    </row>
    <row r="33" spans="1:13">
      <c r="A33" s="200" t="s">
        <v>145</v>
      </c>
      <c r="B33" s="202">
        <v>544566</v>
      </c>
      <c r="C33" s="1"/>
      <c r="D33" s="165">
        <v>44925</v>
      </c>
      <c r="E33" s="101">
        <v>30</v>
      </c>
      <c r="F33" s="4">
        <f t="shared" si="8"/>
        <v>44955</v>
      </c>
      <c r="G33" s="1">
        <f t="shared" si="9"/>
        <v>-29</v>
      </c>
      <c r="H33" s="62">
        <f t="shared" si="10"/>
        <v>544566</v>
      </c>
      <c r="I33" s="1"/>
      <c r="J33" s="1"/>
      <c r="K33" s="1"/>
      <c r="L33" s="1"/>
      <c r="M33" s="1"/>
    </row>
    <row r="34" spans="1:13">
      <c r="A34" s="200" t="s">
        <v>145</v>
      </c>
      <c r="B34" s="202">
        <v>497280</v>
      </c>
      <c r="C34" s="1"/>
      <c r="D34" s="165">
        <v>44926</v>
      </c>
      <c r="E34" s="101">
        <v>30</v>
      </c>
      <c r="F34" s="4">
        <f t="shared" si="8"/>
        <v>44956</v>
      </c>
      <c r="G34" s="1">
        <f t="shared" si="9"/>
        <v>-30</v>
      </c>
      <c r="H34" s="62">
        <f t="shared" si="10"/>
        <v>497280</v>
      </c>
      <c r="I34" s="1"/>
      <c r="J34" s="1"/>
      <c r="K34" s="1"/>
      <c r="L34" s="1"/>
      <c r="M34" s="1"/>
    </row>
    <row r="35" spans="1:13">
      <c r="A35" s="200" t="s">
        <v>145</v>
      </c>
      <c r="B35" s="202">
        <v>228265929</v>
      </c>
      <c r="C35" s="1"/>
      <c r="D35" s="165">
        <v>44746</v>
      </c>
      <c r="E35" s="101">
        <v>30</v>
      </c>
      <c r="F35" s="4">
        <f t="shared" si="8"/>
        <v>44776</v>
      </c>
      <c r="G35" s="1">
        <f t="shared" si="9"/>
        <v>150</v>
      </c>
      <c r="H35" s="1"/>
      <c r="I35" s="1"/>
      <c r="J35" s="1"/>
      <c r="K35" s="1"/>
      <c r="L35" s="58">
        <f>B35</f>
        <v>228265929</v>
      </c>
      <c r="M35" s="1"/>
    </row>
    <row r="36" spans="1:13">
      <c r="A36" s="200" t="s">
        <v>145</v>
      </c>
      <c r="B36" s="202">
        <v>55357980</v>
      </c>
      <c r="C36" s="1"/>
      <c r="D36" s="165">
        <v>44749</v>
      </c>
      <c r="E36" s="101">
        <v>30</v>
      </c>
      <c r="F36" s="4">
        <f t="shared" si="8"/>
        <v>44779</v>
      </c>
      <c r="G36" s="1">
        <f t="shared" si="9"/>
        <v>147</v>
      </c>
      <c r="H36" s="1"/>
      <c r="I36" s="1"/>
      <c r="J36" s="1"/>
      <c r="K36" s="1"/>
      <c r="L36" s="58">
        <f t="shared" ref="L36:L58" si="11">B36</f>
        <v>55357980</v>
      </c>
      <c r="M36" s="1"/>
    </row>
    <row r="37" spans="1:13">
      <c r="A37" s="200" t="s">
        <v>145</v>
      </c>
      <c r="B37" s="202">
        <v>260605799</v>
      </c>
      <c r="C37" s="1"/>
      <c r="D37" s="165">
        <v>44762</v>
      </c>
      <c r="E37" s="101">
        <v>30</v>
      </c>
      <c r="F37" s="4">
        <f t="shared" si="8"/>
        <v>44792</v>
      </c>
      <c r="G37" s="1">
        <f t="shared" si="9"/>
        <v>134</v>
      </c>
      <c r="H37" s="1"/>
      <c r="I37" s="1"/>
      <c r="J37" s="1"/>
      <c r="K37" s="1"/>
      <c r="L37" s="58">
        <f t="shared" si="11"/>
        <v>260605799</v>
      </c>
      <c r="M37" s="1"/>
    </row>
    <row r="38" spans="1:13">
      <c r="A38" s="200" t="s">
        <v>145</v>
      </c>
      <c r="B38" s="202">
        <v>35585006</v>
      </c>
      <c r="C38" s="1"/>
      <c r="D38" s="165">
        <v>44740</v>
      </c>
      <c r="E38" s="101">
        <v>30</v>
      </c>
      <c r="F38" s="4">
        <f t="shared" si="8"/>
        <v>44770</v>
      </c>
      <c r="G38" s="1">
        <f t="shared" si="9"/>
        <v>156</v>
      </c>
      <c r="H38" s="1"/>
      <c r="I38" s="1"/>
      <c r="J38" s="1"/>
      <c r="K38" s="1"/>
      <c r="L38" s="58">
        <f t="shared" si="11"/>
        <v>35585006</v>
      </c>
      <c r="M38" s="1"/>
    </row>
    <row r="39" spans="1:13">
      <c r="A39" s="200" t="s">
        <v>145</v>
      </c>
      <c r="B39" s="201">
        <v>38031867</v>
      </c>
      <c r="C39" s="1"/>
      <c r="D39" s="165">
        <v>44740</v>
      </c>
      <c r="E39" s="101">
        <v>30</v>
      </c>
      <c r="F39" s="4">
        <f t="shared" si="8"/>
        <v>44770</v>
      </c>
      <c r="G39" s="1">
        <f t="shared" si="9"/>
        <v>156</v>
      </c>
      <c r="H39" s="1"/>
      <c r="I39" s="1"/>
      <c r="J39" s="1"/>
      <c r="K39" s="1"/>
      <c r="L39" s="58">
        <f t="shared" si="11"/>
        <v>38031867</v>
      </c>
      <c r="M39" s="1"/>
    </row>
    <row r="40" spans="1:13">
      <c r="A40" s="200" t="s">
        <v>145</v>
      </c>
      <c r="B40" s="201">
        <v>60150255</v>
      </c>
      <c r="C40" s="1"/>
      <c r="D40" s="165">
        <v>44709</v>
      </c>
      <c r="E40" s="101">
        <v>30</v>
      </c>
      <c r="F40" s="4">
        <f t="shared" si="8"/>
        <v>44739</v>
      </c>
      <c r="G40" s="1">
        <f t="shared" si="9"/>
        <v>187</v>
      </c>
      <c r="H40" s="1"/>
      <c r="I40" s="1"/>
      <c r="J40" s="1"/>
      <c r="K40" s="1"/>
      <c r="L40" s="58">
        <f t="shared" si="11"/>
        <v>60150255</v>
      </c>
      <c r="M40" s="1"/>
    </row>
    <row r="41" spans="1:13">
      <c r="A41" s="200" t="s">
        <v>145</v>
      </c>
      <c r="B41" s="201">
        <v>154879750</v>
      </c>
      <c r="C41" s="1"/>
      <c r="D41" s="165">
        <v>44743</v>
      </c>
      <c r="E41" s="101">
        <v>30</v>
      </c>
      <c r="F41" s="4">
        <f t="shared" si="8"/>
        <v>44773</v>
      </c>
      <c r="G41" s="1">
        <f t="shared" si="9"/>
        <v>153</v>
      </c>
      <c r="H41" s="1"/>
      <c r="I41" s="1"/>
      <c r="J41" s="1"/>
      <c r="K41" s="1"/>
      <c r="L41" s="58">
        <f t="shared" si="11"/>
        <v>154879750</v>
      </c>
      <c r="M41" s="1"/>
    </row>
    <row r="42" spans="1:13">
      <c r="A42" s="200" t="s">
        <v>145</v>
      </c>
      <c r="B42" s="202">
        <v>73938096</v>
      </c>
      <c r="C42" s="1"/>
      <c r="D42" s="165">
        <v>44747</v>
      </c>
      <c r="E42" s="101">
        <v>30</v>
      </c>
      <c r="F42" s="4">
        <f t="shared" si="8"/>
        <v>44777</v>
      </c>
      <c r="G42" s="1">
        <f t="shared" si="9"/>
        <v>149</v>
      </c>
      <c r="H42" s="1"/>
      <c r="I42" s="1"/>
      <c r="J42" s="1"/>
      <c r="K42" s="1"/>
      <c r="L42" s="58">
        <f t="shared" si="11"/>
        <v>73938096</v>
      </c>
      <c r="M42" s="1"/>
    </row>
    <row r="43" spans="1:13">
      <c r="A43" s="200" t="s">
        <v>145</v>
      </c>
      <c r="B43" s="202">
        <v>58293295</v>
      </c>
      <c r="C43" s="1"/>
      <c r="D43" s="165">
        <v>44748</v>
      </c>
      <c r="E43" s="101">
        <v>30</v>
      </c>
      <c r="F43" s="4">
        <f t="shared" si="8"/>
        <v>44778</v>
      </c>
      <c r="G43" s="1">
        <f t="shared" si="9"/>
        <v>148</v>
      </c>
      <c r="H43" s="1"/>
      <c r="I43" s="1"/>
      <c r="J43" s="1"/>
      <c r="K43" s="1"/>
      <c r="L43" s="58">
        <f t="shared" si="11"/>
        <v>58293295</v>
      </c>
      <c r="M43" s="1"/>
    </row>
    <row r="44" spans="1:13">
      <c r="A44" s="200" t="s">
        <v>145</v>
      </c>
      <c r="B44" s="202">
        <v>31870979</v>
      </c>
      <c r="C44" s="1"/>
      <c r="D44" s="165">
        <v>44748</v>
      </c>
      <c r="E44" s="101">
        <v>30</v>
      </c>
      <c r="F44" s="4">
        <f t="shared" si="8"/>
        <v>44778</v>
      </c>
      <c r="G44" s="1">
        <f t="shared" si="9"/>
        <v>148</v>
      </c>
      <c r="H44" s="1"/>
      <c r="I44" s="1"/>
      <c r="J44" s="1"/>
      <c r="K44" s="1"/>
      <c r="L44" s="58">
        <f t="shared" si="11"/>
        <v>31870979</v>
      </c>
      <c r="M44" s="1"/>
    </row>
    <row r="45" spans="1:13">
      <c r="A45" s="200" t="s">
        <v>145</v>
      </c>
      <c r="B45" s="202">
        <v>194720720</v>
      </c>
      <c r="C45" s="1"/>
      <c r="D45" s="165">
        <v>44753</v>
      </c>
      <c r="E45" s="101">
        <v>30</v>
      </c>
      <c r="F45" s="4">
        <f t="shared" si="8"/>
        <v>44783</v>
      </c>
      <c r="G45" s="1">
        <f t="shared" si="9"/>
        <v>143</v>
      </c>
      <c r="H45" s="1"/>
      <c r="I45" s="1"/>
      <c r="J45" s="1"/>
      <c r="K45" s="1"/>
      <c r="L45" s="58">
        <f t="shared" si="11"/>
        <v>194720720</v>
      </c>
      <c r="M45" s="1"/>
    </row>
    <row r="46" spans="1:13">
      <c r="A46" s="200" t="s">
        <v>145</v>
      </c>
      <c r="B46" s="202">
        <v>14204545</v>
      </c>
      <c r="C46" s="1"/>
      <c r="D46" s="165">
        <v>44767</v>
      </c>
      <c r="E46" s="101">
        <v>30</v>
      </c>
      <c r="F46" s="4">
        <f t="shared" si="8"/>
        <v>44797</v>
      </c>
      <c r="G46" s="1">
        <f t="shared" si="9"/>
        <v>129</v>
      </c>
      <c r="H46" s="1"/>
      <c r="I46" s="1"/>
      <c r="J46" s="1"/>
      <c r="K46" s="1"/>
      <c r="L46" s="58">
        <f t="shared" si="11"/>
        <v>14204545</v>
      </c>
      <c r="M46" s="1"/>
    </row>
    <row r="47" spans="1:13">
      <c r="A47" s="200" t="s">
        <v>145</v>
      </c>
      <c r="B47" s="202">
        <v>141061259</v>
      </c>
      <c r="C47" s="1"/>
      <c r="D47" s="165">
        <v>44788</v>
      </c>
      <c r="E47" s="101">
        <v>30</v>
      </c>
      <c r="F47" s="4">
        <f t="shared" si="8"/>
        <v>44818</v>
      </c>
      <c r="G47" s="1">
        <f t="shared" si="9"/>
        <v>108</v>
      </c>
      <c r="H47" s="1"/>
      <c r="I47" s="1"/>
      <c r="J47" s="1"/>
      <c r="K47" s="1"/>
      <c r="L47" s="58">
        <f t="shared" si="11"/>
        <v>141061259</v>
      </c>
      <c r="M47" s="1"/>
    </row>
    <row r="48" spans="1:13">
      <c r="A48" s="200" t="s">
        <v>145</v>
      </c>
      <c r="B48" s="202">
        <v>31110539</v>
      </c>
      <c r="C48" s="1"/>
      <c r="D48" s="165">
        <v>44767</v>
      </c>
      <c r="E48" s="101">
        <v>30</v>
      </c>
      <c r="F48" s="4">
        <f t="shared" si="8"/>
        <v>44797</v>
      </c>
      <c r="G48" s="1">
        <f t="shared" si="9"/>
        <v>129</v>
      </c>
      <c r="H48" s="1"/>
      <c r="I48" s="1"/>
      <c r="J48" s="1"/>
      <c r="K48" s="1"/>
      <c r="L48" s="58">
        <f t="shared" si="11"/>
        <v>31110539</v>
      </c>
      <c r="M48" s="1"/>
    </row>
    <row r="49" spans="1:13">
      <c r="A49" s="200" t="s">
        <v>145</v>
      </c>
      <c r="B49" s="202">
        <v>41258575</v>
      </c>
      <c r="C49" s="1"/>
      <c r="D49" s="165">
        <v>44768</v>
      </c>
      <c r="E49" s="101">
        <v>30</v>
      </c>
      <c r="F49" s="4">
        <f t="shared" si="8"/>
        <v>44798</v>
      </c>
      <c r="G49" s="1">
        <f t="shared" si="9"/>
        <v>128</v>
      </c>
      <c r="H49" s="1"/>
      <c r="I49" s="1"/>
      <c r="J49" s="1"/>
      <c r="K49" s="1"/>
      <c r="L49" s="58">
        <f t="shared" si="11"/>
        <v>41258575</v>
      </c>
      <c r="M49" s="1"/>
    </row>
    <row r="50" spans="1:13">
      <c r="A50" s="200" t="s">
        <v>145</v>
      </c>
      <c r="B50" s="202">
        <v>1055187</v>
      </c>
      <c r="C50" s="1"/>
      <c r="D50" s="165">
        <v>44777</v>
      </c>
      <c r="E50" s="101">
        <v>30</v>
      </c>
      <c r="F50" s="4">
        <f t="shared" si="8"/>
        <v>44807</v>
      </c>
      <c r="G50" s="1">
        <f t="shared" si="9"/>
        <v>119</v>
      </c>
      <c r="H50" s="1"/>
      <c r="I50" s="1"/>
      <c r="J50" s="1"/>
      <c r="K50" s="1"/>
      <c r="L50" s="58">
        <f t="shared" si="11"/>
        <v>1055187</v>
      </c>
      <c r="M50" s="1"/>
    </row>
    <row r="51" spans="1:13">
      <c r="A51" s="200" t="s">
        <v>145</v>
      </c>
      <c r="B51" s="202">
        <v>1885156</v>
      </c>
      <c r="C51" s="1"/>
      <c r="D51" s="165">
        <v>44801</v>
      </c>
      <c r="E51" s="101">
        <v>30</v>
      </c>
      <c r="F51" s="4">
        <f t="shared" si="8"/>
        <v>44831</v>
      </c>
      <c r="G51" s="1">
        <f t="shared" si="9"/>
        <v>95</v>
      </c>
      <c r="H51" s="1"/>
      <c r="I51" s="1"/>
      <c r="J51" s="1"/>
      <c r="K51" s="1"/>
      <c r="L51" s="58">
        <f t="shared" si="11"/>
        <v>1885156</v>
      </c>
      <c r="M51" s="1"/>
    </row>
    <row r="52" spans="1:13">
      <c r="A52" s="200" t="s">
        <v>145</v>
      </c>
      <c r="B52" s="202">
        <v>83074455</v>
      </c>
      <c r="C52" s="1"/>
      <c r="D52" s="165">
        <v>44781</v>
      </c>
      <c r="E52" s="101">
        <v>30</v>
      </c>
      <c r="F52" s="4">
        <f t="shared" si="8"/>
        <v>44811</v>
      </c>
      <c r="G52" s="1">
        <f t="shared" si="9"/>
        <v>115</v>
      </c>
      <c r="H52" s="1"/>
      <c r="I52" s="1"/>
      <c r="J52" s="1"/>
      <c r="K52" s="1"/>
      <c r="L52" s="58">
        <f t="shared" si="11"/>
        <v>83074455</v>
      </c>
      <c r="M52" s="1"/>
    </row>
    <row r="53" spans="1:13">
      <c r="A53" s="200" t="s">
        <v>145</v>
      </c>
      <c r="B53" s="202">
        <v>328674591</v>
      </c>
      <c r="C53" s="1"/>
      <c r="D53" s="165">
        <v>44769</v>
      </c>
      <c r="E53" s="101">
        <v>30</v>
      </c>
      <c r="F53" s="4">
        <f t="shared" si="8"/>
        <v>44799</v>
      </c>
      <c r="G53" s="1">
        <f t="shared" si="9"/>
        <v>127</v>
      </c>
      <c r="H53" s="1"/>
      <c r="I53" s="1"/>
      <c r="J53" s="1"/>
      <c r="K53" s="1"/>
      <c r="L53" s="58">
        <f t="shared" si="11"/>
        <v>328674591</v>
      </c>
      <c r="M53" s="1"/>
    </row>
    <row r="54" spans="1:13">
      <c r="A54" s="200" t="s">
        <v>145</v>
      </c>
      <c r="B54" s="202">
        <v>12807896</v>
      </c>
      <c r="C54" s="1"/>
      <c r="D54" s="165">
        <v>44769</v>
      </c>
      <c r="E54" s="101">
        <v>30</v>
      </c>
      <c r="F54" s="4">
        <f t="shared" si="8"/>
        <v>44799</v>
      </c>
      <c r="G54" s="1">
        <f t="shared" si="9"/>
        <v>127</v>
      </c>
      <c r="H54" s="1"/>
      <c r="I54" s="1"/>
      <c r="J54" s="1"/>
      <c r="K54" s="1"/>
      <c r="L54" s="58">
        <f t="shared" si="11"/>
        <v>12807896</v>
      </c>
      <c r="M54" s="1"/>
    </row>
    <row r="55" spans="1:13">
      <c r="A55" s="200" t="s">
        <v>145</v>
      </c>
      <c r="B55" s="202">
        <v>138037528</v>
      </c>
      <c r="C55" s="1"/>
      <c r="D55" s="165">
        <v>44771</v>
      </c>
      <c r="E55" s="101">
        <v>30</v>
      </c>
      <c r="F55" s="4">
        <f t="shared" si="8"/>
        <v>44801</v>
      </c>
      <c r="G55" s="1">
        <f t="shared" si="9"/>
        <v>125</v>
      </c>
      <c r="H55" s="1"/>
      <c r="I55" s="1"/>
      <c r="J55" s="1"/>
      <c r="K55" s="1"/>
      <c r="L55" s="58">
        <f t="shared" si="11"/>
        <v>138037528</v>
      </c>
      <c r="M55" s="1"/>
    </row>
    <row r="56" spans="1:13">
      <c r="A56" s="200" t="s">
        <v>145</v>
      </c>
      <c r="B56" s="202">
        <v>36431455</v>
      </c>
      <c r="C56" s="1"/>
      <c r="D56" s="165">
        <v>44774</v>
      </c>
      <c r="E56" s="101">
        <v>30</v>
      </c>
      <c r="F56" s="4">
        <f t="shared" si="8"/>
        <v>44804</v>
      </c>
      <c r="G56" s="1">
        <f t="shared" si="9"/>
        <v>122</v>
      </c>
      <c r="H56" s="1"/>
      <c r="I56" s="1"/>
      <c r="J56" s="1"/>
      <c r="K56" s="1"/>
      <c r="L56" s="58">
        <f t="shared" si="11"/>
        <v>36431455</v>
      </c>
      <c r="M56" s="1"/>
    </row>
    <row r="57" spans="1:13">
      <c r="A57" s="200" t="s">
        <v>145</v>
      </c>
      <c r="B57" s="202">
        <v>320038419</v>
      </c>
      <c r="C57" s="1"/>
      <c r="D57" s="165">
        <v>44771</v>
      </c>
      <c r="E57" s="101">
        <v>30</v>
      </c>
      <c r="F57" s="4">
        <f t="shared" si="8"/>
        <v>44801</v>
      </c>
      <c r="G57" s="1">
        <f t="shared" si="9"/>
        <v>125</v>
      </c>
      <c r="H57" s="1"/>
      <c r="I57" s="1"/>
      <c r="J57" s="1"/>
      <c r="K57" s="1"/>
      <c r="L57" s="58">
        <f t="shared" si="11"/>
        <v>320038419</v>
      </c>
      <c r="M57" s="1"/>
    </row>
    <row r="58" spans="1:13">
      <c r="A58" s="200" t="s">
        <v>145</v>
      </c>
      <c r="B58" s="202">
        <v>209574811</v>
      </c>
      <c r="C58" s="1"/>
      <c r="D58" s="165">
        <v>44771</v>
      </c>
      <c r="E58" s="101">
        <v>30</v>
      </c>
      <c r="F58" s="4">
        <f t="shared" si="8"/>
        <v>44801</v>
      </c>
      <c r="G58" s="1">
        <f t="shared" si="9"/>
        <v>125</v>
      </c>
      <c r="H58" s="1"/>
      <c r="I58" s="1"/>
      <c r="J58" s="1"/>
      <c r="K58" s="1"/>
      <c r="L58" s="58">
        <f t="shared" si="11"/>
        <v>209574811</v>
      </c>
      <c r="M58" s="1"/>
    </row>
    <row r="59" spans="1:13">
      <c r="B59" s="203">
        <f>SUM(B7:B58)</f>
        <v>28760265833.560001</v>
      </c>
      <c r="H59" s="203">
        <f>SUM(H7:H58)</f>
        <v>17814611441.560001</v>
      </c>
      <c r="I59" s="203">
        <f>SUM(I7:I58)</f>
        <v>1884240300</v>
      </c>
      <c r="J59" s="203">
        <f>SUM(J7:J58)</f>
        <v>0</v>
      </c>
      <c r="K59" s="203">
        <f>SUM(K7:K58)</f>
        <v>0</v>
      </c>
      <c r="L59" s="203">
        <f>SUM(L7:L58)</f>
        <v>9061414092</v>
      </c>
    </row>
    <row r="60" spans="1:13">
      <c r="A60" s="204" t="s">
        <v>243</v>
      </c>
      <c r="B60" s="24">
        <v>28760265833</v>
      </c>
    </row>
    <row r="61" spans="1:13">
      <c r="B61" s="203">
        <f>B59-B60</f>
        <v>0.56000137329101563</v>
      </c>
    </row>
  </sheetData>
  <autoFilter ref="A6:M58" xr:uid="{00000000-0001-0000-0000-000000000000}"/>
  <mergeCells count="2">
    <mergeCell ref="C5:F5"/>
    <mergeCell ref="G5:L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F0A3-DA7C-42B3-BF6A-E493FACE55E0}">
  <sheetPr>
    <tabColor theme="7" tint="0.39997558519241921"/>
  </sheetPr>
  <dimension ref="A1:M315"/>
  <sheetViews>
    <sheetView workbookViewId="0">
      <pane xSplit="3" ySplit="5" topLeftCell="D6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RowHeight="13"/>
  <cols>
    <col min="1" max="1" width="32.54296875" style="159" bestFit="1" customWidth="1"/>
    <col min="2" max="2" width="14.81640625" style="159" customWidth="1"/>
    <col min="3" max="3" width="11.6328125" style="159" bestFit="1" customWidth="1"/>
    <col min="4" max="4" width="10.7265625" style="159" bestFit="1" customWidth="1"/>
    <col min="5" max="5" width="17.54296875" style="159" bestFit="1" customWidth="1"/>
    <col min="6" max="6" width="19.7265625" style="159" bestFit="1" customWidth="1"/>
    <col min="7" max="7" width="8.7265625" style="159"/>
    <col min="8" max="12" width="17.90625" style="159" customWidth="1"/>
    <col min="13" max="13" width="13.54296875" style="159" bestFit="1" customWidth="1"/>
    <col min="14" max="16384" width="8.7265625" style="159"/>
  </cols>
  <sheetData>
    <row r="1" spans="1:12">
      <c r="A1" s="158" t="s">
        <v>185</v>
      </c>
    </row>
    <row r="2" spans="1:12">
      <c r="A2" s="158" t="s">
        <v>172</v>
      </c>
    </row>
    <row r="3" spans="1:12">
      <c r="A3" s="160">
        <v>44926</v>
      </c>
    </row>
    <row r="5" spans="1:12" s="162" customFormat="1">
      <c r="A5" s="161" t="s">
        <v>2</v>
      </c>
      <c r="B5" s="161" t="s">
        <v>3</v>
      </c>
      <c r="C5" s="161" t="s">
        <v>244</v>
      </c>
      <c r="D5" s="161" t="s">
        <v>245</v>
      </c>
      <c r="E5" s="161" t="s">
        <v>209</v>
      </c>
      <c r="F5" s="161" t="s">
        <v>210</v>
      </c>
      <c r="G5" s="161" t="s">
        <v>211</v>
      </c>
      <c r="H5" s="161" t="s">
        <v>174</v>
      </c>
      <c r="I5" s="161" t="s">
        <v>212</v>
      </c>
      <c r="J5" s="161" t="s">
        <v>213</v>
      </c>
      <c r="K5" s="161" t="s">
        <v>214</v>
      </c>
      <c r="L5" s="161" t="s">
        <v>215</v>
      </c>
    </row>
    <row r="6" spans="1:12">
      <c r="A6" s="385"/>
      <c r="B6" s="101">
        <v>200000</v>
      </c>
      <c r="C6" s="164"/>
      <c r="D6" s="165">
        <v>44905</v>
      </c>
      <c r="E6" s="164">
        <v>30</v>
      </c>
      <c r="F6" s="165">
        <f>D6+E6</f>
        <v>44935</v>
      </c>
      <c r="G6" s="164">
        <f>$A$3-F6</f>
        <v>-9</v>
      </c>
      <c r="H6" s="166">
        <f>B6</f>
        <v>200000</v>
      </c>
      <c r="I6" s="164"/>
      <c r="J6" s="164"/>
      <c r="K6" s="164"/>
      <c r="L6" s="164"/>
    </row>
    <row r="7" spans="1:12">
      <c r="A7" s="385"/>
      <c r="B7" s="101">
        <v>63400</v>
      </c>
      <c r="C7" s="164"/>
      <c r="D7" s="165">
        <v>44908</v>
      </c>
      <c r="E7" s="164">
        <v>30</v>
      </c>
      <c r="F7" s="165">
        <f t="shared" ref="F7:F70" si="0">D7+E7</f>
        <v>44938</v>
      </c>
      <c r="G7" s="164">
        <f t="shared" ref="G7:G70" si="1">$A$3-F7</f>
        <v>-12</v>
      </c>
      <c r="H7" s="166">
        <f t="shared" ref="H7:H22" si="2">B7</f>
        <v>63400</v>
      </c>
      <c r="I7" s="164"/>
      <c r="J7" s="164"/>
      <c r="K7" s="164"/>
      <c r="L7" s="164"/>
    </row>
    <row r="8" spans="1:12">
      <c r="A8" s="385"/>
      <c r="B8" s="101">
        <v>5500</v>
      </c>
      <c r="C8" s="164"/>
      <c r="D8" s="165">
        <v>44918</v>
      </c>
      <c r="E8" s="164">
        <v>30</v>
      </c>
      <c r="F8" s="165">
        <f t="shared" si="0"/>
        <v>44948</v>
      </c>
      <c r="G8" s="164">
        <f t="shared" si="1"/>
        <v>-22</v>
      </c>
      <c r="H8" s="166">
        <f t="shared" si="2"/>
        <v>5500</v>
      </c>
      <c r="I8" s="164"/>
      <c r="J8" s="164"/>
      <c r="K8" s="164"/>
      <c r="L8" s="164"/>
    </row>
    <row r="9" spans="1:12">
      <c r="A9" s="385"/>
      <c r="B9" s="101">
        <v>300000</v>
      </c>
      <c r="C9" s="164"/>
      <c r="D9" s="165">
        <v>44923</v>
      </c>
      <c r="E9" s="164">
        <v>30</v>
      </c>
      <c r="F9" s="165">
        <f t="shared" si="0"/>
        <v>44953</v>
      </c>
      <c r="G9" s="164">
        <f t="shared" si="1"/>
        <v>-27</v>
      </c>
      <c r="H9" s="166">
        <f t="shared" si="2"/>
        <v>300000</v>
      </c>
      <c r="I9" s="164"/>
      <c r="J9" s="164"/>
      <c r="K9" s="164"/>
      <c r="L9" s="164"/>
    </row>
    <row r="10" spans="1:12">
      <c r="A10" s="385"/>
      <c r="B10" s="101">
        <v>134600</v>
      </c>
      <c r="C10" s="164"/>
      <c r="D10" s="165">
        <v>44922</v>
      </c>
      <c r="E10" s="164">
        <v>30</v>
      </c>
      <c r="F10" s="165">
        <f t="shared" si="0"/>
        <v>44952</v>
      </c>
      <c r="G10" s="164">
        <f t="shared" si="1"/>
        <v>-26</v>
      </c>
      <c r="H10" s="166">
        <f t="shared" si="2"/>
        <v>134600</v>
      </c>
      <c r="I10" s="164"/>
      <c r="J10" s="164"/>
      <c r="K10" s="164"/>
      <c r="L10" s="164"/>
    </row>
    <row r="11" spans="1:12">
      <c r="A11" s="385"/>
      <c r="B11" s="101">
        <v>96400</v>
      </c>
      <c r="C11" s="164"/>
      <c r="D11" s="165">
        <v>44925</v>
      </c>
      <c r="E11" s="164">
        <v>30</v>
      </c>
      <c r="F11" s="165">
        <f t="shared" si="0"/>
        <v>44955</v>
      </c>
      <c r="G11" s="164">
        <f t="shared" si="1"/>
        <v>-29</v>
      </c>
      <c r="H11" s="166">
        <f t="shared" si="2"/>
        <v>96400</v>
      </c>
      <c r="I11" s="164"/>
      <c r="J11" s="164"/>
      <c r="K11" s="164"/>
      <c r="L11" s="164"/>
    </row>
    <row r="12" spans="1:12">
      <c r="A12" s="385"/>
      <c r="B12" s="101">
        <v>75000</v>
      </c>
      <c r="C12" s="164"/>
      <c r="D12" s="165">
        <v>44900</v>
      </c>
      <c r="E12" s="164">
        <v>30</v>
      </c>
      <c r="F12" s="165">
        <f t="shared" si="0"/>
        <v>44930</v>
      </c>
      <c r="G12" s="164">
        <f t="shared" si="1"/>
        <v>-4</v>
      </c>
      <c r="H12" s="166">
        <f t="shared" si="2"/>
        <v>75000</v>
      </c>
      <c r="I12" s="164"/>
      <c r="J12" s="164"/>
      <c r="K12" s="164"/>
      <c r="L12" s="164"/>
    </row>
    <row r="13" spans="1:12">
      <c r="A13" s="385"/>
      <c r="B13" s="101">
        <v>16500</v>
      </c>
      <c r="C13" s="164"/>
      <c r="D13" s="165">
        <v>44924</v>
      </c>
      <c r="E13" s="164">
        <v>30</v>
      </c>
      <c r="F13" s="165">
        <f t="shared" si="0"/>
        <v>44954</v>
      </c>
      <c r="G13" s="164">
        <f t="shared" si="1"/>
        <v>-28</v>
      </c>
      <c r="H13" s="166">
        <f t="shared" si="2"/>
        <v>16500</v>
      </c>
      <c r="I13" s="164"/>
      <c r="J13" s="164"/>
      <c r="K13" s="164"/>
      <c r="L13" s="164"/>
    </row>
    <row r="14" spans="1:12">
      <c r="A14" s="385"/>
      <c r="B14" s="101">
        <v>999080</v>
      </c>
      <c r="C14" s="164"/>
      <c r="D14" s="165">
        <v>44922</v>
      </c>
      <c r="E14" s="164">
        <v>30</v>
      </c>
      <c r="F14" s="165">
        <f t="shared" si="0"/>
        <v>44952</v>
      </c>
      <c r="G14" s="164">
        <f t="shared" si="1"/>
        <v>-26</v>
      </c>
      <c r="H14" s="166">
        <f t="shared" si="2"/>
        <v>999080</v>
      </c>
      <c r="I14" s="164"/>
      <c r="J14" s="164"/>
      <c r="K14" s="164"/>
      <c r="L14" s="164"/>
    </row>
    <row r="15" spans="1:12">
      <c r="A15" s="385"/>
      <c r="B15" s="101">
        <v>85000</v>
      </c>
      <c r="C15" s="164"/>
      <c r="D15" s="165">
        <v>44908</v>
      </c>
      <c r="E15" s="164">
        <v>30</v>
      </c>
      <c r="F15" s="165">
        <f t="shared" si="0"/>
        <v>44938</v>
      </c>
      <c r="G15" s="164">
        <f t="shared" si="1"/>
        <v>-12</v>
      </c>
      <c r="H15" s="166">
        <f t="shared" si="2"/>
        <v>85000</v>
      </c>
      <c r="I15" s="164"/>
      <c r="J15" s="164"/>
      <c r="K15" s="164"/>
      <c r="L15" s="164"/>
    </row>
    <row r="16" spans="1:12">
      <c r="A16" s="385"/>
      <c r="B16" s="101">
        <v>30000</v>
      </c>
      <c r="C16" s="164"/>
      <c r="D16" s="165">
        <v>44915</v>
      </c>
      <c r="E16" s="164">
        <v>30</v>
      </c>
      <c r="F16" s="165">
        <f t="shared" si="0"/>
        <v>44945</v>
      </c>
      <c r="G16" s="164">
        <f t="shared" si="1"/>
        <v>-19</v>
      </c>
      <c r="H16" s="166">
        <f t="shared" si="2"/>
        <v>30000</v>
      </c>
      <c r="I16" s="164"/>
      <c r="J16" s="164"/>
      <c r="K16" s="164"/>
      <c r="L16" s="164"/>
    </row>
    <row r="17" spans="1:12">
      <c r="A17" s="385"/>
      <c r="B17" s="101">
        <v>26000</v>
      </c>
      <c r="C17" s="164"/>
      <c r="D17" s="165">
        <v>44922</v>
      </c>
      <c r="E17" s="164">
        <v>30</v>
      </c>
      <c r="F17" s="165">
        <f t="shared" si="0"/>
        <v>44952</v>
      </c>
      <c r="G17" s="164">
        <f t="shared" si="1"/>
        <v>-26</v>
      </c>
      <c r="H17" s="166">
        <f t="shared" si="2"/>
        <v>26000</v>
      </c>
      <c r="I17" s="164"/>
      <c r="J17" s="164"/>
      <c r="K17" s="164"/>
      <c r="L17" s="164"/>
    </row>
    <row r="18" spans="1:12">
      <c r="A18" s="385"/>
      <c r="B18" s="101">
        <v>1511000</v>
      </c>
      <c r="C18" s="164"/>
      <c r="D18" s="165">
        <v>44911</v>
      </c>
      <c r="E18" s="164">
        <v>30</v>
      </c>
      <c r="F18" s="165">
        <f t="shared" si="0"/>
        <v>44941</v>
      </c>
      <c r="G18" s="164">
        <f t="shared" si="1"/>
        <v>-15</v>
      </c>
      <c r="H18" s="166">
        <f t="shared" si="2"/>
        <v>1511000</v>
      </c>
      <c r="I18" s="164"/>
      <c r="J18" s="164"/>
      <c r="K18" s="164"/>
      <c r="L18" s="164"/>
    </row>
    <row r="19" spans="1:12">
      <c r="A19" s="385"/>
      <c r="B19" s="101">
        <v>1064000</v>
      </c>
      <c r="C19" s="164"/>
      <c r="D19" s="165">
        <v>44918</v>
      </c>
      <c r="E19" s="164">
        <v>30</v>
      </c>
      <c r="F19" s="165">
        <f t="shared" si="0"/>
        <v>44948</v>
      </c>
      <c r="G19" s="164">
        <f t="shared" si="1"/>
        <v>-22</v>
      </c>
      <c r="H19" s="166">
        <f t="shared" si="2"/>
        <v>1064000</v>
      </c>
      <c r="I19" s="164"/>
      <c r="J19" s="164"/>
      <c r="K19" s="164"/>
      <c r="L19" s="164"/>
    </row>
    <row r="20" spans="1:12">
      <c r="A20" s="385"/>
      <c r="B20" s="101">
        <v>52000</v>
      </c>
      <c r="C20" s="164"/>
      <c r="D20" s="165">
        <v>44924</v>
      </c>
      <c r="E20" s="164">
        <v>30</v>
      </c>
      <c r="F20" s="165">
        <f t="shared" si="0"/>
        <v>44954</v>
      </c>
      <c r="G20" s="164">
        <f t="shared" si="1"/>
        <v>-28</v>
      </c>
      <c r="H20" s="166">
        <f t="shared" si="2"/>
        <v>52000</v>
      </c>
      <c r="I20" s="164"/>
      <c r="J20" s="164"/>
      <c r="K20" s="164"/>
      <c r="L20" s="164"/>
    </row>
    <row r="21" spans="1:12">
      <c r="A21" s="385"/>
      <c r="B21" s="101">
        <v>431250</v>
      </c>
      <c r="C21" s="164"/>
      <c r="D21" s="165">
        <v>44919</v>
      </c>
      <c r="E21" s="164">
        <v>30</v>
      </c>
      <c r="F21" s="165">
        <f t="shared" si="0"/>
        <v>44949</v>
      </c>
      <c r="G21" s="164">
        <f t="shared" si="1"/>
        <v>-23</v>
      </c>
      <c r="H21" s="166">
        <f t="shared" si="2"/>
        <v>431250</v>
      </c>
      <c r="I21" s="164"/>
      <c r="J21" s="164"/>
      <c r="K21" s="164"/>
      <c r="L21" s="164"/>
    </row>
    <row r="22" spans="1:12">
      <c r="A22" s="385"/>
      <c r="B22" s="101">
        <v>75000</v>
      </c>
      <c r="C22" s="164"/>
      <c r="D22" s="165">
        <v>44919</v>
      </c>
      <c r="E22" s="164">
        <v>30</v>
      </c>
      <c r="F22" s="165">
        <f t="shared" si="0"/>
        <v>44949</v>
      </c>
      <c r="G22" s="164">
        <f t="shared" si="1"/>
        <v>-23</v>
      </c>
      <c r="H22" s="166">
        <f t="shared" si="2"/>
        <v>75000</v>
      </c>
      <c r="I22" s="164"/>
      <c r="J22" s="164"/>
      <c r="K22" s="164"/>
      <c r="L22" s="164"/>
    </row>
    <row r="23" spans="1:12">
      <c r="A23" s="383" t="s">
        <v>216</v>
      </c>
      <c r="B23" s="101">
        <v>29990000</v>
      </c>
      <c r="C23" s="164"/>
      <c r="D23" s="165">
        <v>44833</v>
      </c>
      <c r="E23" s="164">
        <v>30</v>
      </c>
      <c r="F23" s="165">
        <f t="shared" si="0"/>
        <v>44863</v>
      </c>
      <c r="G23" s="164">
        <f t="shared" si="1"/>
        <v>63</v>
      </c>
      <c r="H23" s="164"/>
      <c r="I23" s="164"/>
      <c r="J23" s="164"/>
      <c r="K23" s="166">
        <f>B23</f>
        <v>29990000</v>
      </c>
      <c r="L23" s="164"/>
    </row>
    <row r="24" spans="1:12">
      <c r="A24" s="383"/>
      <c r="B24" s="101">
        <v>19490000</v>
      </c>
      <c r="C24" s="164"/>
      <c r="D24" s="165">
        <v>44855</v>
      </c>
      <c r="E24" s="164">
        <v>30</v>
      </c>
      <c r="F24" s="165">
        <f t="shared" si="0"/>
        <v>44885</v>
      </c>
      <c r="G24" s="164">
        <f t="shared" si="1"/>
        <v>41</v>
      </c>
      <c r="H24" s="164"/>
      <c r="I24" s="164"/>
      <c r="J24" s="166">
        <f>B24</f>
        <v>19490000</v>
      </c>
      <c r="K24" s="164"/>
      <c r="L24" s="164"/>
    </row>
    <row r="25" spans="1:12">
      <c r="A25" s="383"/>
      <c r="B25" s="101">
        <v>19490000</v>
      </c>
      <c r="C25" s="164"/>
      <c r="D25" s="165">
        <v>44810</v>
      </c>
      <c r="E25" s="164">
        <v>30</v>
      </c>
      <c r="F25" s="165">
        <f t="shared" si="0"/>
        <v>44840</v>
      </c>
      <c r="G25" s="164">
        <f t="shared" si="1"/>
        <v>86</v>
      </c>
      <c r="H25" s="164"/>
      <c r="I25" s="164"/>
      <c r="J25" s="164"/>
      <c r="K25" s="166">
        <f>B25</f>
        <v>19490000</v>
      </c>
      <c r="L25" s="164"/>
    </row>
    <row r="26" spans="1:12">
      <c r="A26" s="383"/>
      <c r="B26" s="101">
        <v>19490000</v>
      </c>
      <c r="C26" s="164"/>
      <c r="D26" s="165">
        <v>44875</v>
      </c>
      <c r="E26" s="164">
        <v>30</v>
      </c>
      <c r="F26" s="165">
        <f t="shared" si="0"/>
        <v>44905</v>
      </c>
      <c r="G26" s="164">
        <f t="shared" si="1"/>
        <v>21</v>
      </c>
      <c r="H26" s="164"/>
      <c r="I26" s="166">
        <f>B26</f>
        <v>19490000</v>
      </c>
      <c r="J26" s="164"/>
      <c r="K26" s="164"/>
      <c r="L26" s="164"/>
    </row>
    <row r="27" spans="1:12">
      <c r="A27" s="383"/>
      <c r="B27" s="101">
        <v>23990000</v>
      </c>
      <c r="C27" s="164"/>
      <c r="D27" s="165">
        <v>44882</v>
      </c>
      <c r="E27" s="164">
        <v>30</v>
      </c>
      <c r="F27" s="165">
        <f t="shared" si="0"/>
        <v>44912</v>
      </c>
      <c r="G27" s="164">
        <f t="shared" si="1"/>
        <v>14</v>
      </c>
      <c r="H27" s="164"/>
      <c r="I27" s="166">
        <f>B27</f>
        <v>23990000</v>
      </c>
      <c r="J27" s="164"/>
      <c r="K27" s="164"/>
      <c r="L27" s="164"/>
    </row>
    <row r="28" spans="1:12">
      <c r="A28" s="163" t="s">
        <v>48</v>
      </c>
      <c r="B28" s="101">
        <v>44910000</v>
      </c>
      <c r="C28" s="164"/>
      <c r="D28" s="165">
        <v>44915</v>
      </c>
      <c r="E28" s="164">
        <v>30</v>
      </c>
      <c r="F28" s="165">
        <f t="shared" si="0"/>
        <v>44945</v>
      </c>
      <c r="G28" s="164">
        <f t="shared" si="1"/>
        <v>-19</v>
      </c>
      <c r="H28" s="166">
        <f t="shared" ref="H28:H29" si="3">B28</f>
        <v>44910000</v>
      </c>
      <c r="I28" s="164"/>
      <c r="J28" s="164"/>
      <c r="K28" s="164"/>
      <c r="L28" s="164"/>
    </row>
    <row r="29" spans="1:12">
      <c r="A29" s="163" t="s">
        <v>10</v>
      </c>
      <c r="B29" s="101">
        <v>80560559</v>
      </c>
      <c r="C29" s="164"/>
      <c r="D29" s="165">
        <v>44896</v>
      </c>
      <c r="E29" s="164">
        <v>30</v>
      </c>
      <c r="F29" s="165">
        <f t="shared" si="0"/>
        <v>44926</v>
      </c>
      <c r="G29" s="164">
        <f t="shared" si="1"/>
        <v>0</v>
      </c>
      <c r="H29" s="166">
        <f t="shared" si="3"/>
        <v>80560559</v>
      </c>
      <c r="I29" s="164"/>
      <c r="J29" s="164"/>
      <c r="K29" s="164"/>
      <c r="L29" s="164"/>
    </row>
    <row r="30" spans="1:12">
      <c r="A30" s="163" t="s">
        <v>83</v>
      </c>
      <c r="B30" s="101">
        <v>1720500</v>
      </c>
      <c r="C30" s="164"/>
      <c r="D30" s="165">
        <v>44887</v>
      </c>
      <c r="E30" s="164">
        <v>30</v>
      </c>
      <c r="F30" s="165">
        <f t="shared" si="0"/>
        <v>44917</v>
      </c>
      <c r="G30" s="164">
        <f t="shared" si="1"/>
        <v>9</v>
      </c>
      <c r="H30" s="164"/>
      <c r="I30" s="166">
        <f t="shared" ref="I30:I31" si="4">B30</f>
        <v>1720500</v>
      </c>
      <c r="J30" s="164"/>
      <c r="K30" s="164"/>
      <c r="L30" s="164"/>
    </row>
    <row r="31" spans="1:12">
      <c r="A31" s="163" t="s">
        <v>11</v>
      </c>
      <c r="B31" s="101">
        <v>51060000</v>
      </c>
      <c r="C31" s="164"/>
      <c r="D31" s="165">
        <v>44883</v>
      </c>
      <c r="E31" s="164">
        <v>30</v>
      </c>
      <c r="F31" s="165">
        <f t="shared" si="0"/>
        <v>44913</v>
      </c>
      <c r="G31" s="164">
        <f t="shared" si="1"/>
        <v>13</v>
      </c>
      <c r="H31" s="164"/>
      <c r="I31" s="166">
        <f t="shared" si="4"/>
        <v>51060000</v>
      </c>
      <c r="J31" s="164"/>
      <c r="K31" s="164"/>
      <c r="L31" s="164"/>
    </row>
    <row r="32" spans="1:12">
      <c r="A32" s="383" t="s">
        <v>12</v>
      </c>
      <c r="B32" s="101">
        <v>23428881</v>
      </c>
      <c r="C32" s="164"/>
      <c r="D32" s="165">
        <v>44897</v>
      </c>
      <c r="E32" s="164">
        <v>30</v>
      </c>
      <c r="F32" s="165">
        <f t="shared" si="0"/>
        <v>44927</v>
      </c>
      <c r="G32" s="164">
        <f t="shared" si="1"/>
        <v>-1</v>
      </c>
      <c r="H32" s="166">
        <f t="shared" ref="H32:H36" si="5">B32</f>
        <v>23428881</v>
      </c>
      <c r="I32" s="164"/>
      <c r="J32" s="164"/>
      <c r="K32" s="164"/>
      <c r="L32" s="164"/>
    </row>
    <row r="33" spans="1:12">
      <c r="A33" s="383"/>
      <c r="B33" s="101">
        <v>23428881</v>
      </c>
      <c r="C33" s="164"/>
      <c r="D33" s="165">
        <v>44897</v>
      </c>
      <c r="E33" s="164">
        <v>30</v>
      </c>
      <c r="F33" s="165">
        <f t="shared" si="0"/>
        <v>44927</v>
      </c>
      <c r="G33" s="164">
        <f t="shared" si="1"/>
        <v>-1</v>
      </c>
      <c r="H33" s="166">
        <f t="shared" si="5"/>
        <v>23428881</v>
      </c>
      <c r="I33" s="164"/>
      <c r="J33" s="164"/>
      <c r="K33" s="164"/>
      <c r="L33" s="164"/>
    </row>
    <row r="34" spans="1:12">
      <c r="A34" s="383"/>
      <c r="B34" s="101">
        <v>22953512</v>
      </c>
      <c r="C34" s="164"/>
      <c r="D34" s="165">
        <v>44897</v>
      </c>
      <c r="E34" s="164">
        <v>30</v>
      </c>
      <c r="F34" s="165">
        <f t="shared" si="0"/>
        <v>44927</v>
      </c>
      <c r="G34" s="164">
        <f t="shared" si="1"/>
        <v>-1</v>
      </c>
      <c r="H34" s="166">
        <f t="shared" si="5"/>
        <v>22953512</v>
      </c>
      <c r="I34" s="164"/>
      <c r="J34" s="164"/>
      <c r="K34" s="164"/>
      <c r="L34" s="164"/>
    </row>
    <row r="35" spans="1:12">
      <c r="A35" s="383"/>
      <c r="B35" s="101">
        <v>5059990</v>
      </c>
      <c r="C35" s="164"/>
      <c r="D35" s="165">
        <v>44897</v>
      </c>
      <c r="E35" s="164">
        <v>30</v>
      </c>
      <c r="F35" s="165">
        <f t="shared" si="0"/>
        <v>44927</v>
      </c>
      <c r="G35" s="164">
        <f t="shared" si="1"/>
        <v>-1</v>
      </c>
      <c r="H35" s="166">
        <f t="shared" si="5"/>
        <v>5059990</v>
      </c>
      <c r="I35" s="164"/>
      <c r="J35" s="164"/>
      <c r="K35" s="164"/>
      <c r="L35" s="164"/>
    </row>
    <row r="36" spans="1:12">
      <c r="A36" s="383"/>
      <c r="B36" s="101">
        <v>14994990</v>
      </c>
      <c r="C36" s="164"/>
      <c r="D36" s="165">
        <v>44897</v>
      </c>
      <c r="E36" s="164">
        <v>30</v>
      </c>
      <c r="F36" s="165">
        <f t="shared" si="0"/>
        <v>44927</v>
      </c>
      <c r="G36" s="164">
        <f t="shared" si="1"/>
        <v>-1</v>
      </c>
      <c r="H36" s="166">
        <f t="shared" si="5"/>
        <v>14994990</v>
      </c>
      <c r="I36" s="164"/>
      <c r="J36" s="164"/>
      <c r="K36" s="164"/>
      <c r="L36" s="164"/>
    </row>
    <row r="37" spans="1:12">
      <c r="A37" s="383"/>
      <c r="B37" s="101">
        <v>30910725</v>
      </c>
      <c r="C37" s="164"/>
      <c r="D37" s="165">
        <v>44893</v>
      </c>
      <c r="E37" s="164">
        <v>30</v>
      </c>
      <c r="F37" s="165">
        <f t="shared" si="0"/>
        <v>44923</v>
      </c>
      <c r="G37" s="164">
        <f t="shared" si="1"/>
        <v>3</v>
      </c>
      <c r="H37" s="164"/>
      <c r="I37" s="166">
        <f>B37</f>
        <v>30910725</v>
      </c>
      <c r="J37" s="164"/>
      <c r="K37" s="164"/>
      <c r="L37" s="164"/>
    </row>
    <row r="38" spans="1:12">
      <c r="A38" s="383"/>
      <c r="B38" s="101">
        <v>20616038</v>
      </c>
      <c r="C38" s="164"/>
      <c r="D38" s="165">
        <v>44896</v>
      </c>
      <c r="E38" s="164">
        <v>30</v>
      </c>
      <c r="F38" s="165">
        <f t="shared" si="0"/>
        <v>44926</v>
      </c>
      <c r="G38" s="164">
        <f t="shared" si="1"/>
        <v>0</v>
      </c>
      <c r="H38" s="166">
        <f>B38</f>
        <v>20616038</v>
      </c>
      <c r="I38" s="164"/>
      <c r="J38" s="164"/>
      <c r="K38" s="164"/>
      <c r="L38" s="164"/>
    </row>
    <row r="39" spans="1:12">
      <c r="A39" s="383"/>
      <c r="B39" s="101">
        <v>21045600</v>
      </c>
      <c r="C39" s="164"/>
      <c r="D39" s="165">
        <v>44893</v>
      </c>
      <c r="E39" s="164">
        <v>30</v>
      </c>
      <c r="F39" s="165">
        <f t="shared" si="0"/>
        <v>44923</v>
      </c>
      <c r="G39" s="164">
        <f t="shared" si="1"/>
        <v>3</v>
      </c>
      <c r="H39" s="164"/>
      <c r="I39" s="166">
        <f t="shared" ref="I39:I40" si="6">B39</f>
        <v>21045600</v>
      </c>
      <c r="J39" s="164"/>
      <c r="K39" s="164"/>
      <c r="L39" s="164"/>
    </row>
    <row r="40" spans="1:12">
      <c r="A40" s="383"/>
      <c r="B40" s="101">
        <v>704894</v>
      </c>
      <c r="C40" s="164"/>
      <c r="D40" s="165">
        <v>44893</v>
      </c>
      <c r="E40" s="164">
        <v>30</v>
      </c>
      <c r="F40" s="165">
        <f t="shared" si="0"/>
        <v>44923</v>
      </c>
      <c r="G40" s="164">
        <f t="shared" si="1"/>
        <v>3</v>
      </c>
      <c r="H40" s="164"/>
      <c r="I40" s="166">
        <f t="shared" si="6"/>
        <v>704894</v>
      </c>
      <c r="J40" s="164"/>
      <c r="K40" s="164"/>
      <c r="L40" s="164"/>
    </row>
    <row r="41" spans="1:12">
      <c r="A41" s="383"/>
      <c r="B41" s="101">
        <v>1973025</v>
      </c>
      <c r="C41" s="164"/>
      <c r="D41" s="165">
        <v>44914</v>
      </c>
      <c r="E41" s="164">
        <v>30</v>
      </c>
      <c r="F41" s="165">
        <f t="shared" si="0"/>
        <v>44944</v>
      </c>
      <c r="G41" s="164">
        <f t="shared" si="1"/>
        <v>-18</v>
      </c>
      <c r="H41" s="166">
        <f t="shared" ref="H41:H48" si="7">B41</f>
        <v>1973025</v>
      </c>
      <c r="I41" s="164"/>
      <c r="J41" s="164"/>
      <c r="K41" s="164"/>
      <c r="L41" s="164"/>
    </row>
    <row r="42" spans="1:12">
      <c r="A42" s="383"/>
      <c r="B42" s="101">
        <v>1183815</v>
      </c>
      <c r="C42" s="164"/>
      <c r="D42" s="165">
        <v>44914</v>
      </c>
      <c r="E42" s="164">
        <v>30</v>
      </c>
      <c r="F42" s="165">
        <f t="shared" si="0"/>
        <v>44944</v>
      </c>
      <c r="G42" s="164">
        <f t="shared" si="1"/>
        <v>-18</v>
      </c>
      <c r="H42" s="166">
        <f t="shared" si="7"/>
        <v>1183815</v>
      </c>
      <c r="I42" s="164"/>
      <c r="J42" s="164"/>
      <c r="K42" s="164"/>
      <c r="L42" s="164"/>
    </row>
    <row r="43" spans="1:12">
      <c r="A43" s="383"/>
      <c r="B43" s="101">
        <v>12715050</v>
      </c>
      <c r="C43" s="164"/>
      <c r="D43" s="165">
        <v>44914</v>
      </c>
      <c r="E43" s="164">
        <v>30</v>
      </c>
      <c r="F43" s="165">
        <f t="shared" si="0"/>
        <v>44944</v>
      </c>
      <c r="G43" s="164">
        <f t="shared" si="1"/>
        <v>-18</v>
      </c>
      <c r="H43" s="166">
        <f t="shared" si="7"/>
        <v>12715050</v>
      </c>
      <c r="I43" s="164"/>
      <c r="J43" s="164"/>
      <c r="K43" s="164"/>
      <c r="L43" s="164"/>
    </row>
    <row r="44" spans="1:12">
      <c r="A44" s="383"/>
      <c r="B44" s="101">
        <v>14748237</v>
      </c>
      <c r="C44" s="164"/>
      <c r="D44" s="165">
        <v>44914</v>
      </c>
      <c r="E44" s="164">
        <v>30</v>
      </c>
      <c r="F44" s="165">
        <f t="shared" si="0"/>
        <v>44944</v>
      </c>
      <c r="G44" s="164">
        <f t="shared" si="1"/>
        <v>-18</v>
      </c>
      <c r="H44" s="166">
        <f t="shared" si="7"/>
        <v>14748237</v>
      </c>
      <c r="I44" s="164"/>
      <c r="J44" s="164"/>
      <c r="K44" s="164"/>
      <c r="L44" s="164"/>
    </row>
    <row r="45" spans="1:12">
      <c r="A45" s="383"/>
      <c r="B45" s="101">
        <v>6313680</v>
      </c>
      <c r="C45" s="164"/>
      <c r="D45" s="165">
        <v>44901</v>
      </c>
      <c r="E45" s="164">
        <v>30</v>
      </c>
      <c r="F45" s="165">
        <f t="shared" si="0"/>
        <v>44931</v>
      </c>
      <c r="G45" s="164">
        <f t="shared" si="1"/>
        <v>-5</v>
      </c>
      <c r="H45" s="166">
        <f t="shared" si="7"/>
        <v>6313680</v>
      </c>
      <c r="I45" s="164"/>
      <c r="J45" s="164"/>
      <c r="K45" s="164"/>
      <c r="L45" s="164"/>
    </row>
    <row r="46" spans="1:12">
      <c r="A46" s="383"/>
      <c r="B46" s="101">
        <v>3946050</v>
      </c>
      <c r="C46" s="164"/>
      <c r="D46" s="165">
        <v>44901</v>
      </c>
      <c r="E46" s="164">
        <v>30</v>
      </c>
      <c r="F46" s="165">
        <f t="shared" si="0"/>
        <v>44931</v>
      </c>
      <c r="G46" s="164">
        <f t="shared" si="1"/>
        <v>-5</v>
      </c>
      <c r="H46" s="166">
        <f t="shared" si="7"/>
        <v>3946050</v>
      </c>
      <c r="I46" s="164"/>
      <c r="J46" s="164"/>
      <c r="K46" s="164"/>
      <c r="L46" s="164"/>
    </row>
    <row r="47" spans="1:12">
      <c r="A47" s="383"/>
      <c r="B47" s="101">
        <v>13693959</v>
      </c>
      <c r="C47" s="164"/>
      <c r="D47" s="165">
        <v>44901</v>
      </c>
      <c r="E47" s="164">
        <v>30</v>
      </c>
      <c r="F47" s="165">
        <f t="shared" si="0"/>
        <v>44931</v>
      </c>
      <c r="G47" s="164">
        <f t="shared" si="1"/>
        <v>-5</v>
      </c>
      <c r="H47" s="166">
        <f t="shared" si="7"/>
        <v>13693959</v>
      </c>
      <c r="I47" s="164"/>
      <c r="J47" s="164"/>
      <c r="K47" s="164"/>
      <c r="L47" s="164"/>
    </row>
    <row r="48" spans="1:12">
      <c r="A48" s="383"/>
      <c r="B48" s="101">
        <v>631010</v>
      </c>
      <c r="C48" s="164"/>
      <c r="D48" s="165">
        <v>44901</v>
      </c>
      <c r="E48" s="164">
        <v>30</v>
      </c>
      <c r="F48" s="165">
        <f t="shared" si="0"/>
        <v>44931</v>
      </c>
      <c r="G48" s="164">
        <f t="shared" si="1"/>
        <v>-5</v>
      </c>
      <c r="H48" s="166">
        <f t="shared" si="7"/>
        <v>631010</v>
      </c>
      <c r="I48" s="164"/>
      <c r="J48" s="164"/>
      <c r="K48" s="164"/>
      <c r="L48" s="164"/>
    </row>
    <row r="49" spans="1:12">
      <c r="A49" s="163" t="s">
        <v>247</v>
      </c>
      <c r="B49" s="101">
        <v>80554032</v>
      </c>
      <c r="C49" s="164"/>
      <c r="D49" s="165">
        <v>44859</v>
      </c>
      <c r="E49" s="164">
        <v>30</v>
      </c>
      <c r="F49" s="165">
        <f t="shared" si="0"/>
        <v>44889</v>
      </c>
      <c r="G49" s="164">
        <f t="shared" si="1"/>
        <v>37</v>
      </c>
      <c r="H49" s="164"/>
      <c r="I49" s="164"/>
      <c r="J49" s="166">
        <f>B49</f>
        <v>80554032</v>
      </c>
      <c r="K49" s="164"/>
      <c r="L49" s="164"/>
    </row>
    <row r="50" spans="1:12">
      <c r="A50" s="383" t="s">
        <v>219</v>
      </c>
      <c r="B50" s="101">
        <v>11100000</v>
      </c>
      <c r="C50" s="164"/>
      <c r="D50" s="165">
        <v>44872</v>
      </c>
      <c r="E50" s="164">
        <v>30</v>
      </c>
      <c r="F50" s="165">
        <f t="shared" si="0"/>
        <v>44902</v>
      </c>
      <c r="G50" s="164">
        <f t="shared" si="1"/>
        <v>24</v>
      </c>
      <c r="H50" s="164"/>
      <c r="I50" s="166">
        <f t="shared" ref="I50:I52" si="8">B50</f>
        <v>11100000</v>
      </c>
      <c r="J50" s="164"/>
      <c r="K50" s="164"/>
      <c r="L50" s="164"/>
    </row>
    <row r="51" spans="1:12">
      <c r="A51" s="383"/>
      <c r="B51" s="101">
        <v>22200000</v>
      </c>
      <c r="C51" s="164"/>
      <c r="D51" s="165">
        <v>44872</v>
      </c>
      <c r="E51" s="164">
        <v>30</v>
      </c>
      <c r="F51" s="165">
        <f t="shared" si="0"/>
        <v>44902</v>
      </c>
      <c r="G51" s="164">
        <f t="shared" si="1"/>
        <v>24</v>
      </c>
      <c r="H51" s="164"/>
      <c r="I51" s="166">
        <f t="shared" si="8"/>
        <v>22200000</v>
      </c>
      <c r="J51" s="164"/>
      <c r="K51" s="164"/>
      <c r="L51" s="164"/>
    </row>
    <row r="52" spans="1:12">
      <c r="A52" s="383" t="s">
        <v>16</v>
      </c>
      <c r="B52" s="101">
        <v>194250000</v>
      </c>
      <c r="C52" s="164"/>
      <c r="D52" s="165">
        <v>44886</v>
      </c>
      <c r="E52" s="164">
        <v>30</v>
      </c>
      <c r="F52" s="165">
        <f t="shared" si="0"/>
        <v>44916</v>
      </c>
      <c r="G52" s="164">
        <f t="shared" si="1"/>
        <v>10</v>
      </c>
      <c r="H52" s="164"/>
      <c r="I52" s="166">
        <f t="shared" si="8"/>
        <v>194250000</v>
      </c>
      <c r="J52" s="164"/>
      <c r="K52" s="164"/>
      <c r="L52" s="164"/>
    </row>
    <row r="53" spans="1:12">
      <c r="A53" s="383"/>
      <c r="B53" s="101">
        <v>194250000</v>
      </c>
      <c r="C53" s="164"/>
      <c r="D53" s="165">
        <v>44903</v>
      </c>
      <c r="E53" s="164">
        <v>30</v>
      </c>
      <c r="F53" s="165">
        <f t="shared" si="0"/>
        <v>44933</v>
      </c>
      <c r="G53" s="164">
        <f t="shared" si="1"/>
        <v>-7</v>
      </c>
      <c r="H53" s="166">
        <f t="shared" ref="H53:H72" si="9">B53</f>
        <v>194250000</v>
      </c>
      <c r="I53" s="164"/>
      <c r="J53" s="164"/>
      <c r="K53" s="164"/>
      <c r="L53" s="164"/>
    </row>
    <row r="54" spans="1:12">
      <c r="A54" s="383" t="s">
        <v>17</v>
      </c>
      <c r="B54" s="101">
        <v>78255000</v>
      </c>
      <c r="C54" s="164"/>
      <c r="D54" s="165">
        <v>44907</v>
      </c>
      <c r="E54" s="164">
        <v>30</v>
      </c>
      <c r="F54" s="165">
        <f t="shared" si="0"/>
        <v>44937</v>
      </c>
      <c r="G54" s="164">
        <f t="shared" si="1"/>
        <v>-11</v>
      </c>
      <c r="H54" s="166">
        <f t="shared" si="9"/>
        <v>78255000</v>
      </c>
      <c r="I54" s="164"/>
      <c r="J54" s="164"/>
      <c r="K54" s="164"/>
      <c r="L54" s="164"/>
    </row>
    <row r="55" spans="1:12">
      <c r="A55" s="383"/>
      <c r="B55" s="101">
        <v>64380000</v>
      </c>
      <c r="C55" s="164"/>
      <c r="D55" s="165">
        <v>44916</v>
      </c>
      <c r="E55" s="164">
        <v>30</v>
      </c>
      <c r="F55" s="165">
        <f t="shared" si="0"/>
        <v>44946</v>
      </c>
      <c r="G55" s="164">
        <f t="shared" si="1"/>
        <v>-20</v>
      </c>
      <c r="H55" s="166">
        <f t="shared" si="9"/>
        <v>64380000</v>
      </c>
      <c r="I55" s="164"/>
      <c r="J55" s="164"/>
      <c r="K55" s="164"/>
      <c r="L55" s="164"/>
    </row>
    <row r="56" spans="1:12">
      <c r="A56" s="383"/>
      <c r="B56" s="101">
        <v>106225834</v>
      </c>
      <c r="C56" s="164"/>
      <c r="D56" s="165">
        <v>44907</v>
      </c>
      <c r="E56" s="164">
        <v>30</v>
      </c>
      <c r="F56" s="165">
        <f t="shared" si="0"/>
        <v>44937</v>
      </c>
      <c r="G56" s="164">
        <f t="shared" si="1"/>
        <v>-11</v>
      </c>
      <c r="H56" s="166">
        <f t="shared" si="9"/>
        <v>106225834</v>
      </c>
      <c r="I56" s="164"/>
      <c r="J56" s="164"/>
      <c r="K56" s="164"/>
      <c r="L56" s="164"/>
    </row>
    <row r="57" spans="1:12">
      <c r="A57" s="383"/>
      <c r="B57" s="101">
        <v>78255000</v>
      </c>
      <c r="C57" s="164"/>
      <c r="D57" s="165">
        <v>44907</v>
      </c>
      <c r="E57" s="164">
        <v>30</v>
      </c>
      <c r="F57" s="165">
        <f t="shared" si="0"/>
        <v>44937</v>
      </c>
      <c r="G57" s="164">
        <f t="shared" si="1"/>
        <v>-11</v>
      </c>
      <c r="H57" s="166">
        <f t="shared" si="9"/>
        <v>78255000</v>
      </c>
      <c r="I57" s="164"/>
      <c r="J57" s="164"/>
      <c r="K57" s="164"/>
      <c r="L57" s="164"/>
    </row>
    <row r="58" spans="1:12">
      <c r="A58" s="383"/>
      <c r="B58" s="101">
        <v>78255000</v>
      </c>
      <c r="C58" s="164"/>
      <c r="D58" s="165">
        <v>44907</v>
      </c>
      <c r="E58" s="164">
        <v>30</v>
      </c>
      <c r="F58" s="165">
        <f t="shared" si="0"/>
        <v>44937</v>
      </c>
      <c r="G58" s="164">
        <f t="shared" si="1"/>
        <v>-11</v>
      </c>
      <c r="H58" s="166">
        <f t="shared" si="9"/>
        <v>78255000</v>
      </c>
      <c r="I58" s="164"/>
      <c r="J58" s="164"/>
      <c r="K58" s="164"/>
      <c r="L58" s="164"/>
    </row>
    <row r="59" spans="1:12">
      <c r="A59" s="383"/>
      <c r="B59" s="101">
        <v>54945000</v>
      </c>
      <c r="C59" s="164"/>
      <c r="D59" s="165">
        <v>44907</v>
      </c>
      <c r="E59" s="164">
        <v>30</v>
      </c>
      <c r="F59" s="165">
        <f t="shared" si="0"/>
        <v>44937</v>
      </c>
      <c r="G59" s="164">
        <f t="shared" si="1"/>
        <v>-11</v>
      </c>
      <c r="H59" s="166">
        <f t="shared" si="9"/>
        <v>54945000</v>
      </c>
      <c r="I59" s="164"/>
      <c r="J59" s="164"/>
      <c r="K59" s="164"/>
      <c r="L59" s="164"/>
    </row>
    <row r="60" spans="1:12">
      <c r="A60" s="163" t="s">
        <v>66</v>
      </c>
      <c r="B60" s="167">
        <v>19517130</v>
      </c>
      <c r="C60" s="164"/>
      <c r="D60" s="165">
        <v>44900</v>
      </c>
      <c r="E60" s="164">
        <v>30</v>
      </c>
      <c r="F60" s="165">
        <f t="shared" si="0"/>
        <v>44930</v>
      </c>
      <c r="G60" s="164">
        <f t="shared" si="1"/>
        <v>-4</v>
      </c>
      <c r="H60" s="166">
        <f t="shared" si="9"/>
        <v>19517130</v>
      </c>
      <c r="I60" s="164"/>
      <c r="J60" s="164"/>
      <c r="K60" s="164"/>
      <c r="L60" s="164"/>
    </row>
    <row r="61" spans="1:12">
      <c r="A61" s="383" t="s">
        <v>18</v>
      </c>
      <c r="B61" s="101">
        <v>25646330</v>
      </c>
      <c r="C61" s="164"/>
      <c r="D61" s="165">
        <v>44907</v>
      </c>
      <c r="E61" s="164">
        <v>30</v>
      </c>
      <c r="F61" s="165">
        <f t="shared" si="0"/>
        <v>44937</v>
      </c>
      <c r="G61" s="164">
        <f t="shared" si="1"/>
        <v>-11</v>
      </c>
      <c r="H61" s="166">
        <f t="shared" si="9"/>
        <v>25646330</v>
      </c>
      <c r="I61" s="164"/>
      <c r="J61" s="164"/>
      <c r="K61" s="164"/>
      <c r="L61" s="164"/>
    </row>
    <row r="62" spans="1:12">
      <c r="A62" s="383"/>
      <c r="B62" s="101">
        <v>25074900</v>
      </c>
      <c r="C62" s="164"/>
      <c r="D62" s="165">
        <v>44909</v>
      </c>
      <c r="E62" s="164">
        <v>30</v>
      </c>
      <c r="F62" s="165">
        <f t="shared" si="0"/>
        <v>44939</v>
      </c>
      <c r="G62" s="164">
        <f t="shared" si="1"/>
        <v>-13</v>
      </c>
      <c r="H62" s="166">
        <f t="shared" si="9"/>
        <v>25074900</v>
      </c>
      <c r="I62" s="164"/>
      <c r="J62" s="164"/>
      <c r="K62" s="164"/>
      <c r="L62" s="164"/>
    </row>
    <row r="63" spans="1:12">
      <c r="A63" s="383"/>
      <c r="B63" s="101">
        <v>48451500</v>
      </c>
      <c r="C63" s="164"/>
      <c r="D63" s="165">
        <v>44909</v>
      </c>
      <c r="E63" s="164">
        <v>30</v>
      </c>
      <c r="F63" s="165">
        <f t="shared" si="0"/>
        <v>44939</v>
      </c>
      <c r="G63" s="164">
        <f t="shared" si="1"/>
        <v>-13</v>
      </c>
      <c r="H63" s="166">
        <f t="shared" si="9"/>
        <v>48451500</v>
      </c>
      <c r="I63" s="164"/>
      <c r="J63" s="164"/>
      <c r="K63" s="164"/>
      <c r="L63" s="164"/>
    </row>
    <row r="64" spans="1:12">
      <c r="A64" s="383"/>
      <c r="B64" s="101">
        <v>41658300</v>
      </c>
      <c r="C64" s="164"/>
      <c r="D64" s="165">
        <v>44916</v>
      </c>
      <c r="E64" s="164">
        <v>30</v>
      </c>
      <c r="F64" s="165">
        <f t="shared" si="0"/>
        <v>44946</v>
      </c>
      <c r="G64" s="164">
        <f t="shared" si="1"/>
        <v>-20</v>
      </c>
      <c r="H64" s="166">
        <f t="shared" si="9"/>
        <v>41658300</v>
      </c>
      <c r="I64" s="164"/>
      <c r="J64" s="164"/>
      <c r="K64" s="164"/>
      <c r="L64" s="164"/>
    </row>
    <row r="65" spans="1:13">
      <c r="A65" s="163" t="s">
        <v>19</v>
      </c>
      <c r="B65" s="167">
        <v>44640000</v>
      </c>
      <c r="C65" s="164"/>
      <c r="D65" s="165">
        <v>44915</v>
      </c>
      <c r="E65" s="164">
        <v>30</v>
      </c>
      <c r="F65" s="165">
        <f t="shared" si="0"/>
        <v>44945</v>
      </c>
      <c r="G65" s="164">
        <f t="shared" si="1"/>
        <v>-19</v>
      </c>
      <c r="H65" s="166">
        <f t="shared" si="9"/>
        <v>44640000</v>
      </c>
      <c r="I65" s="164"/>
      <c r="J65" s="164"/>
      <c r="K65" s="164"/>
      <c r="L65" s="164"/>
    </row>
    <row r="66" spans="1:13">
      <c r="A66" s="383" t="s">
        <v>20</v>
      </c>
      <c r="B66" s="101">
        <v>23976000</v>
      </c>
      <c r="C66" s="164"/>
      <c r="D66" s="165">
        <v>44897</v>
      </c>
      <c r="E66" s="164">
        <v>30</v>
      </c>
      <c r="F66" s="165">
        <f t="shared" si="0"/>
        <v>44927</v>
      </c>
      <c r="G66" s="164">
        <f t="shared" si="1"/>
        <v>-1</v>
      </c>
      <c r="H66" s="166">
        <f t="shared" si="9"/>
        <v>23976000</v>
      </c>
      <c r="I66" s="164"/>
      <c r="J66" s="164"/>
      <c r="K66" s="164"/>
      <c r="L66" s="164"/>
    </row>
    <row r="67" spans="1:13">
      <c r="A67" s="383"/>
      <c r="B67" s="101">
        <v>23976000</v>
      </c>
      <c r="C67" s="164"/>
      <c r="D67" s="165">
        <v>44897</v>
      </c>
      <c r="E67" s="164">
        <v>30</v>
      </c>
      <c r="F67" s="165">
        <f t="shared" si="0"/>
        <v>44927</v>
      </c>
      <c r="G67" s="164">
        <f t="shared" si="1"/>
        <v>-1</v>
      </c>
      <c r="H67" s="166">
        <f t="shared" si="9"/>
        <v>23976000</v>
      </c>
      <c r="I67" s="164"/>
      <c r="J67" s="164"/>
      <c r="K67" s="164"/>
      <c r="L67" s="164"/>
    </row>
    <row r="68" spans="1:13">
      <c r="A68" s="383" t="s">
        <v>27</v>
      </c>
      <c r="B68" s="101">
        <v>81650000</v>
      </c>
      <c r="C68" s="164"/>
      <c r="D68" s="165">
        <v>44897</v>
      </c>
      <c r="E68" s="164">
        <v>30</v>
      </c>
      <c r="F68" s="165">
        <f t="shared" si="0"/>
        <v>44927</v>
      </c>
      <c r="G68" s="164">
        <f t="shared" si="1"/>
        <v>-1</v>
      </c>
      <c r="H68" s="166">
        <f t="shared" si="9"/>
        <v>81650000</v>
      </c>
      <c r="I68" s="164"/>
      <c r="J68" s="164"/>
      <c r="K68" s="164"/>
      <c r="L68" s="164"/>
    </row>
    <row r="69" spans="1:13">
      <c r="A69" s="383"/>
      <c r="B69" s="101">
        <v>63600000</v>
      </c>
      <c r="C69" s="164"/>
      <c r="D69" s="165">
        <v>44902</v>
      </c>
      <c r="E69" s="164">
        <v>30</v>
      </c>
      <c r="F69" s="165">
        <f t="shared" si="0"/>
        <v>44932</v>
      </c>
      <c r="G69" s="164">
        <f t="shared" si="1"/>
        <v>-6</v>
      </c>
      <c r="H69" s="166">
        <f t="shared" si="9"/>
        <v>63600000</v>
      </c>
      <c r="I69" s="164"/>
      <c r="J69" s="164"/>
      <c r="K69" s="164"/>
      <c r="L69" s="164"/>
    </row>
    <row r="70" spans="1:13">
      <c r="A70" s="383"/>
      <c r="B70" s="101">
        <v>47700000</v>
      </c>
      <c r="C70" s="164"/>
      <c r="D70" s="165">
        <v>44897</v>
      </c>
      <c r="E70" s="164">
        <v>30</v>
      </c>
      <c r="F70" s="165">
        <f t="shared" si="0"/>
        <v>44927</v>
      </c>
      <c r="G70" s="164">
        <f t="shared" si="1"/>
        <v>-1</v>
      </c>
      <c r="H70" s="166">
        <f t="shared" si="9"/>
        <v>47700000</v>
      </c>
      <c r="I70" s="164"/>
      <c r="J70" s="164"/>
      <c r="K70" s="164"/>
      <c r="L70" s="164"/>
    </row>
    <row r="71" spans="1:13">
      <c r="A71" s="383"/>
      <c r="B71" s="101">
        <v>113400000</v>
      </c>
      <c r="C71" s="164"/>
      <c r="D71" s="165">
        <v>44907</v>
      </c>
      <c r="E71" s="164">
        <v>30</v>
      </c>
      <c r="F71" s="165">
        <f t="shared" ref="F71:F134" si="10">D71+E71</f>
        <v>44937</v>
      </c>
      <c r="G71" s="164">
        <f t="shared" ref="G71:G134" si="11">$A$3-F71</f>
        <v>-11</v>
      </c>
      <c r="H71" s="166">
        <f t="shared" si="9"/>
        <v>113400000</v>
      </c>
      <c r="I71" s="164"/>
      <c r="J71" s="164"/>
      <c r="K71" s="164"/>
      <c r="L71" s="164"/>
    </row>
    <row r="72" spans="1:13">
      <c r="A72" s="383"/>
      <c r="B72" s="101">
        <v>87850000</v>
      </c>
      <c r="C72" s="164"/>
      <c r="D72" s="165">
        <v>44924</v>
      </c>
      <c r="E72" s="164">
        <v>30</v>
      </c>
      <c r="F72" s="165">
        <f t="shared" si="10"/>
        <v>44954</v>
      </c>
      <c r="G72" s="164">
        <f t="shared" si="11"/>
        <v>-28</v>
      </c>
      <c r="H72" s="166">
        <f t="shared" si="9"/>
        <v>87850000</v>
      </c>
      <c r="I72" s="164"/>
      <c r="J72" s="164"/>
      <c r="K72" s="164"/>
      <c r="L72" s="164"/>
    </row>
    <row r="73" spans="1:13">
      <c r="A73" s="163" t="s">
        <v>28</v>
      </c>
      <c r="B73" s="167">
        <v>6190000</v>
      </c>
      <c r="C73" s="164"/>
      <c r="D73" s="165">
        <v>44797</v>
      </c>
      <c r="E73" s="164">
        <v>30</v>
      </c>
      <c r="F73" s="165">
        <f t="shared" si="10"/>
        <v>44827</v>
      </c>
      <c r="G73" s="164">
        <f t="shared" si="11"/>
        <v>99</v>
      </c>
      <c r="H73" s="164"/>
      <c r="I73" s="164"/>
      <c r="J73" s="164"/>
      <c r="K73" s="164"/>
      <c r="L73" s="166">
        <f>B73</f>
        <v>6190000</v>
      </c>
    </row>
    <row r="74" spans="1:13">
      <c r="A74" s="383" t="s">
        <v>29</v>
      </c>
      <c r="B74" s="101">
        <v>8072727</v>
      </c>
      <c r="C74" s="164"/>
      <c r="D74" s="165">
        <v>44901</v>
      </c>
      <c r="E74" s="164">
        <v>30</v>
      </c>
      <c r="F74" s="165">
        <f t="shared" si="10"/>
        <v>44931</v>
      </c>
      <c r="G74" s="164">
        <f t="shared" si="11"/>
        <v>-5</v>
      </c>
      <c r="H74" s="166">
        <f t="shared" ref="H74:H76" si="12">B74</f>
        <v>8072727</v>
      </c>
      <c r="I74" s="164"/>
      <c r="J74" s="164"/>
      <c r="K74" s="164"/>
      <c r="L74" s="164"/>
    </row>
    <row r="75" spans="1:13">
      <c r="A75" s="383"/>
      <c r="B75" s="101">
        <v>11435000</v>
      </c>
      <c r="C75" s="164"/>
      <c r="D75" s="165">
        <v>44921</v>
      </c>
      <c r="E75" s="164">
        <v>30</v>
      </c>
      <c r="F75" s="165">
        <f t="shared" si="10"/>
        <v>44951</v>
      </c>
      <c r="G75" s="164">
        <f t="shared" si="11"/>
        <v>-25</v>
      </c>
      <c r="H75" s="166">
        <f t="shared" si="12"/>
        <v>11435000</v>
      </c>
      <c r="I75" s="164"/>
      <c r="J75" s="164"/>
      <c r="K75" s="164"/>
      <c r="L75" s="164"/>
    </row>
    <row r="76" spans="1:13">
      <c r="A76" s="383"/>
      <c r="B76" s="244">
        <f>759090*0</f>
        <v>0</v>
      </c>
      <c r="C76" s="245"/>
      <c r="D76" s="246">
        <v>44921</v>
      </c>
      <c r="E76" s="245">
        <v>30</v>
      </c>
      <c r="F76" s="246">
        <f t="shared" si="10"/>
        <v>44951</v>
      </c>
      <c r="G76" s="245">
        <f t="shared" si="11"/>
        <v>-25</v>
      </c>
      <c r="H76" s="247">
        <f t="shared" si="12"/>
        <v>0</v>
      </c>
      <c r="I76" s="245"/>
      <c r="J76" s="245"/>
      <c r="K76" s="245"/>
      <c r="L76" s="245"/>
      <c r="M76" s="159" t="s">
        <v>488</v>
      </c>
    </row>
    <row r="77" spans="1:13">
      <c r="A77" s="383" t="s">
        <v>32</v>
      </c>
      <c r="B77" s="168">
        <v>865000</v>
      </c>
      <c r="C77" s="164"/>
      <c r="D77" s="165">
        <v>44866</v>
      </c>
      <c r="E77" s="164">
        <v>30</v>
      </c>
      <c r="F77" s="165">
        <f t="shared" si="10"/>
        <v>44896</v>
      </c>
      <c r="G77" s="164">
        <f t="shared" si="11"/>
        <v>30</v>
      </c>
      <c r="H77" s="164"/>
      <c r="I77" s="166">
        <f>B77</f>
        <v>865000</v>
      </c>
      <c r="J77" s="164"/>
      <c r="K77" s="164"/>
      <c r="L77" s="164"/>
    </row>
    <row r="78" spans="1:13">
      <c r="A78" s="383"/>
      <c r="B78" s="168">
        <v>590000</v>
      </c>
      <c r="C78" s="164"/>
      <c r="D78" s="165">
        <v>44847</v>
      </c>
      <c r="E78" s="164">
        <v>30</v>
      </c>
      <c r="F78" s="165">
        <f t="shared" si="10"/>
        <v>44877</v>
      </c>
      <c r="G78" s="164">
        <f t="shared" si="11"/>
        <v>49</v>
      </c>
      <c r="H78" s="164"/>
      <c r="I78" s="164"/>
      <c r="J78" s="166">
        <f t="shared" ref="J78:J79" si="13">B78</f>
        <v>590000</v>
      </c>
      <c r="K78" s="164"/>
      <c r="L78" s="164"/>
    </row>
    <row r="79" spans="1:13">
      <c r="A79" s="383"/>
      <c r="B79" s="168">
        <v>320000</v>
      </c>
      <c r="C79" s="164"/>
      <c r="D79" s="165">
        <v>44837</v>
      </c>
      <c r="E79" s="164">
        <v>30</v>
      </c>
      <c r="F79" s="165">
        <f t="shared" si="10"/>
        <v>44867</v>
      </c>
      <c r="G79" s="164">
        <f t="shared" si="11"/>
        <v>59</v>
      </c>
      <c r="H79" s="164"/>
      <c r="I79" s="164"/>
      <c r="J79" s="166">
        <f t="shared" si="13"/>
        <v>320000</v>
      </c>
      <c r="K79" s="164"/>
      <c r="L79" s="164"/>
    </row>
    <row r="80" spans="1:13">
      <c r="A80" s="383"/>
      <c r="B80" s="168">
        <v>1300000</v>
      </c>
      <c r="C80" s="164"/>
      <c r="D80" s="165">
        <v>44881</v>
      </c>
      <c r="E80" s="164">
        <v>30</v>
      </c>
      <c r="F80" s="165">
        <f t="shared" si="10"/>
        <v>44911</v>
      </c>
      <c r="G80" s="164">
        <f t="shared" si="11"/>
        <v>15</v>
      </c>
      <c r="H80" s="164"/>
      <c r="I80" s="166">
        <f>B80</f>
        <v>1300000</v>
      </c>
      <c r="J80" s="164"/>
      <c r="K80" s="164"/>
      <c r="L80" s="164"/>
    </row>
    <row r="81" spans="1:12">
      <c r="A81" s="383"/>
      <c r="B81" s="168">
        <v>500000</v>
      </c>
      <c r="C81" s="164"/>
      <c r="D81" s="165">
        <v>44916</v>
      </c>
      <c r="E81" s="164">
        <v>30</v>
      </c>
      <c r="F81" s="165">
        <f t="shared" si="10"/>
        <v>44946</v>
      </c>
      <c r="G81" s="164">
        <f t="shared" si="11"/>
        <v>-20</v>
      </c>
      <c r="H81" s="166">
        <f>B81</f>
        <v>500000</v>
      </c>
      <c r="I81" s="164"/>
      <c r="J81" s="164"/>
      <c r="K81" s="164"/>
      <c r="L81" s="164"/>
    </row>
    <row r="82" spans="1:12">
      <c r="A82" s="383"/>
      <c r="B82" s="168">
        <v>1600000</v>
      </c>
      <c r="C82" s="164"/>
      <c r="D82" s="165">
        <v>44830</v>
      </c>
      <c r="E82" s="164">
        <v>30</v>
      </c>
      <c r="F82" s="165">
        <f t="shared" si="10"/>
        <v>44860</v>
      </c>
      <c r="G82" s="164">
        <f t="shared" si="11"/>
        <v>66</v>
      </c>
      <c r="H82" s="164"/>
      <c r="I82" s="164"/>
      <c r="J82" s="164"/>
      <c r="K82" s="166">
        <f>B82</f>
        <v>1600000</v>
      </c>
      <c r="L82" s="164"/>
    </row>
    <row r="83" spans="1:12">
      <c r="A83" s="383"/>
      <c r="B83" s="168">
        <v>405000</v>
      </c>
      <c r="C83" s="164"/>
      <c r="D83" s="165">
        <v>44893</v>
      </c>
      <c r="E83" s="164">
        <v>30</v>
      </c>
      <c r="F83" s="165">
        <f t="shared" si="10"/>
        <v>44923</v>
      </c>
      <c r="G83" s="164">
        <f t="shared" si="11"/>
        <v>3</v>
      </c>
      <c r="H83" s="164"/>
      <c r="I83" s="166">
        <f>B83</f>
        <v>405000</v>
      </c>
      <c r="J83" s="164"/>
      <c r="K83" s="164"/>
      <c r="L83" s="164"/>
    </row>
    <row r="84" spans="1:12">
      <c r="A84" s="383"/>
      <c r="B84" s="168">
        <v>900000</v>
      </c>
      <c r="C84" s="164"/>
      <c r="D84" s="165">
        <v>44916</v>
      </c>
      <c r="E84" s="164">
        <v>30</v>
      </c>
      <c r="F84" s="165">
        <f t="shared" si="10"/>
        <v>44946</v>
      </c>
      <c r="G84" s="164">
        <f t="shared" si="11"/>
        <v>-20</v>
      </c>
      <c r="H84" s="166">
        <f>B84</f>
        <v>900000</v>
      </c>
      <c r="I84" s="164"/>
      <c r="J84" s="164"/>
      <c r="K84" s="164"/>
      <c r="L84" s="164"/>
    </row>
    <row r="85" spans="1:12">
      <c r="A85" s="383" t="s">
        <v>248</v>
      </c>
      <c r="B85" s="101">
        <v>33495000</v>
      </c>
      <c r="C85" s="164"/>
      <c r="D85" s="165">
        <v>44820</v>
      </c>
      <c r="E85" s="164">
        <v>30</v>
      </c>
      <c r="F85" s="165">
        <f t="shared" si="10"/>
        <v>44850</v>
      </c>
      <c r="G85" s="164">
        <f t="shared" si="11"/>
        <v>76</v>
      </c>
      <c r="H85" s="164"/>
      <c r="I85" s="164"/>
      <c r="J85" s="164"/>
      <c r="K85" s="166">
        <f t="shared" ref="K85:K87" si="14">B85</f>
        <v>33495000</v>
      </c>
      <c r="L85" s="164"/>
    </row>
    <row r="86" spans="1:12">
      <c r="A86" s="383"/>
      <c r="B86" s="101">
        <v>61600000</v>
      </c>
      <c r="C86" s="164"/>
      <c r="D86" s="165">
        <v>44825</v>
      </c>
      <c r="E86" s="164">
        <v>30</v>
      </c>
      <c r="F86" s="165">
        <f t="shared" si="10"/>
        <v>44855</v>
      </c>
      <c r="G86" s="164">
        <f t="shared" si="11"/>
        <v>71</v>
      </c>
      <c r="H86" s="164"/>
      <c r="I86" s="164"/>
      <c r="J86" s="164"/>
      <c r="K86" s="166">
        <f t="shared" si="14"/>
        <v>61600000</v>
      </c>
      <c r="L86" s="164"/>
    </row>
    <row r="87" spans="1:12">
      <c r="A87" s="383"/>
      <c r="B87" s="101">
        <v>30800000</v>
      </c>
      <c r="C87" s="164"/>
      <c r="D87" s="165">
        <v>44825</v>
      </c>
      <c r="E87" s="164">
        <v>30</v>
      </c>
      <c r="F87" s="165">
        <f t="shared" si="10"/>
        <v>44855</v>
      </c>
      <c r="G87" s="164">
        <f t="shared" si="11"/>
        <v>71</v>
      </c>
      <c r="H87" s="164"/>
      <c r="I87" s="164"/>
      <c r="J87" s="164"/>
      <c r="K87" s="166">
        <f t="shared" si="14"/>
        <v>30800000</v>
      </c>
      <c r="L87" s="164"/>
    </row>
    <row r="88" spans="1:12">
      <c r="A88" s="383"/>
      <c r="B88" s="101">
        <v>26860000</v>
      </c>
      <c r="C88" s="164"/>
      <c r="D88" s="165">
        <v>44845</v>
      </c>
      <c r="E88" s="164">
        <v>30</v>
      </c>
      <c r="F88" s="165">
        <f t="shared" si="10"/>
        <v>44875</v>
      </c>
      <c r="G88" s="164">
        <f t="shared" si="11"/>
        <v>51</v>
      </c>
      <c r="H88" s="164"/>
      <c r="I88" s="164"/>
      <c r="J88" s="166">
        <f>B88</f>
        <v>26860000</v>
      </c>
      <c r="K88" s="164"/>
      <c r="L88" s="164"/>
    </row>
    <row r="89" spans="1:12">
      <c r="A89" s="383"/>
      <c r="B89" s="101">
        <v>46200000</v>
      </c>
      <c r="C89" s="164"/>
      <c r="D89" s="165">
        <v>44801</v>
      </c>
      <c r="E89" s="164">
        <v>30</v>
      </c>
      <c r="F89" s="165">
        <f t="shared" si="10"/>
        <v>44831</v>
      </c>
      <c r="G89" s="164">
        <f t="shared" si="11"/>
        <v>95</v>
      </c>
      <c r="H89" s="164"/>
      <c r="I89" s="164"/>
      <c r="J89" s="164"/>
      <c r="K89" s="164"/>
      <c r="L89" s="166">
        <f>B89</f>
        <v>46200000</v>
      </c>
    </row>
    <row r="90" spans="1:12">
      <c r="A90" s="383"/>
      <c r="B90" s="101">
        <v>19860000</v>
      </c>
      <c r="C90" s="164"/>
      <c r="D90" s="165">
        <v>44820</v>
      </c>
      <c r="E90" s="164">
        <v>30</v>
      </c>
      <c r="F90" s="165">
        <f t="shared" si="10"/>
        <v>44850</v>
      </c>
      <c r="G90" s="164">
        <f t="shared" si="11"/>
        <v>76</v>
      </c>
      <c r="H90" s="164"/>
      <c r="I90" s="164"/>
      <c r="J90" s="164"/>
      <c r="K90" s="166">
        <f t="shared" ref="K90:K96" si="15">B90</f>
        <v>19860000</v>
      </c>
      <c r="L90" s="164"/>
    </row>
    <row r="91" spans="1:12">
      <c r="A91" s="383"/>
      <c r="B91" s="101">
        <v>13700000</v>
      </c>
      <c r="C91" s="164"/>
      <c r="D91" s="165">
        <v>44820</v>
      </c>
      <c r="E91" s="164">
        <v>30</v>
      </c>
      <c r="F91" s="165">
        <f t="shared" si="10"/>
        <v>44850</v>
      </c>
      <c r="G91" s="164">
        <f t="shared" si="11"/>
        <v>76</v>
      </c>
      <c r="H91" s="164"/>
      <c r="I91" s="164"/>
      <c r="J91" s="164"/>
      <c r="K91" s="166">
        <f t="shared" si="15"/>
        <v>13700000</v>
      </c>
      <c r="L91" s="164"/>
    </row>
    <row r="92" spans="1:12">
      <c r="A92" s="383"/>
      <c r="B92" s="101">
        <v>30800000</v>
      </c>
      <c r="C92" s="164"/>
      <c r="D92" s="165">
        <v>44820</v>
      </c>
      <c r="E92" s="164">
        <v>30</v>
      </c>
      <c r="F92" s="165">
        <f t="shared" si="10"/>
        <v>44850</v>
      </c>
      <c r="G92" s="164">
        <f t="shared" si="11"/>
        <v>76</v>
      </c>
      <c r="H92" s="164"/>
      <c r="I92" s="164"/>
      <c r="J92" s="164"/>
      <c r="K92" s="166">
        <f t="shared" si="15"/>
        <v>30800000</v>
      </c>
      <c r="L92" s="164"/>
    </row>
    <row r="93" spans="1:12">
      <c r="A93" s="383"/>
      <c r="B93" s="101">
        <v>27400000</v>
      </c>
      <c r="C93" s="164"/>
      <c r="D93" s="165">
        <v>44820</v>
      </c>
      <c r="E93" s="164">
        <v>30</v>
      </c>
      <c r="F93" s="165">
        <f t="shared" si="10"/>
        <v>44850</v>
      </c>
      <c r="G93" s="164">
        <f t="shared" si="11"/>
        <v>76</v>
      </c>
      <c r="H93" s="164"/>
      <c r="I93" s="164"/>
      <c r="J93" s="164"/>
      <c r="K93" s="166">
        <f t="shared" si="15"/>
        <v>27400000</v>
      </c>
      <c r="L93" s="164"/>
    </row>
    <row r="94" spans="1:12">
      <c r="A94" s="383"/>
      <c r="B94" s="101">
        <v>22985000</v>
      </c>
      <c r="C94" s="164"/>
      <c r="D94" s="165">
        <v>44820</v>
      </c>
      <c r="E94" s="164">
        <v>30</v>
      </c>
      <c r="F94" s="165">
        <f t="shared" si="10"/>
        <v>44850</v>
      </c>
      <c r="G94" s="164">
        <f t="shared" si="11"/>
        <v>76</v>
      </c>
      <c r="H94" s="164"/>
      <c r="I94" s="164"/>
      <c r="J94" s="164"/>
      <c r="K94" s="166">
        <f t="shared" si="15"/>
        <v>22985000</v>
      </c>
      <c r="L94" s="164"/>
    </row>
    <row r="95" spans="1:12">
      <c r="A95" s="383"/>
      <c r="B95" s="101">
        <v>21400000</v>
      </c>
      <c r="C95" s="164"/>
      <c r="D95" s="165">
        <v>44823</v>
      </c>
      <c r="E95" s="164">
        <v>30</v>
      </c>
      <c r="F95" s="165">
        <f t="shared" si="10"/>
        <v>44853</v>
      </c>
      <c r="G95" s="164">
        <f t="shared" si="11"/>
        <v>73</v>
      </c>
      <c r="H95" s="164"/>
      <c r="I95" s="164"/>
      <c r="J95" s="164"/>
      <c r="K95" s="166">
        <f t="shared" si="15"/>
        <v>21400000</v>
      </c>
      <c r="L95" s="164"/>
    </row>
    <row r="96" spans="1:12">
      <c r="A96" s="383"/>
      <c r="B96" s="101">
        <v>20550000</v>
      </c>
      <c r="C96" s="164"/>
      <c r="D96" s="165">
        <v>44825</v>
      </c>
      <c r="E96" s="164">
        <v>30</v>
      </c>
      <c r="F96" s="165">
        <f t="shared" si="10"/>
        <v>44855</v>
      </c>
      <c r="G96" s="164">
        <f t="shared" si="11"/>
        <v>71</v>
      </c>
      <c r="H96" s="164"/>
      <c r="I96" s="164"/>
      <c r="J96" s="164"/>
      <c r="K96" s="166">
        <f t="shared" si="15"/>
        <v>20550000</v>
      </c>
      <c r="L96" s="164"/>
    </row>
    <row r="97" spans="1:12">
      <c r="A97" s="383"/>
      <c r="B97" s="101">
        <v>54457500</v>
      </c>
      <c r="C97" s="164"/>
      <c r="D97" s="165">
        <v>44775</v>
      </c>
      <c r="E97" s="164">
        <v>30</v>
      </c>
      <c r="F97" s="165">
        <f t="shared" si="10"/>
        <v>44805</v>
      </c>
      <c r="G97" s="164">
        <f t="shared" si="11"/>
        <v>121</v>
      </c>
      <c r="H97" s="164"/>
      <c r="I97" s="164"/>
      <c r="J97" s="164"/>
      <c r="K97" s="164"/>
      <c r="L97" s="166">
        <f>B97</f>
        <v>54457500</v>
      </c>
    </row>
    <row r="98" spans="1:12">
      <c r="A98" s="383"/>
      <c r="B98" s="101">
        <v>32340000</v>
      </c>
      <c r="C98" s="164"/>
      <c r="D98" s="165">
        <v>44825</v>
      </c>
      <c r="E98" s="164">
        <v>30</v>
      </c>
      <c r="F98" s="165">
        <f t="shared" si="10"/>
        <v>44855</v>
      </c>
      <c r="G98" s="164">
        <f t="shared" si="11"/>
        <v>71</v>
      </c>
      <c r="H98" s="164"/>
      <c r="I98" s="164"/>
      <c r="J98" s="164"/>
      <c r="K98" s="166">
        <f t="shared" ref="K98:K99" si="16">B98</f>
        <v>32340000</v>
      </c>
      <c r="L98" s="164"/>
    </row>
    <row r="99" spans="1:12">
      <c r="A99" s="383"/>
      <c r="B99" s="101">
        <v>30800000</v>
      </c>
      <c r="C99" s="164"/>
      <c r="D99" s="165">
        <v>44825</v>
      </c>
      <c r="E99" s="164">
        <v>30</v>
      </c>
      <c r="F99" s="165">
        <f t="shared" si="10"/>
        <v>44855</v>
      </c>
      <c r="G99" s="164">
        <f t="shared" si="11"/>
        <v>71</v>
      </c>
      <c r="H99" s="164"/>
      <c r="I99" s="164"/>
      <c r="J99" s="164"/>
      <c r="K99" s="166">
        <f t="shared" si="16"/>
        <v>30800000</v>
      </c>
      <c r="L99" s="164"/>
    </row>
    <row r="100" spans="1:12">
      <c r="A100" s="383"/>
      <c r="B100" s="101">
        <v>26950000</v>
      </c>
      <c r="C100" s="164"/>
      <c r="D100" s="165">
        <v>44922</v>
      </c>
      <c r="E100" s="164">
        <v>30</v>
      </c>
      <c r="F100" s="165">
        <f t="shared" si="10"/>
        <v>44952</v>
      </c>
      <c r="G100" s="164">
        <f t="shared" si="11"/>
        <v>-26</v>
      </c>
      <c r="H100" s="166">
        <f>B100</f>
        <v>26950000</v>
      </c>
      <c r="I100" s="164"/>
      <c r="J100" s="164"/>
      <c r="K100" s="164"/>
      <c r="L100" s="164"/>
    </row>
    <row r="101" spans="1:12">
      <c r="A101" s="383"/>
      <c r="B101" s="101">
        <v>25002500</v>
      </c>
      <c r="C101" s="164"/>
      <c r="D101" s="165">
        <v>44775</v>
      </c>
      <c r="E101" s="164">
        <v>30</v>
      </c>
      <c r="F101" s="165">
        <f t="shared" si="10"/>
        <v>44805</v>
      </c>
      <c r="G101" s="164">
        <f t="shared" si="11"/>
        <v>121</v>
      </c>
      <c r="H101" s="164"/>
      <c r="I101" s="164"/>
      <c r="J101" s="164"/>
      <c r="K101" s="164"/>
      <c r="L101" s="166">
        <f>B101</f>
        <v>25002500</v>
      </c>
    </row>
    <row r="102" spans="1:12">
      <c r="A102" s="383"/>
      <c r="B102" s="101">
        <v>15400000</v>
      </c>
      <c r="C102" s="164"/>
      <c r="D102" s="165">
        <v>44825</v>
      </c>
      <c r="E102" s="164">
        <v>30</v>
      </c>
      <c r="F102" s="165">
        <f t="shared" si="10"/>
        <v>44855</v>
      </c>
      <c r="G102" s="164">
        <f t="shared" si="11"/>
        <v>71</v>
      </c>
      <c r="H102" s="164"/>
      <c r="I102" s="164"/>
      <c r="J102" s="164"/>
      <c r="K102" s="166">
        <f>B102</f>
        <v>15400000</v>
      </c>
      <c r="L102" s="164"/>
    </row>
    <row r="103" spans="1:12">
      <c r="A103" s="383"/>
      <c r="B103" s="101">
        <v>43505000</v>
      </c>
      <c r="C103" s="164"/>
      <c r="D103" s="165">
        <v>44922</v>
      </c>
      <c r="E103" s="164">
        <v>30</v>
      </c>
      <c r="F103" s="165">
        <f t="shared" si="10"/>
        <v>44952</v>
      </c>
      <c r="G103" s="164">
        <f t="shared" si="11"/>
        <v>-26</v>
      </c>
      <c r="H103" s="166">
        <f>B103</f>
        <v>43505000</v>
      </c>
      <c r="I103" s="164"/>
      <c r="J103" s="164"/>
      <c r="K103" s="164"/>
      <c r="L103" s="164"/>
    </row>
    <row r="104" spans="1:12">
      <c r="A104" s="383"/>
      <c r="B104" s="101">
        <v>13700000</v>
      </c>
      <c r="C104" s="164"/>
      <c r="D104" s="165">
        <v>44826</v>
      </c>
      <c r="E104" s="164">
        <v>30</v>
      </c>
      <c r="F104" s="165">
        <f t="shared" si="10"/>
        <v>44856</v>
      </c>
      <c r="G104" s="164">
        <f t="shared" si="11"/>
        <v>70</v>
      </c>
      <c r="H104" s="164"/>
      <c r="I104" s="164"/>
      <c r="J104" s="164"/>
      <c r="K104" s="166">
        <f>B104</f>
        <v>13700000</v>
      </c>
      <c r="L104" s="164"/>
    </row>
    <row r="105" spans="1:12">
      <c r="A105" s="383"/>
      <c r="B105" s="101">
        <v>10010000</v>
      </c>
      <c r="C105" s="164"/>
      <c r="D105" s="165">
        <v>44922</v>
      </c>
      <c r="E105" s="164">
        <v>30</v>
      </c>
      <c r="F105" s="165">
        <f t="shared" si="10"/>
        <v>44952</v>
      </c>
      <c r="G105" s="164">
        <f t="shared" si="11"/>
        <v>-26</v>
      </c>
      <c r="H105" s="166">
        <f>B105</f>
        <v>10010000</v>
      </c>
      <c r="I105" s="164"/>
      <c r="J105" s="164"/>
      <c r="K105" s="164"/>
      <c r="L105" s="164"/>
    </row>
    <row r="106" spans="1:12">
      <c r="A106" s="383"/>
      <c r="B106" s="101">
        <v>23700000</v>
      </c>
      <c r="C106" s="164"/>
      <c r="D106" s="165">
        <v>44847</v>
      </c>
      <c r="E106" s="164">
        <v>30</v>
      </c>
      <c r="F106" s="165">
        <f t="shared" si="10"/>
        <v>44877</v>
      </c>
      <c r="G106" s="164">
        <f t="shared" si="11"/>
        <v>49</v>
      </c>
      <c r="H106" s="164"/>
      <c r="I106" s="164"/>
      <c r="J106" s="166">
        <f>B106</f>
        <v>23700000</v>
      </c>
      <c r="K106" s="164"/>
      <c r="L106" s="164"/>
    </row>
    <row r="107" spans="1:12">
      <c r="A107" s="383"/>
      <c r="B107" s="101">
        <v>80080000</v>
      </c>
      <c r="C107" s="164"/>
      <c r="D107" s="165">
        <v>44922</v>
      </c>
      <c r="E107" s="164">
        <v>30</v>
      </c>
      <c r="F107" s="165">
        <f t="shared" si="10"/>
        <v>44952</v>
      </c>
      <c r="G107" s="164">
        <f t="shared" si="11"/>
        <v>-26</v>
      </c>
      <c r="H107" s="166">
        <f>B107</f>
        <v>80080000</v>
      </c>
      <c r="I107" s="164"/>
      <c r="J107" s="164"/>
      <c r="K107" s="164"/>
      <c r="L107" s="164"/>
    </row>
    <row r="108" spans="1:12">
      <c r="A108" s="383"/>
      <c r="B108" s="101">
        <v>36340000</v>
      </c>
      <c r="C108" s="164"/>
      <c r="D108" s="165">
        <v>44847</v>
      </c>
      <c r="E108" s="164">
        <v>30</v>
      </c>
      <c r="F108" s="165">
        <f t="shared" si="10"/>
        <v>44877</v>
      </c>
      <c r="G108" s="164">
        <f t="shared" si="11"/>
        <v>49</v>
      </c>
      <c r="H108" s="164"/>
      <c r="I108" s="164"/>
      <c r="J108" s="166">
        <f>B108</f>
        <v>36340000</v>
      </c>
      <c r="K108" s="164"/>
      <c r="L108" s="164"/>
    </row>
    <row r="109" spans="1:12">
      <c r="A109" s="383" t="s">
        <v>35</v>
      </c>
      <c r="B109" s="101">
        <v>1176600</v>
      </c>
      <c r="C109" s="164"/>
      <c r="D109" s="165">
        <v>44805</v>
      </c>
      <c r="E109" s="164">
        <v>30</v>
      </c>
      <c r="F109" s="165">
        <f t="shared" si="10"/>
        <v>44835</v>
      </c>
      <c r="G109" s="164">
        <f t="shared" si="11"/>
        <v>91</v>
      </c>
      <c r="H109" s="164"/>
      <c r="I109" s="164"/>
      <c r="J109" s="164"/>
      <c r="K109" s="164"/>
      <c r="L109" s="166">
        <f t="shared" ref="L109:L113" si="17">B109</f>
        <v>1176600</v>
      </c>
    </row>
    <row r="110" spans="1:12">
      <c r="A110" s="383"/>
      <c r="B110" s="101">
        <v>3983235</v>
      </c>
      <c r="C110" s="164"/>
      <c r="D110" s="165">
        <v>44805</v>
      </c>
      <c r="E110" s="164">
        <v>30</v>
      </c>
      <c r="F110" s="165">
        <f t="shared" si="10"/>
        <v>44835</v>
      </c>
      <c r="G110" s="164">
        <f t="shared" si="11"/>
        <v>91</v>
      </c>
      <c r="H110" s="164"/>
      <c r="I110" s="164"/>
      <c r="J110" s="164"/>
      <c r="K110" s="164"/>
      <c r="L110" s="166">
        <f t="shared" si="17"/>
        <v>3983235</v>
      </c>
    </row>
    <row r="111" spans="1:12">
      <c r="A111" s="383"/>
      <c r="B111" s="101">
        <v>339105</v>
      </c>
      <c r="C111" s="164"/>
      <c r="D111" s="165">
        <v>44805</v>
      </c>
      <c r="E111" s="164">
        <v>30</v>
      </c>
      <c r="F111" s="165">
        <f t="shared" si="10"/>
        <v>44835</v>
      </c>
      <c r="G111" s="164">
        <f t="shared" si="11"/>
        <v>91</v>
      </c>
      <c r="H111" s="164"/>
      <c r="I111" s="164"/>
      <c r="J111" s="164"/>
      <c r="K111" s="164"/>
      <c r="L111" s="166">
        <f t="shared" si="17"/>
        <v>339105</v>
      </c>
    </row>
    <row r="112" spans="1:12">
      <c r="A112" s="383"/>
      <c r="B112" s="101">
        <v>915750</v>
      </c>
      <c r="C112" s="164"/>
      <c r="D112" s="165">
        <v>44805</v>
      </c>
      <c r="E112" s="164">
        <v>30</v>
      </c>
      <c r="F112" s="165">
        <f t="shared" si="10"/>
        <v>44835</v>
      </c>
      <c r="G112" s="164">
        <f t="shared" si="11"/>
        <v>91</v>
      </c>
      <c r="H112" s="164"/>
      <c r="I112" s="164"/>
      <c r="J112" s="164"/>
      <c r="K112" s="164"/>
      <c r="L112" s="166">
        <f t="shared" si="17"/>
        <v>915750</v>
      </c>
    </row>
    <row r="113" spans="1:12">
      <c r="A113" s="383"/>
      <c r="B113" s="101">
        <v>388500</v>
      </c>
      <c r="C113" s="164"/>
      <c r="D113" s="165">
        <v>44805</v>
      </c>
      <c r="E113" s="164">
        <v>30</v>
      </c>
      <c r="F113" s="165">
        <f t="shared" si="10"/>
        <v>44835</v>
      </c>
      <c r="G113" s="164">
        <f t="shared" si="11"/>
        <v>91</v>
      </c>
      <c r="H113" s="164"/>
      <c r="I113" s="164"/>
      <c r="J113" s="164"/>
      <c r="K113" s="164"/>
      <c r="L113" s="166">
        <f t="shared" si="17"/>
        <v>388500</v>
      </c>
    </row>
    <row r="114" spans="1:12">
      <c r="A114" s="383"/>
      <c r="B114" s="101">
        <v>1343100</v>
      </c>
      <c r="C114" s="164"/>
      <c r="D114" s="165">
        <v>44835</v>
      </c>
      <c r="E114" s="164">
        <v>30</v>
      </c>
      <c r="F114" s="165">
        <f t="shared" si="10"/>
        <v>44865</v>
      </c>
      <c r="G114" s="164">
        <f t="shared" si="11"/>
        <v>61</v>
      </c>
      <c r="H114" s="164"/>
      <c r="I114" s="164"/>
      <c r="J114" s="164"/>
      <c r="K114" s="166">
        <f t="shared" ref="K114:K119" si="18">B114</f>
        <v>1343100</v>
      </c>
      <c r="L114" s="164"/>
    </row>
    <row r="115" spans="1:12">
      <c r="A115" s="383"/>
      <c r="B115" s="101">
        <v>854700</v>
      </c>
      <c r="C115" s="164"/>
      <c r="D115" s="165">
        <v>44835</v>
      </c>
      <c r="E115" s="164">
        <v>30</v>
      </c>
      <c r="F115" s="165">
        <f t="shared" si="10"/>
        <v>44865</v>
      </c>
      <c r="G115" s="164">
        <f t="shared" si="11"/>
        <v>61</v>
      </c>
      <c r="H115" s="164"/>
      <c r="I115" s="164"/>
      <c r="J115" s="164"/>
      <c r="K115" s="166">
        <f t="shared" si="18"/>
        <v>854700</v>
      </c>
      <c r="L115" s="164"/>
    </row>
    <row r="116" spans="1:12">
      <c r="A116" s="383"/>
      <c r="B116" s="101">
        <v>832500</v>
      </c>
      <c r="C116" s="164"/>
      <c r="D116" s="165">
        <v>44835</v>
      </c>
      <c r="E116" s="164">
        <v>30</v>
      </c>
      <c r="F116" s="165">
        <f t="shared" si="10"/>
        <v>44865</v>
      </c>
      <c r="G116" s="164">
        <f t="shared" si="11"/>
        <v>61</v>
      </c>
      <c r="H116" s="164"/>
      <c r="I116" s="164"/>
      <c r="J116" s="164"/>
      <c r="K116" s="166">
        <f t="shared" si="18"/>
        <v>832500</v>
      </c>
      <c r="L116" s="164"/>
    </row>
    <row r="117" spans="1:12">
      <c r="A117" s="383"/>
      <c r="B117" s="101">
        <v>699300</v>
      </c>
      <c r="C117" s="164"/>
      <c r="D117" s="165">
        <v>44835</v>
      </c>
      <c r="E117" s="164">
        <v>30</v>
      </c>
      <c r="F117" s="165">
        <f t="shared" si="10"/>
        <v>44865</v>
      </c>
      <c r="G117" s="164">
        <f t="shared" si="11"/>
        <v>61</v>
      </c>
      <c r="H117" s="164"/>
      <c r="I117" s="164"/>
      <c r="J117" s="164"/>
      <c r="K117" s="166">
        <f t="shared" si="18"/>
        <v>699300</v>
      </c>
      <c r="L117" s="164"/>
    </row>
    <row r="118" spans="1:12">
      <c r="A118" s="383"/>
      <c r="B118" s="101">
        <v>521700</v>
      </c>
      <c r="C118" s="164"/>
      <c r="D118" s="165">
        <v>44835</v>
      </c>
      <c r="E118" s="164">
        <v>30</v>
      </c>
      <c r="F118" s="165">
        <f t="shared" si="10"/>
        <v>44865</v>
      </c>
      <c r="G118" s="164">
        <f t="shared" si="11"/>
        <v>61</v>
      </c>
      <c r="H118" s="164"/>
      <c r="I118" s="164"/>
      <c r="J118" s="164"/>
      <c r="K118" s="166">
        <f t="shared" si="18"/>
        <v>521700</v>
      </c>
      <c r="L118" s="164"/>
    </row>
    <row r="119" spans="1:12">
      <c r="A119" s="383"/>
      <c r="B119" s="101">
        <v>1337550</v>
      </c>
      <c r="C119" s="164"/>
      <c r="D119" s="165">
        <v>44830</v>
      </c>
      <c r="E119" s="164">
        <v>30</v>
      </c>
      <c r="F119" s="165">
        <f t="shared" si="10"/>
        <v>44860</v>
      </c>
      <c r="G119" s="164">
        <f t="shared" si="11"/>
        <v>66</v>
      </c>
      <c r="H119" s="164"/>
      <c r="I119" s="164"/>
      <c r="J119" s="164"/>
      <c r="K119" s="166">
        <f t="shared" si="18"/>
        <v>1337550</v>
      </c>
      <c r="L119" s="164"/>
    </row>
    <row r="120" spans="1:12">
      <c r="A120" s="383"/>
      <c r="B120" s="101">
        <v>3779550</v>
      </c>
      <c r="C120" s="164"/>
      <c r="D120" s="165">
        <v>44805</v>
      </c>
      <c r="E120" s="164">
        <v>30</v>
      </c>
      <c r="F120" s="165">
        <f t="shared" si="10"/>
        <v>44835</v>
      </c>
      <c r="G120" s="164">
        <f t="shared" si="11"/>
        <v>91</v>
      </c>
      <c r="H120" s="164"/>
      <c r="I120" s="164"/>
      <c r="J120" s="164"/>
      <c r="K120" s="164"/>
      <c r="L120" s="166">
        <f>B120</f>
        <v>3779550</v>
      </c>
    </row>
    <row r="121" spans="1:12">
      <c r="A121" s="383"/>
      <c r="B121" s="101">
        <v>3690750</v>
      </c>
      <c r="C121" s="164"/>
      <c r="D121" s="165">
        <v>44824</v>
      </c>
      <c r="E121" s="164">
        <v>30</v>
      </c>
      <c r="F121" s="165">
        <f t="shared" si="10"/>
        <v>44854</v>
      </c>
      <c r="G121" s="164">
        <f t="shared" si="11"/>
        <v>72</v>
      </c>
      <c r="H121" s="164"/>
      <c r="I121" s="164"/>
      <c r="J121" s="164"/>
      <c r="K121" s="166">
        <f t="shared" ref="K121:K122" si="19">B121</f>
        <v>3690750</v>
      </c>
      <c r="L121" s="164"/>
    </row>
    <row r="122" spans="1:12">
      <c r="A122" s="383"/>
      <c r="B122" s="101">
        <v>2153400</v>
      </c>
      <c r="C122" s="164"/>
      <c r="D122" s="165">
        <v>44824</v>
      </c>
      <c r="E122" s="164">
        <v>30</v>
      </c>
      <c r="F122" s="165">
        <f t="shared" si="10"/>
        <v>44854</v>
      </c>
      <c r="G122" s="164">
        <f t="shared" si="11"/>
        <v>72</v>
      </c>
      <c r="H122" s="164"/>
      <c r="I122" s="164"/>
      <c r="J122" s="164"/>
      <c r="K122" s="166">
        <f t="shared" si="19"/>
        <v>2153400</v>
      </c>
      <c r="L122" s="164"/>
    </row>
    <row r="123" spans="1:12">
      <c r="A123" s="383"/>
      <c r="B123" s="101">
        <v>1698300</v>
      </c>
      <c r="C123" s="164"/>
      <c r="D123" s="165">
        <v>44848</v>
      </c>
      <c r="E123" s="164">
        <v>30</v>
      </c>
      <c r="F123" s="165">
        <f t="shared" si="10"/>
        <v>44878</v>
      </c>
      <c r="G123" s="164">
        <f t="shared" si="11"/>
        <v>48</v>
      </c>
      <c r="H123" s="164"/>
      <c r="I123" s="164"/>
      <c r="J123" s="166">
        <f t="shared" ref="J123:J127" si="20">B123</f>
        <v>1698300</v>
      </c>
      <c r="K123" s="164"/>
      <c r="L123" s="164"/>
    </row>
    <row r="124" spans="1:12">
      <c r="A124" s="383"/>
      <c r="B124" s="101">
        <v>1207680</v>
      </c>
      <c r="C124" s="164"/>
      <c r="D124" s="165">
        <v>44848</v>
      </c>
      <c r="E124" s="164">
        <v>30</v>
      </c>
      <c r="F124" s="165">
        <f t="shared" si="10"/>
        <v>44878</v>
      </c>
      <c r="G124" s="164">
        <f t="shared" si="11"/>
        <v>48</v>
      </c>
      <c r="H124" s="164"/>
      <c r="I124" s="164"/>
      <c r="J124" s="166">
        <f t="shared" si="20"/>
        <v>1207680</v>
      </c>
      <c r="K124" s="164"/>
      <c r="L124" s="164"/>
    </row>
    <row r="125" spans="1:12">
      <c r="A125" s="383"/>
      <c r="B125" s="101">
        <v>1115550</v>
      </c>
      <c r="C125" s="164"/>
      <c r="D125" s="165">
        <v>44840</v>
      </c>
      <c r="E125" s="164">
        <v>30</v>
      </c>
      <c r="F125" s="165">
        <f t="shared" si="10"/>
        <v>44870</v>
      </c>
      <c r="G125" s="164">
        <f t="shared" si="11"/>
        <v>56</v>
      </c>
      <c r="H125" s="164"/>
      <c r="I125" s="164"/>
      <c r="J125" s="166">
        <f t="shared" si="20"/>
        <v>1115550</v>
      </c>
      <c r="K125" s="164"/>
      <c r="L125" s="164"/>
    </row>
    <row r="126" spans="1:12">
      <c r="A126" s="383"/>
      <c r="B126" s="101">
        <v>989010</v>
      </c>
      <c r="C126" s="164"/>
      <c r="D126" s="165">
        <v>44848</v>
      </c>
      <c r="E126" s="164">
        <v>30</v>
      </c>
      <c r="F126" s="165">
        <f t="shared" si="10"/>
        <v>44878</v>
      </c>
      <c r="G126" s="164">
        <f t="shared" si="11"/>
        <v>48</v>
      </c>
      <c r="H126" s="164"/>
      <c r="I126" s="164"/>
      <c r="J126" s="166">
        <f t="shared" si="20"/>
        <v>989010</v>
      </c>
      <c r="K126" s="164"/>
      <c r="L126" s="164"/>
    </row>
    <row r="127" spans="1:12">
      <c r="A127" s="383"/>
      <c r="B127" s="101">
        <v>1221000</v>
      </c>
      <c r="C127" s="164"/>
      <c r="D127" s="165">
        <v>44853</v>
      </c>
      <c r="E127" s="164">
        <v>30</v>
      </c>
      <c r="F127" s="165">
        <f t="shared" si="10"/>
        <v>44883</v>
      </c>
      <c r="G127" s="164">
        <f t="shared" si="11"/>
        <v>43</v>
      </c>
      <c r="H127" s="164"/>
      <c r="I127" s="164"/>
      <c r="J127" s="166">
        <f t="shared" si="20"/>
        <v>1221000</v>
      </c>
      <c r="K127" s="164"/>
      <c r="L127" s="164"/>
    </row>
    <row r="128" spans="1:12">
      <c r="A128" s="383"/>
      <c r="B128" s="101">
        <v>696525</v>
      </c>
      <c r="C128" s="164"/>
      <c r="D128" s="165">
        <v>44775</v>
      </c>
      <c r="E128" s="164">
        <v>30</v>
      </c>
      <c r="F128" s="165">
        <f t="shared" si="10"/>
        <v>44805</v>
      </c>
      <c r="G128" s="164">
        <f t="shared" si="11"/>
        <v>121</v>
      </c>
      <c r="H128" s="164"/>
      <c r="I128" s="164"/>
      <c r="J128" s="164"/>
      <c r="K128" s="164"/>
      <c r="L128" s="166">
        <f>B128</f>
        <v>696525</v>
      </c>
    </row>
    <row r="129" spans="1:12">
      <c r="A129" s="383"/>
      <c r="B129" s="101">
        <v>362970</v>
      </c>
      <c r="C129" s="164"/>
      <c r="D129" s="165">
        <v>44823</v>
      </c>
      <c r="E129" s="164">
        <v>30</v>
      </c>
      <c r="F129" s="165">
        <f t="shared" si="10"/>
        <v>44853</v>
      </c>
      <c r="G129" s="164">
        <f t="shared" si="11"/>
        <v>73</v>
      </c>
      <c r="H129" s="164"/>
      <c r="I129" s="164"/>
      <c r="J129" s="164"/>
      <c r="K129" s="166">
        <f t="shared" ref="K129:K130" si="21">B129</f>
        <v>362970</v>
      </c>
      <c r="L129" s="164"/>
    </row>
    <row r="130" spans="1:12">
      <c r="A130" s="383"/>
      <c r="B130" s="101">
        <v>299700</v>
      </c>
      <c r="C130" s="164"/>
      <c r="D130" s="165">
        <v>44830</v>
      </c>
      <c r="E130" s="164">
        <v>30</v>
      </c>
      <c r="F130" s="165">
        <f t="shared" si="10"/>
        <v>44860</v>
      </c>
      <c r="G130" s="164">
        <f t="shared" si="11"/>
        <v>66</v>
      </c>
      <c r="H130" s="164"/>
      <c r="I130" s="164"/>
      <c r="J130" s="164"/>
      <c r="K130" s="166">
        <f t="shared" si="21"/>
        <v>299700</v>
      </c>
      <c r="L130" s="164"/>
    </row>
    <row r="131" spans="1:12">
      <c r="A131" s="383"/>
      <c r="B131" s="101">
        <v>749250</v>
      </c>
      <c r="C131" s="164"/>
      <c r="D131" s="165">
        <v>44775</v>
      </c>
      <c r="E131" s="164">
        <v>30</v>
      </c>
      <c r="F131" s="165">
        <f t="shared" si="10"/>
        <v>44805</v>
      </c>
      <c r="G131" s="164">
        <f t="shared" si="11"/>
        <v>121</v>
      </c>
      <c r="H131" s="164"/>
      <c r="I131" s="164"/>
      <c r="J131" s="164"/>
      <c r="K131" s="164"/>
      <c r="L131" s="166">
        <f t="shared" ref="L131:L132" si="22">B131</f>
        <v>749250</v>
      </c>
    </row>
    <row r="132" spans="1:12">
      <c r="A132" s="383"/>
      <c r="B132" s="101">
        <v>1764900</v>
      </c>
      <c r="C132" s="164"/>
      <c r="D132" s="165">
        <v>44797</v>
      </c>
      <c r="E132" s="164">
        <v>30</v>
      </c>
      <c r="F132" s="165">
        <f t="shared" si="10"/>
        <v>44827</v>
      </c>
      <c r="G132" s="164">
        <f t="shared" si="11"/>
        <v>99</v>
      </c>
      <c r="H132" s="164"/>
      <c r="I132" s="164"/>
      <c r="J132" s="164"/>
      <c r="K132" s="164"/>
      <c r="L132" s="166">
        <f t="shared" si="22"/>
        <v>1764900</v>
      </c>
    </row>
    <row r="133" spans="1:12">
      <c r="A133" s="383"/>
      <c r="B133" s="101">
        <v>430125</v>
      </c>
      <c r="C133" s="164"/>
      <c r="D133" s="165">
        <v>44811</v>
      </c>
      <c r="E133" s="164">
        <v>30</v>
      </c>
      <c r="F133" s="165">
        <f t="shared" si="10"/>
        <v>44841</v>
      </c>
      <c r="G133" s="164">
        <f t="shared" si="11"/>
        <v>85</v>
      </c>
      <c r="H133" s="164"/>
      <c r="I133" s="164"/>
      <c r="J133" s="164"/>
      <c r="K133" s="166">
        <f>B133</f>
        <v>430125</v>
      </c>
      <c r="L133" s="164"/>
    </row>
    <row r="134" spans="1:12">
      <c r="A134" s="383"/>
      <c r="B134" s="101">
        <v>799200</v>
      </c>
      <c r="C134" s="164"/>
      <c r="D134" s="165">
        <v>44796</v>
      </c>
      <c r="E134" s="164">
        <v>30</v>
      </c>
      <c r="F134" s="165">
        <f t="shared" si="10"/>
        <v>44826</v>
      </c>
      <c r="G134" s="164">
        <f t="shared" si="11"/>
        <v>100</v>
      </c>
      <c r="H134" s="164"/>
      <c r="I134" s="164"/>
      <c r="J134" s="164"/>
      <c r="K134" s="164"/>
      <c r="L134" s="166">
        <f t="shared" ref="L134:L135" si="23">B134</f>
        <v>799200</v>
      </c>
    </row>
    <row r="135" spans="1:12">
      <c r="A135" s="383"/>
      <c r="B135" s="101">
        <v>1376400</v>
      </c>
      <c r="C135" s="164"/>
      <c r="D135" s="165">
        <v>44802</v>
      </c>
      <c r="E135" s="164">
        <v>30</v>
      </c>
      <c r="F135" s="165">
        <f t="shared" ref="F135:F181" si="24">D135+E135</f>
        <v>44832</v>
      </c>
      <c r="G135" s="164">
        <f t="shared" ref="G135:G181" si="25">$A$3-F135</f>
        <v>94</v>
      </c>
      <c r="H135" s="164"/>
      <c r="I135" s="164"/>
      <c r="J135" s="164"/>
      <c r="K135" s="164"/>
      <c r="L135" s="166">
        <f t="shared" si="23"/>
        <v>1376400</v>
      </c>
    </row>
    <row r="136" spans="1:12">
      <c r="A136" s="383"/>
      <c r="B136" s="101">
        <v>643800</v>
      </c>
      <c r="C136" s="164"/>
      <c r="D136" s="165">
        <v>44818</v>
      </c>
      <c r="E136" s="164">
        <v>30</v>
      </c>
      <c r="F136" s="165">
        <f t="shared" si="24"/>
        <v>44848</v>
      </c>
      <c r="G136" s="164">
        <f t="shared" si="25"/>
        <v>78</v>
      </c>
      <c r="H136" s="164"/>
      <c r="I136" s="164"/>
      <c r="J136" s="164"/>
      <c r="K136" s="166">
        <f t="shared" ref="K136:K138" si="26">B136</f>
        <v>643800</v>
      </c>
      <c r="L136" s="164"/>
    </row>
    <row r="137" spans="1:12">
      <c r="A137" s="383"/>
      <c r="B137" s="101">
        <v>249750</v>
      </c>
      <c r="C137" s="164"/>
      <c r="D137" s="165">
        <v>44823</v>
      </c>
      <c r="E137" s="164">
        <v>30</v>
      </c>
      <c r="F137" s="165">
        <f t="shared" si="24"/>
        <v>44853</v>
      </c>
      <c r="G137" s="164">
        <f t="shared" si="25"/>
        <v>73</v>
      </c>
      <c r="H137" s="164"/>
      <c r="I137" s="164"/>
      <c r="J137" s="164"/>
      <c r="K137" s="166">
        <f t="shared" si="26"/>
        <v>249750</v>
      </c>
      <c r="L137" s="164"/>
    </row>
    <row r="138" spans="1:12">
      <c r="A138" s="383"/>
      <c r="B138" s="101">
        <v>216450</v>
      </c>
      <c r="C138" s="164"/>
      <c r="D138" s="165">
        <v>44832</v>
      </c>
      <c r="E138" s="164">
        <v>30</v>
      </c>
      <c r="F138" s="165">
        <f t="shared" si="24"/>
        <v>44862</v>
      </c>
      <c r="G138" s="164">
        <f t="shared" si="25"/>
        <v>64</v>
      </c>
      <c r="H138" s="164"/>
      <c r="I138" s="164"/>
      <c r="J138" s="164"/>
      <c r="K138" s="166">
        <f t="shared" si="26"/>
        <v>216450</v>
      </c>
      <c r="L138" s="164"/>
    </row>
    <row r="139" spans="1:12">
      <c r="A139" s="383"/>
      <c r="B139" s="101">
        <v>2336550</v>
      </c>
      <c r="C139" s="164"/>
      <c r="D139" s="165">
        <v>44853</v>
      </c>
      <c r="E139" s="164">
        <v>30</v>
      </c>
      <c r="F139" s="165">
        <f t="shared" si="24"/>
        <v>44883</v>
      </c>
      <c r="G139" s="164">
        <f t="shared" si="25"/>
        <v>43</v>
      </c>
      <c r="H139" s="164"/>
      <c r="I139" s="164"/>
      <c r="J139" s="166">
        <f>B139</f>
        <v>2336550</v>
      </c>
      <c r="K139" s="164"/>
      <c r="L139" s="164"/>
    </row>
    <row r="140" spans="1:12">
      <c r="A140" s="383"/>
      <c r="B140" s="101">
        <v>355200</v>
      </c>
      <c r="C140" s="164"/>
      <c r="D140" s="165">
        <v>44811</v>
      </c>
      <c r="E140" s="164">
        <v>30</v>
      </c>
      <c r="F140" s="165">
        <f t="shared" si="24"/>
        <v>44841</v>
      </c>
      <c r="G140" s="164">
        <f t="shared" si="25"/>
        <v>85</v>
      </c>
      <c r="H140" s="164"/>
      <c r="I140" s="164"/>
      <c r="J140" s="164"/>
      <c r="K140" s="166">
        <f t="shared" ref="K140:K143" si="27">B140</f>
        <v>355200</v>
      </c>
      <c r="L140" s="164"/>
    </row>
    <row r="141" spans="1:12">
      <c r="A141" s="383"/>
      <c r="B141" s="101">
        <v>1098900</v>
      </c>
      <c r="C141" s="164"/>
      <c r="D141" s="165">
        <v>44835</v>
      </c>
      <c r="E141" s="164">
        <v>30</v>
      </c>
      <c r="F141" s="165">
        <f t="shared" si="24"/>
        <v>44865</v>
      </c>
      <c r="G141" s="164">
        <f t="shared" si="25"/>
        <v>61</v>
      </c>
      <c r="H141" s="164"/>
      <c r="I141" s="164"/>
      <c r="J141" s="164"/>
      <c r="K141" s="166">
        <f t="shared" si="27"/>
        <v>1098900</v>
      </c>
      <c r="L141" s="164"/>
    </row>
    <row r="142" spans="1:12">
      <c r="A142" s="383"/>
      <c r="B142" s="101">
        <v>1209900</v>
      </c>
      <c r="C142" s="164"/>
      <c r="D142" s="165">
        <v>44830</v>
      </c>
      <c r="E142" s="164">
        <v>30</v>
      </c>
      <c r="F142" s="165">
        <f t="shared" si="24"/>
        <v>44860</v>
      </c>
      <c r="G142" s="164">
        <f t="shared" si="25"/>
        <v>66</v>
      </c>
      <c r="H142" s="164"/>
      <c r="I142" s="164"/>
      <c r="J142" s="164"/>
      <c r="K142" s="166">
        <f t="shared" si="27"/>
        <v>1209900</v>
      </c>
      <c r="L142" s="164"/>
    </row>
    <row r="143" spans="1:12">
      <c r="A143" s="383"/>
      <c r="B143" s="101">
        <v>520590</v>
      </c>
      <c r="C143" s="164"/>
      <c r="D143" s="165">
        <v>44816</v>
      </c>
      <c r="E143" s="164">
        <v>30</v>
      </c>
      <c r="F143" s="165">
        <f t="shared" si="24"/>
        <v>44846</v>
      </c>
      <c r="G143" s="164">
        <f t="shared" si="25"/>
        <v>80</v>
      </c>
      <c r="H143" s="164"/>
      <c r="I143" s="164"/>
      <c r="J143" s="164"/>
      <c r="K143" s="166">
        <f t="shared" si="27"/>
        <v>520590</v>
      </c>
      <c r="L143" s="164"/>
    </row>
    <row r="144" spans="1:12">
      <c r="A144" s="383"/>
      <c r="B144" s="101">
        <v>749250</v>
      </c>
      <c r="C144" s="164"/>
      <c r="D144" s="165">
        <v>44858</v>
      </c>
      <c r="E144" s="164">
        <v>30</v>
      </c>
      <c r="F144" s="165">
        <f t="shared" si="24"/>
        <v>44888</v>
      </c>
      <c r="G144" s="164">
        <f t="shared" si="25"/>
        <v>38</v>
      </c>
      <c r="H144" s="164"/>
      <c r="I144" s="164"/>
      <c r="J144" s="166">
        <f t="shared" ref="J144:J146" si="28">B144</f>
        <v>749250</v>
      </c>
      <c r="K144" s="164"/>
      <c r="L144" s="164"/>
    </row>
    <row r="145" spans="1:12">
      <c r="A145" s="383"/>
      <c r="B145" s="101">
        <v>3325000</v>
      </c>
      <c r="C145" s="164"/>
      <c r="D145" s="165">
        <v>44839</v>
      </c>
      <c r="E145" s="164">
        <v>30</v>
      </c>
      <c r="F145" s="165">
        <f t="shared" si="24"/>
        <v>44869</v>
      </c>
      <c r="G145" s="164">
        <f t="shared" si="25"/>
        <v>57</v>
      </c>
      <c r="H145" s="164"/>
      <c r="I145" s="164"/>
      <c r="J145" s="166">
        <f t="shared" si="28"/>
        <v>3325000</v>
      </c>
      <c r="K145" s="164"/>
      <c r="L145" s="164"/>
    </row>
    <row r="146" spans="1:12">
      <c r="A146" s="383"/>
      <c r="B146" s="101">
        <v>5561100</v>
      </c>
      <c r="C146" s="164"/>
      <c r="D146" s="165">
        <v>44858</v>
      </c>
      <c r="E146" s="164">
        <v>30</v>
      </c>
      <c r="F146" s="165">
        <f t="shared" si="24"/>
        <v>44888</v>
      </c>
      <c r="G146" s="164">
        <f t="shared" si="25"/>
        <v>38</v>
      </c>
      <c r="H146" s="164"/>
      <c r="I146" s="164"/>
      <c r="J146" s="166">
        <f t="shared" si="28"/>
        <v>5561100</v>
      </c>
      <c r="K146" s="164"/>
      <c r="L146" s="164"/>
    </row>
    <row r="147" spans="1:12">
      <c r="A147" s="383"/>
      <c r="B147" s="101">
        <v>3979350</v>
      </c>
      <c r="C147" s="164"/>
      <c r="D147" s="165">
        <v>44835</v>
      </c>
      <c r="E147" s="164">
        <v>30</v>
      </c>
      <c r="F147" s="165">
        <f t="shared" si="24"/>
        <v>44865</v>
      </c>
      <c r="G147" s="164">
        <f t="shared" si="25"/>
        <v>61</v>
      </c>
      <c r="H147" s="164"/>
      <c r="I147" s="164"/>
      <c r="J147" s="164"/>
      <c r="K147" s="166">
        <f t="shared" ref="K147:K149" si="29">B147</f>
        <v>3979350</v>
      </c>
      <c r="L147" s="164"/>
    </row>
    <row r="148" spans="1:12">
      <c r="A148" s="383"/>
      <c r="B148" s="101">
        <v>3807300</v>
      </c>
      <c r="C148" s="164"/>
      <c r="D148" s="165">
        <v>44835</v>
      </c>
      <c r="E148" s="164">
        <v>30</v>
      </c>
      <c r="F148" s="165">
        <f t="shared" si="24"/>
        <v>44865</v>
      </c>
      <c r="G148" s="164">
        <f t="shared" si="25"/>
        <v>61</v>
      </c>
      <c r="H148" s="164"/>
      <c r="I148" s="164"/>
      <c r="J148" s="164"/>
      <c r="K148" s="166">
        <f t="shared" si="29"/>
        <v>3807300</v>
      </c>
      <c r="L148" s="164"/>
    </row>
    <row r="149" spans="1:12">
      <c r="A149" s="383"/>
      <c r="B149" s="101">
        <v>1485180</v>
      </c>
      <c r="C149" s="164"/>
      <c r="D149" s="165">
        <v>44835</v>
      </c>
      <c r="E149" s="164">
        <v>30</v>
      </c>
      <c r="F149" s="165">
        <f t="shared" si="24"/>
        <v>44865</v>
      </c>
      <c r="G149" s="164">
        <f t="shared" si="25"/>
        <v>61</v>
      </c>
      <c r="H149" s="164"/>
      <c r="I149" s="164"/>
      <c r="J149" s="164"/>
      <c r="K149" s="166">
        <f t="shared" si="29"/>
        <v>1485180</v>
      </c>
      <c r="L149" s="164"/>
    </row>
    <row r="150" spans="1:12">
      <c r="A150" s="383"/>
      <c r="B150" s="101">
        <v>971250</v>
      </c>
      <c r="C150" s="164"/>
      <c r="D150" s="165">
        <v>44866</v>
      </c>
      <c r="E150" s="164">
        <v>30</v>
      </c>
      <c r="F150" s="165">
        <f t="shared" si="24"/>
        <v>44896</v>
      </c>
      <c r="G150" s="164">
        <f t="shared" si="25"/>
        <v>30</v>
      </c>
      <c r="H150" s="164"/>
      <c r="I150" s="166">
        <f>B150</f>
        <v>971250</v>
      </c>
      <c r="J150" s="164"/>
      <c r="K150" s="164"/>
      <c r="L150" s="164"/>
    </row>
    <row r="151" spans="1:12">
      <c r="A151" s="383"/>
      <c r="B151" s="101">
        <v>777000</v>
      </c>
      <c r="C151" s="164"/>
      <c r="D151" s="165">
        <v>44835</v>
      </c>
      <c r="E151" s="164">
        <v>30</v>
      </c>
      <c r="F151" s="165">
        <f t="shared" si="24"/>
        <v>44865</v>
      </c>
      <c r="G151" s="164">
        <f t="shared" si="25"/>
        <v>61</v>
      </c>
      <c r="H151" s="164"/>
      <c r="I151" s="164"/>
      <c r="J151" s="164"/>
      <c r="K151" s="166">
        <f>B151</f>
        <v>777000</v>
      </c>
      <c r="L151" s="164"/>
    </row>
    <row r="152" spans="1:12">
      <c r="A152" s="383"/>
      <c r="B152" s="101">
        <v>604950</v>
      </c>
      <c r="C152" s="164"/>
      <c r="D152" s="165">
        <v>44858</v>
      </c>
      <c r="E152" s="164">
        <v>30</v>
      </c>
      <c r="F152" s="165">
        <f t="shared" si="24"/>
        <v>44888</v>
      </c>
      <c r="G152" s="164">
        <f t="shared" si="25"/>
        <v>38</v>
      </c>
      <c r="H152" s="164"/>
      <c r="I152" s="164"/>
      <c r="J152" s="166">
        <f>B152</f>
        <v>604950</v>
      </c>
      <c r="K152" s="164"/>
      <c r="L152" s="164"/>
    </row>
    <row r="153" spans="1:12">
      <c r="A153" s="383"/>
      <c r="B153" s="101">
        <v>573870</v>
      </c>
      <c r="C153" s="164"/>
      <c r="D153" s="165">
        <v>44835</v>
      </c>
      <c r="E153" s="164">
        <v>30</v>
      </c>
      <c r="F153" s="165">
        <f t="shared" si="24"/>
        <v>44865</v>
      </c>
      <c r="G153" s="164">
        <f t="shared" si="25"/>
        <v>61</v>
      </c>
      <c r="H153" s="164"/>
      <c r="I153" s="164"/>
      <c r="J153" s="164"/>
      <c r="K153" s="166">
        <f t="shared" ref="K153:K154" si="30">B153</f>
        <v>573870</v>
      </c>
      <c r="L153" s="164"/>
    </row>
    <row r="154" spans="1:12">
      <c r="A154" s="383"/>
      <c r="B154" s="101">
        <v>571650</v>
      </c>
      <c r="C154" s="164"/>
      <c r="D154" s="165">
        <v>44835</v>
      </c>
      <c r="E154" s="164">
        <v>30</v>
      </c>
      <c r="F154" s="165">
        <f t="shared" si="24"/>
        <v>44865</v>
      </c>
      <c r="G154" s="164">
        <f t="shared" si="25"/>
        <v>61</v>
      </c>
      <c r="H154" s="164"/>
      <c r="I154" s="164"/>
      <c r="J154" s="164"/>
      <c r="K154" s="166">
        <f t="shared" si="30"/>
        <v>571650</v>
      </c>
      <c r="L154" s="164"/>
    </row>
    <row r="155" spans="1:12">
      <c r="A155" s="383"/>
      <c r="B155" s="101">
        <v>488400</v>
      </c>
      <c r="C155" s="164"/>
      <c r="D155" s="165">
        <v>44866</v>
      </c>
      <c r="E155" s="164">
        <v>30</v>
      </c>
      <c r="F155" s="165">
        <f t="shared" si="24"/>
        <v>44896</v>
      </c>
      <c r="G155" s="164">
        <f t="shared" si="25"/>
        <v>30</v>
      </c>
      <c r="H155" s="164"/>
      <c r="I155" s="166">
        <f>B155</f>
        <v>488400</v>
      </c>
      <c r="J155" s="164"/>
      <c r="K155" s="164"/>
      <c r="L155" s="164"/>
    </row>
    <row r="156" spans="1:12">
      <c r="A156" s="383"/>
      <c r="B156" s="101">
        <v>442890</v>
      </c>
      <c r="C156" s="164"/>
      <c r="D156" s="165">
        <v>44835</v>
      </c>
      <c r="E156" s="164">
        <v>30</v>
      </c>
      <c r="F156" s="165">
        <f t="shared" si="24"/>
        <v>44865</v>
      </c>
      <c r="G156" s="164">
        <f t="shared" si="25"/>
        <v>61</v>
      </c>
      <c r="H156" s="164"/>
      <c r="I156" s="164"/>
      <c r="J156" s="164"/>
      <c r="K156" s="166">
        <f>B156</f>
        <v>442890</v>
      </c>
      <c r="L156" s="164"/>
    </row>
    <row r="157" spans="1:12">
      <c r="A157" s="383"/>
      <c r="B157" s="101">
        <v>426240</v>
      </c>
      <c r="C157" s="164"/>
      <c r="D157" s="165">
        <v>44839</v>
      </c>
      <c r="E157" s="164">
        <v>30</v>
      </c>
      <c r="F157" s="165">
        <f t="shared" si="24"/>
        <v>44869</v>
      </c>
      <c r="G157" s="164">
        <f t="shared" si="25"/>
        <v>57</v>
      </c>
      <c r="H157" s="164"/>
      <c r="I157" s="164"/>
      <c r="J157" s="166">
        <f t="shared" ref="J157:J158" si="31">B157</f>
        <v>426240</v>
      </c>
      <c r="K157" s="164"/>
      <c r="L157" s="164"/>
    </row>
    <row r="158" spans="1:12">
      <c r="A158" s="383"/>
      <c r="B158" s="101">
        <v>233100</v>
      </c>
      <c r="C158" s="164"/>
      <c r="D158" s="165">
        <v>44848</v>
      </c>
      <c r="E158" s="164">
        <v>30</v>
      </c>
      <c r="F158" s="165">
        <f t="shared" si="24"/>
        <v>44878</v>
      </c>
      <c r="G158" s="164">
        <f t="shared" si="25"/>
        <v>48</v>
      </c>
      <c r="H158" s="164"/>
      <c r="I158" s="164"/>
      <c r="J158" s="166">
        <f t="shared" si="31"/>
        <v>233100</v>
      </c>
      <c r="K158" s="164"/>
      <c r="L158" s="164"/>
    </row>
    <row r="159" spans="1:12">
      <c r="A159" s="383"/>
      <c r="B159" s="101">
        <v>3188700</v>
      </c>
      <c r="C159" s="164"/>
      <c r="D159" s="165">
        <v>44896</v>
      </c>
      <c r="E159" s="164">
        <v>30</v>
      </c>
      <c r="F159" s="165">
        <f t="shared" si="24"/>
        <v>44926</v>
      </c>
      <c r="G159" s="164">
        <f t="shared" si="25"/>
        <v>0</v>
      </c>
      <c r="H159" s="166">
        <f>B159</f>
        <v>3188700</v>
      </c>
      <c r="I159" s="164"/>
      <c r="J159" s="164"/>
      <c r="K159" s="164"/>
      <c r="L159" s="164"/>
    </row>
    <row r="160" spans="1:12">
      <c r="A160" s="383"/>
      <c r="B160" s="101">
        <v>3331536</v>
      </c>
      <c r="C160" s="164"/>
      <c r="D160" s="165">
        <v>44860</v>
      </c>
      <c r="E160" s="164">
        <v>30</v>
      </c>
      <c r="F160" s="165">
        <f t="shared" si="24"/>
        <v>44890</v>
      </c>
      <c r="G160" s="164">
        <f t="shared" si="25"/>
        <v>36</v>
      </c>
      <c r="H160" s="164"/>
      <c r="I160" s="164"/>
      <c r="J160" s="166">
        <f>B160</f>
        <v>3331536</v>
      </c>
      <c r="K160" s="164"/>
      <c r="L160" s="164"/>
    </row>
    <row r="161" spans="1:12">
      <c r="A161" s="383"/>
      <c r="B161" s="101">
        <v>3487500</v>
      </c>
      <c r="C161" s="164"/>
      <c r="D161" s="165">
        <v>44900</v>
      </c>
      <c r="E161" s="164">
        <v>30</v>
      </c>
      <c r="F161" s="165">
        <f t="shared" si="24"/>
        <v>44930</v>
      </c>
      <c r="G161" s="164">
        <f t="shared" si="25"/>
        <v>-4</v>
      </c>
      <c r="H161" s="166">
        <f>B161</f>
        <v>3487500</v>
      </c>
      <c r="I161" s="164"/>
      <c r="J161" s="164"/>
      <c r="K161" s="164"/>
      <c r="L161" s="164"/>
    </row>
    <row r="162" spans="1:12">
      <c r="A162" s="383"/>
      <c r="B162" s="101">
        <v>3490000</v>
      </c>
      <c r="C162" s="164"/>
      <c r="D162" s="165">
        <v>44880</v>
      </c>
      <c r="E162" s="164">
        <v>30</v>
      </c>
      <c r="F162" s="165">
        <f t="shared" si="24"/>
        <v>44910</v>
      </c>
      <c r="G162" s="164">
        <f t="shared" si="25"/>
        <v>16</v>
      </c>
      <c r="H162" s="164"/>
      <c r="I162" s="166">
        <f>B162</f>
        <v>3490000</v>
      </c>
      <c r="J162" s="164"/>
      <c r="K162" s="164"/>
      <c r="L162" s="164"/>
    </row>
    <row r="163" spans="1:12">
      <c r="A163" s="383"/>
      <c r="B163" s="101">
        <v>3400000</v>
      </c>
      <c r="C163" s="164"/>
      <c r="D163" s="165">
        <v>44916</v>
      </c>
      <c r="E163" s="164">
        <v>30</v>
      </c>
      <c r="F163" s="165">
        <f t="shared" si="24"/>
        <v>44946</v>
      </c>
      <c r="G163" s="164">
        <f t="shared" si="25"/>
        <v>-20</v>
      </c>
      <c r="H163" s="166">
        <f>B163</f>
        <v>3400000</v>
      </c>
      <c r="I163" s="164"/>
      <c r="J163" s="164"/>
      <c r="K163" s="164"/>
      <c r="L163" s="164"/>
    </row>
    <row r="164" spans="1:12">
      <c r="A164" s="383"/>
      <c r="B164" s="101">
        <v>2600000</v>
      </c>
      <c r="C164" s="164"/>
      <c r="D164" s="165">
        <v>44866</v>
      </c>
      <c r="E164" s="164">
        <v>30</v>
      </c>
      <c r="F164" s="165">
        <f t="shared" si="24"/>
        <v>44896</v>
      </c>
      <c r="G164" s="164">
        <f t="shared" si="25"/>
        <v>30</v>
      </c>
      <c r="H164" s="164"/>
      <c r="I164" s="166">
        <f>B164</f>
        <v>2600000</v>
      </c>
      <c r="J164" s="164"/>
      <c r="K164" s="164"/>
      <c r="L164" s="164"/>
    </row>
    <row r="165" spans="1:12">
      <c r="A165" s="383"/>
      <c r="B165" s="101">
        <v>2012500</v>
      </c>
      <c r="C165" s="164"/>
      <c r="D165" s="165">
        <v>44860</v>
      </c>
      <c r="E165" s="164">
        <v>30</v>
      </c>
      <c r="F165" s="165">
        <f t="shared" si="24"/>
        <v>44890</v>
      </c>
      <c r="G165" s="164">
        <f t="shared" si="25"/>
        <v>36</v>
      </c>
      <c r="H165" s="164"/>
      <c r="I165" s="164"/>
      <c r="J165" s="166">
        <f>B165</f>
        <v>2012500</v>
      </c>
      <c r="K165" s="164"/>
      <c r="L165" s="164"/>
    </row>
    <row r="166" spans="1:12">
      <c r="A166" s="383"/>
      <c r="B166" s="101">
        <v>1800000</v>
      </c>
      <c r="C166" s="164"/>
      <c r="D166" s="165">
        <v>44880</v>
      </c>
      <c r="E166" s="164">
        <v>30</v>
      </c>
      <c r="F166" s="165">
        <f t="shared" si="24"/>
        <v>44910</v>
      </c>
      <c r="G166" s="164">
        <f t="shared" si="25"/>
        <v>16</v>
      </c>
      <c r="H166" s="164"/>
      <c r="I166" s="166">
        <f t="shared" ref="I166:I170" si="32">B166</f>
        <v>1800000</v>
      </c>
      <c r="J166" s="164"/>
      <c r="K166" s="164"/>
      <c r="L166" s="164"/>
    </row>
    <row r="167" spans="1:12">
      <c r="A167" s="383"/>
      <c r="B167" s="101">
        <v>387500</v>
      </c>
      <c r="C167" s="164"/>
      <c r="D167" s="165">
        <v>44880</v>
      </c>
      <c r="E167" s="164">
        <v>30</v>
      </c>
      <c r="F167" s="165">
        <f t="shared" si="24"/>
        <v>44910</v>
      </c>
      <c r="G167" s="164">
        <f t="shared" si="25"/>
        <v>16</v>
      </c>
      <c r="H167" s="164"/>
      <c r="I167" s="166">
        <f t="shared" si="32"/>
        <v>387500</v>
      </c>
      <c r="J167" s="164"/>
      <c r="K167" s="164"/>
      <c r="L167" s="164"/>
    </row>
    <row r="168" spans="1:12">
      <c r="A168" s="383"/>
      <c r="B168" s="101">
        <v>1615050</v>
      </c>
      <c r="C168" s="164"/>
      <c r="D168" s="165">
        <v>44880</v>
      </c>
      <c r="E168" s="164">
        <v>30</v>
      </c>
      <c r="F168" s="165">
        <f t="shared" si="24"/>
        <v>44910</v>
      </c>
      <c r="G168" s="164">
        <f t="shared" si="25"/>
        <v>16</v>
      </c>
      <c r="H168" s="164"/>
      <c r="I168" s="166">
        <f t="shared" si="32"/>
        <v>1615050</v>
      </c>
      <c r="J168" s="164"/>
      <c r="K168" s="164"/>
      <c r="L168" s="164"/>
    </row>
    <row r="169" spans="1:12">
      <c r="A169" s="383"/>
      <c r="B169" s="101">
        <v>770895</v>
      </c>
      <c r="C169" s="164"/>
      <c r="D169" s="165">
        <v>44872</v>
      </c>
      <c r="E169" s="164">
        <v>30</v>
      </c>
      <c r="F169" s="165">
        <f t="shared" si="24"/>
        <v>44902</v>
      </c>
      <c r="G169" s="164">
        <f t="shared" si="25"/>
        <v>24</v>
      </c>
      <c r="H169" s="164"/>
      <c r="I169" s="166">
        <f t="shared" si="32"/>
        <v>770895</v>
      </c>
      <c r="J169" s="164"/>
      <c r="K169" s="164"/>
      <c r="L169" s="164"/>
    </row>
    <row r="170" spans="1:12">
      <c r="A170" s="383"/>
      <c r="B170" s="101">
        <v>266400</v>
      </c>
      <c r="C170" s="164"/>
      <c r="D170" s="165">
        <v>44893</v>
      </c>
      <c r="E170" s="164">
        <v>30</v>
      </c>
      <c r="F170" s="165">
        <f t="shared" si="24"/>
        <v>44923</v>
      </c>
      <c r="G170" s="164">
        <f t="shared" si="25"/>
        <v>3</v>
      </c>
      <c r="H170" s="164"/>
      <c r="I170" s="166">
        <f t="shared" si="32"/>
        <v>266400</v>
      </c>
      <c r="J170" s="164"/>
      <c r="K170" s="164"/>
      <c r="L170" s="164"/>
    </row>
    <row r="171" spans="1:12">
      <c r="A171" s="383"/>
      <c r="B171" s="101">
        <v>604950</v>
      </c>
      <c r="C171" s="164"/>
      <c r="D171" s="165">
        <v>44896</v>
      </c>
      <c r="E171" s="164">
        <v>30</v>
      </c>
      <c r="F171" s="165">
        <f t="shared" si="24"/>
        <v>44926</v>
      </c>
      <c r="G171" s="164">
        <f t="shared" si="25"/>
        <v>0</v>
      </c>
      <c r="H171" s="166">
        <f t="shared" ref="H171:H181" si="33">B171</f>
        <v>604950</v>
      </c>
      <c r="I171" s="164"/>
      <c r="J171" s="164"/>
      <c r="K171" s="164"/>
      <c r="L171" s="164"/>
    </row>
    <row r="172" spans="1:12">
      <c r="A172" s="383"/>
      <c r="B172" s="101">
        <v>1731600</v>
      </c>
      <c r="C172" s="164"/>
      <c r="D172" s="165">
        <v>44896</v>
      </c>
      <c r="E172" s="164">
        <v>30</v>
      </c>
      <c r="F172" s="165">
        <f t="shared" si="24"/>
        <v>44926</v>
      </c>
      <c r="G172" s="164">
        <f t="shared" si="25"/>
        <v>0</v>
      </c>
      <c r="H172" s="166">
        <f t="shared" si="33"/>
        <v>1731600</v>
      </c>
      <c r="I172" s="164"/>
      <c r="J172" s="164"/>
      <c r="K172" s="164"/>
      <c r="L172" s="164"/>
    </row>
    <row r="173" spans="1:12">
      <c r="A173" s="383"/>
      <c r="B173" s="101">
        <v>2347095</v>
      </c>
      <c r="C173" s="164"/>
      <c r="D173" s="165">
        <v>44896</v>
      </c>
      <c r="E173" s="164">
        <v>30</v>
      </c>
      <c r="F173" s="165">
        <f t="shared" si="24"/>
        <v>44926</v>
      </c>
      <c r="G173" s="164">
        <f t="shared" si="25"/>
        <v>0</v>
      </c>
      <c r="H173" s="166">
        <f t="shared" si="33"/>
        <v>2347095</v>
      </c>
      <c r="I173" s="164"/>
      <c r="J173" s="164"/>
      <c r="K173" s="164"/>
      <c r="L173" s="164"/>
    </row>
    <row r="174" spans="1:12">
      <c r="A174" s="383"/>
      <c r="B174" s="101">
        <v>3529800</v>
      </c>
      <c r="C174" s="164"/>
      <c r="D174" s="165">
        <v>44896</v>
      </c>
      <c r="E174" s="164">
        <v>30</v>
      </c>
      <c r="F174" s="165">
        <f t="shared" si="24"/>
        <v>44926</v>
      </c>
      <c r="G174" s="164">
        <f t="shared" si="25"/>
        <v>0</v>
      </c>
      <c r="H174" s="166">
        <f t="shared" si="33"/>
        <v>3529800</v>
      </c>
      <c r="I174" s="164"/>
      <c r="J174" s="164"/>
      <c r="K174" s="164"/>
      <c r="L174" s="164"/>
    </row>
    <row r="175" spans="1:12">
      <c r="A175" s="383"/>
      <c r="B175" s="101">
        <v>333000</v>
      </c>
      <c r="C175" s="164"/>
      <c r="D175" s="165">
        <v>44903</v>
      </c>
      <c r="E175" s="164">
        <v>30</v>
      </c>
      <c r="F175" s="165">
        <f t="shared" si="24"/>
        <v>44933</v>
      </c>
      <c r="G175" s="164">
        <f t="shared" si="25"/>
        <v>-7</v>
      </c>
      <c r="H175" s="166">
        <f t="shared" si="33"/>
        <v>333000</v>
      </c>
      <c r="I175" s="164"/>
      <c r="J175" s="164"/>
      <c r="K175" s="164"/>
      <c r="L175" s="164"/>
    </row>
    <row r="176" spans="1:12">
      <c r="A176" s="383"/>
      <c r="B176" s="101">
        <v>1910310</v>
      </c>
      <c r="C176" s="164"/>
      <c r="D176" s="165">
        <v>44904</v>
      </c>
      <c r="E176" s="164">
        <v>30</v>
      </c>
      <c r="F176" s="165">
        <f t="shared" si="24"/>
        <v>44934</v>
      </c>
      <c r="G176" s="164">
        <f t="shared" si="25"/>
        <v>-8</v>
      </c>
      <c r="H176" s="166">
        <f t="shared" si="33"/>
        <v>1910310</v>
      </c>
      <c r="I176" s="164"/>
      <c r="J176" s="164"/>
      <c r="K176" s="164"/>
      <c r="L176" s="164"/>
    </row>
    <row r="177" spans="1:12">
      <c r="A177" s="383"/>
      <c r="B177" s="101">
        <v>704850</v>
      </c>
      <c r="C177" s="164"/>
      <c r="D177" s="165">
        <v>44898</v>
      </c>
      <c r="E177" s="164">
        <v>30</v>
      </c>
      <c r="F177" s="165">
        <f t="shared" si="24"/>
        <v>44928</v>
      </c>
      <c r="G177" s="164">
        <f t="shared" si="25"/>
        <v>-2</v>
      </c>
      <c r="H177" s="166">
        <f t="shared" si="33"/>
        <v>704850</v>
      </c>
      <c r="I177" s="164"/>
      <c r="J177" s="164"/>
      <c r="K177" s="164"/>
      <c r="L177" s="164"/>
    </row>
    <row r="178" spans="1:12">
      <c r="A178" s="383"/>
      <c r="B178" s="101">
        <v>622932</v>
      </c>
      <c r="C178" s="164"/>
      <c r="D178" s="165">
        <v>44896</v>
      </c>
      <c r="E178" s="164">
        <v>30</v>
      </c>
      <c r="F178" s="165">
        <f t="shared" si="24"/>
        <v>44926</v>
      </c>
      <c r="G178" s="164">
        <f t="shared" si="25"/>
        <v>0</v>
      </c>
      <c r="H178" s="166">
        <f t="shared" si="33"/>
        <v>622932</v>
      </c>
      <c r="I178" s="164"/>
      <c r="J178" s="164"/>
      <c r="K178" s="164"/>
      <c r="L178" s="164"/>
    </row>
    <row r="179" spans="1:12">
      <c r="A179" s="383"/>
      <c r="B179" s="101">
        <v>499500</v>
      </c>
      <c r="C179" s="164"/>
      <c r="D179" s="165">
        <v>44896</v>
      </c>
      <c r="E179" s="164">
        <v>30</v>
      </c>
      <c r="F179" s="165">
        <f t="shared" si="24"/>
        <v>44926</v>
      </c>
      <c r="G179" s="164">
        <f t="shared" si="25"/>
        <v>0</v>
      </c>
      <c r="H179" s="166">
        <f t="shared" si="33"/>
        <v>499500</v>
      </c>
      <c r="I179" s="164"/>
      <c r="J179" s="164"/>
      <c r="K179" s="164"/>
      <c r="L179" s="164"/>
    </row>
    <row r="180" spans="1:12">
      <c r="A180" s="383"/>
      <c r="B180" s="101">
        <v>244200</v>
      </c>
      <c r="C180" s="164"/>
      <c r="D180" s="165">
        <v>44896</v>
      </c>
      <c r="E180" s="164">
        <v>30</v>
      </c>
      <c r="F180" s="165">
        <f t="shared" si="24"/>
        <v>44926</v>
      </c>
      <c r="G180" s="164">
        <f t="shared" si="25"/>
        <v>0</v>
      </c>
      <c r="H180" s="166">
        <f t="shared" si="33"/>
        <v>244200</v>
      </c>
      <c r="I180" s="164"/>
      <c r="J180" s="164"/>
      <c r="K180" s="164"/>
      <c r="L180" s="164"/>
    </row>
    <row r="181" spans="1:12">
      <c r="A181" s="383"/>
      <c r="B181" s="101">
        <v>71040</v>
      </c>
      <c r="C181" s="164"/>
      <c r="D181" s="165">
        <v>44919</v>
      </c>
      <c r="E181" s="164">
        <v>30</v>
      </c>
      <c r="F181" s="165">
        <f t="shared" si="24"/>
        <v>44949</v>
      </c>
      <c r="G181" s="164">
        <f t="shared" si="25"/>
        <v>-23</v>
      </c>
      <c r="H181" s="166">
        <f t="shared" si="33"/>
        <v>71040</v>
      </c>
      <c r="I181" s="164"/>
      <c r="J181" s="164"/>
      <c r="K181" s="164"/>
      <c r="L181" s="164"/>
    </row>
    <row r="182" spans="1:12">
      <c r="A182" s="383" t="s">
        <v>36</v>
      </c>
      <c r="B182" s="101">
        <v>90326250</v>
      </c>
      <c r="C182" s="164"/>
      <c r="D182" s="165">
        <v>44802</v>
      </c>
      <c r="E182" s="164">
        <v>30</v>
      </c>
      <c r="F182" s="165">
        <f>D182+E182</f>
        <v>44832</v>
      </c>
      <c r="G182" s="164">
        <f>$A$3-F182</f>
        <v>94</v>
      </c>
      <c r="H182" s="164"/>
      <c r="I182" s="164"/>
      <c r="J182" s="164"/>
      <c r="K182" s="164"/>
      <c r="L182" s="166">
        <f>B182</f>
        <v>90326250</v>
      </c>
    </row>
    <row r="183" spans="1:12">
      <c r="A183" s="383"/>
      <c r="B183" s="101">
        <v>971250</v>
      </c>
      <c r="C183" s="164"/>
      <c r="D183" s="165">
        <v>44919</v>
      </c>
      <c r="E183" s="164">
        <v>30</v>
      </c>
      <c r="F183" s="165">
        <f>D183+E183</f>
        <v>44949</v>
      </c>
      <c r="G183" s="164">
        <f>$A$3-F183</f>
        <v>-23</v>
      </c>
      <c r="H183" s="166">
        <f>B183</f>
        <v>971250</v>
      </c>
      <c r="I183" s="164"/>
      <c r="J183" s="164"/>
      <c r="K183" s="164"/>
      <c r="L183" s="164"/>
    </row>
    <row r="184" spans="1:12">
      <c r="A184" s="383" t="s">
        <v>61</v>
      </c>
      <c r="B184" s="101">
        <v>10790000</v>
      </c>
      <c r="C184" s="164"/>
      <c r="D184" s="165">
        <v>44835</v>
      </c>
      <c r="E184" s="164">
        <v>30</v>
      </c>
      <c r="F184" s="165">
        <f t="shared" ref="F184:F223" si="34">D184+E184</f>
        <v>44865</v>
      </c>
      <c r="G184" s="164">
        <f t="shared" ref="G184:G201" si="35">$A$3-F184</f>
        <v>61</v>
      </c>
      <c r="H184" s="164"/>
      <c r="I184" s="164"/>
      <c r="J184" s="164"/>
      <c r="K184" s="166">
        <f>B184</f>
        <v>10790000</v>
      </c>
      <c r="L184" s="164"/>
    </row>
    <row r="185" spans="1:12">
      <c r="A185" s="383"/>
      <c r="B185" s="101">
        <v>10490000</v>
      </c>
      <c r="C185" s="164"/>
      <c r="D185" s="165">
        <v>44855</v>
      </c>
      <c r="E185" s="164">
        <v>30</v>
      </c>
      <c r="F185" s="165">
        <f t="shared" si="34"/>
        <v>44885</v>
      </c>
      <c r="G185" s="164">
        <f t="shared" si="35"/>
        <v>41</v>
      </c>
      <c r="H185" s="164"/>
      <c r="I185" s="164"/>
      <c r="J185" s="166">
        <f>B185</f>
        <v>10490000</v>
      </c>
      <c r="K185" s="164"/>
      <c r="L185" s="164"/>
    </row>
    <row r="186" spans="1:12">
      <c r="A186" s="383"/>
      <c r="B186" s="101">
        <v>10790000</v>
      </c>
      <c r="C186" s="164"/>
      <c r="D186" s="165">
        <v>44875</v>
      </c>
      <c r="E186" s="164">
        <v>30</v>
      </c>
      <c r="F186" s="165">
        <f t="shared" si="34"/>
        <v>44905</v>
      </c>
      <c r="G186" s="164">
        <f t="shared" si="35"/>
        <v>21</v>
      </c>
      <c r="H186" s="164"/>
      <c r="I186" s="166">
        <f t="shared" ref="I186:I187" si="36">B186</f>
        <v>10790000</v>
      </c>
      <c r="J186" s="164"/>
      <c r="K186" s="164"/>
      <c r="L186" s="164"/>
    </row>
    <row r="187" spans="1:12">
      <c r="A187" s="383"/>
      <c r="B187" s="101">
        <v>6740000</v>
      </c>
      <c r="C187" s="164"/>
      <c r="D187" s="165">
        <v>44890</v>
      </c>
      <c r="E187" s="164">
        <v>30</v>
      </c>
      <c r="F187" s="165">
        <f t="shared" si="34"/>
        <v>44920</v>
      </c>
      <c r="G187" s="164">
        <f t="shared" si="35"/>
        <v>6</v>
      </c>
      <c r="H187" s="164"/>
      <c r="I187" s="166">
        <f t="shared" si="36"/>
        <v>6740000</v>
      </c>
      <c r="J187" s="164"/>
      <c r="K187" s="164"/>
      <c r="L187" s="164"/>
    </row>
    <row r="188" spans="1:12">
      <c r="A188" s="383"/>
      <c r="B188" s="101">
        <v>6740000</v>
      </c>
      <c r="C188" s="164"/>
      <c r="D188" s="165">
        <v>44909</v>
      </c>
      <c r="E188" s="164">
        <v>30</v>
      </c>
      <c r="F188" s="165">
        <f t="shared" si="34"/>
        <v>44939</v>
      </c>
      <c r="G188" s="164">
        <f t="shared" si="35"/>
        <v>-13</v>
      </c>
      <c r="H188" s="166">
        <f>B188</f>
        <v>6740000</v>
      </c>
      <c r="I188" s="164"/>
      <c r="J188" s="164"/>
      <c r="K188" s="164"/>
      <c r="L188" s="164"/>
    </row>
    <row r="189" spans="1:12">
      <c r="A189" s="383"/>
      <c r="B189" s="101">
        <v>5390000</v>
      </c>
      <c r="C189" s="164"/>
      <c r="D189" s="165">
        <v>44867</v>
      </c>
      <c r="E189" s="164">
        <v>30</v>
      </c>
      <c r="F189" s="165">
        <f t="shared" si="34"/>
        <v>44897</v>
      </c>
      <c r="G189" s="164">
        <f t="shared" si="35"/>
        <v>29</v>
      </c>
      <c r="H189" s="164"/>
      <c r="I189" s="166">
        <f>B189</f>
        <v>5390000</v>
      </c>
      <c r="J189" s="164"/>
      <c r="K189" s="164"/>
      <c r="L189" s="164"/>
    </row>
    <row r="190" spans="1:12">
      <c r="A190" s="383" t="s">
        <v>221</v>
      </c>
      <c r="B190" s="101">
        <v>39765000</v>
      </c>
      <c r="C190" s="164"/>
      <c r="D190" s="165">
        <v>44663</v>
      </c>
      <c r="E190" s="164">
        <v>30</v>
      </c>
      <c r="F190" s="165">
        <f t="shared" si="34"/>
        <v>44693</v>
      </c>
      <c r="G190" s="164">
        <f t="shared" si="35"/>
        <v>233</v>
      </c>
      <c r="H190" s="164"/>
      <c r="I190" s="164"/>
      <c r="J190" s="164"/>
      <c r="K190" s="164"/>
      <c r="L190" s="166">
        <f t="shared" ref="L190:L191" si="37">B190</f>
        <v>39765000</v>
      </c>
    </row>
    <row r="191" spans="1:12">
      <c r="A191" s="383"/>
      <c r="B191" s="101">
        <v>1530000</v>
      </c>
      <c r="C191" s="164"/>
      <c r="D191" s="165">
        <v>44676</v>
      </c>
      <c r="E191" s="164">
        <v>30</v>
      </c>
      <c r="F191" s="165">
        <f t="shared" si="34"/>
        <v>44706</v>
      </c>
      <c r="G191" s="164">
        <f t="shared" si="35"/>
        <v>220</v>
      </c>
      <c r="H191" s="164"/>
      <c r="I191" s="164"/>
      <c r="J191" s="164"/>
      <c r="K191" s="164"/>
      <c r="L191" s="166">
        <f t="shared" si="37"/>
        <v>1530000</v>
      </c>
    </row>
    <row r="192" spans="1:12">
      <c r="A192" s="383"/>
      <c r="B192" s="101">
        <v>35217250</v>
      </c>
      <c r="C192" s="164"/>
      <c r="D192" s="165">
        <v>44896</v>
      </c>
      <c r="E192" s="164">
        <v>30</v>
      </c>
      <c r="F192" s="165">
        <f t="shared" si="34"/>
        <v>44926</v>
      </c>
      <c r="G192" s="164">
        <f t="shared" si="35"/>
        <v>0</v>
      </c>
      <c r="H192" s="166">
        <f t="shared" ref="H192:H199" si="38">B192</f>
        <v>35217250</v>
      </c>
      <c r="I192" s="164"/>
      <c r="J192" s="164"/>
      <c r="K192" s="164"/>
      <c r="L192" s="164"/>
    </row>
    <row r="193" spans="1:12">
      <c r="A193" s="383"/>
      <c r="B193" s="101">
        <v>34080900</v>
      </c>
      <c r="C193" s="164"/>
      <c r="D193" s="165">
        <v>44896</v>
      </c>
      <c r="E193" s="164">
        <v>30</v>
      </c>
      <c r="F193" s="165">
        <f t="shared" si="34"/>
        <v>44926</v>
      </c>
      <c r="G193" s="164">
        <f t="shared" si="35"/>
        <v>0</v>
      </c>
      <c r="H193" s="166">
        <f t="shared" si="38"/>
        <v>34080900</v>
      </c>
      <c r="I193" s="164"/>
      <c r="J193" s="164"/>
      <c r="K193" s="164"/>
      <c r="L193" s="164"/>
    </row>
    <row r="194" spans="1:12">
      <c r="A194" s="383"/>
      <c r="B194" s="101">
        <v>34080900</v>
      </c>
      <c r="C194" s="164"/>
      <c r="D194" s="165">
        <v>44896</v>
      </c>
      <c r="E194" s="164">
        <v>30</v>
      </c>
      <c r="F194" s="165">
        <f t="shared" si="34"/>
        <v>44926</v>
      </c>
      <c r="G194" s="164">
        <f t="shared" si="35"/>
        <v>0</v>
      </c>
      <c r="H194" s="166">
        <f t="shared" si="38"/>
        <v>34080900</v>
      </c>
      <c r="I194" s="164"/>
      <c r="J194" s="164"/>
      <c r="K194" s="164"/>
      <c r="L194" s="164"/>
    </row>
    <row r="195" spans="1:12">
      <c r="A195" s="383"/>
      <c r="B195" s="101">
        <v>23226350</v>
      </c>
      <c r="C195" s="164"/>
      <c r="D195" s="165">
        <v>44896</v>
      </c>
      <c r="E195" s="164">
        <v>30</v>
      </c>
      <c r="F195" s="165">
        <f t="shared" si="34"/>
        <v>44926</v>
      </c>
      <c r="G195" s="164">
        <f t="shared" si="35"/>
        <v>0</v>
      </c>
      <c r="H195" s="166">
        <f t="shared" si="38"/>
        <v>23226350</v>
      </c>
      <c r="I195" s="164"/>
      <c r="J195" s="164"/>
      <c r="K195" s="164"/>
      <c r="L195" s="164"/>
    </row>
    <row r="196" spans="1:12">
      <c r="A196" s="383"/>
      <c r="B196" s="101">
        <v>32944550</v>
      </c>
      <c r="C196" s="164"/>
      <c r="D196" s="165">
        <v>44896</v>
      </c>
      <c r="E196" s="164">
        <v>30</v>
      </c>
      <c r="F196" s="165">
        <f t="shared" si="34"/>
        <v>44926</v>
      </c>
      <c r="G196" s="164">
        <f t="shared" si="35"/>
        <v>0</v>
      </c>
      <c r="H196" s="166">
        <f t="shared" si="38"/>
        <v>32944550</v>
      </c>
      <c r="I196" s="164"/>
      <c r="J196" s="164"/>
      <c r="K196" s="164"/>
      <c r="L196" s="164"/>
    </row>
    <row r="197" spans="1:12">
      <c r="A197" s="383"/>
      <c r="B197" s="101">
        <v>32944550</v>
      </c>
      <c r="C197" s="164"/>
      <c r="D197" s="165">
        <v>44896</v>
      </c>
      <c r="E197" s="164">
        <v>30</v>
      </c>
      <c r="F197" s="165">
        <f t="shared" si="34"/>
        <v>44926</v>
      </c>
      <c r="G197" s="164">
        <f t="shared" si="35"/>
        <v>0</v>
      </c>
      <c r="H197" s="166">
        <f t="shared" si="38"/>
        <v>32944550</v>
      </c>
      <c r="I197" s="164"/>
      <c r="J197" s="164"/>
      <c r="K197" s="164"/>
      <c r="L197" s="164"/>
    </row>
    <row r="198" spans="1:12">
      <c r="A198" s="383"/>
      <c r="B198" s="101">
        <v>32944550</v>
      </c>
      <c r="C198" s="164"/>
      <c r="D198" s="165">
        <v>44896</v>
      </c>
      <c r="E198" s="164">
        <v>30</v>
      </c>
      <c r="F198" s="165">
        <f t="shared" si="34"/>
        <v>44926</v>
      </c>
      <c r="G198" s="164">
        <f t="shared" si="35"/>
        <v>0</v>
      </c>
      <c r="H198" s="166">
        <f t="shared" si="38"/>
        <v>32944550</v>
      </c>
      <c r="I198" s="164"/>
      <c r="J198" s="164"/>
      <c r="K198" s="164"/>
      <c r="L198" s="164"/>
    </row>
    <row r="199" spans="1:12">
      <c r="A199" s="383"/>
      <c r="B199" s="101">
        <v>32944550</v>
      </c>
      <c r="C199" s="164"/>
      <c r="D199" s="165">
        <v>44896</v>
      </c>
      <c r="E199" s="164">
        <v>30</v>
      </c>
      <c r="F199" s="165">
        <f t="shared" si="34"/>
        <v>44926</v>
      </c>
      <c r="G199" s="164">
        <f t="shared" si="35"/>
        <v>0</v>
      </c>
      <c r="H199" s="166">
        <f t="shared" si="38"/>
        <v>32944550</v>
      </c>
      <c r="I199" s="164"/>
      <c r="J199" s="164"/>
      <c r="K199" s="164"/>
      <c r="L199" s="164"/>
    </row>
    <row r="200" spans="1:12">
      <c r="A200" s="383"/>
      <c r="B200" s="101">
        <v>23237250</v>
      </c>
      <c r="C200" s="164"/>
      <c r="D200" s="165">
        <v>44741</v>
      </c>
      <c r="E200" s="164">
        <v>30</v>
      </c>
      <c r="F200" s="165">
        <f t="shared" si="34"/>
        <v>44771</v>
      </c>
      <c r="G200" s="164">
        <f t="shared" si="35"/>
        <v>155</v>
      </c>
      <c r="H200" s="164"/>
      <c r="I200" s="164"/>
      <c r="J200" s="164"/>
      <c r="K200" s="164"/>
      <c r="L200" s="166">
        <f t="shared" ref="L200:L202" si="39">B200</f>
        <v>23237250</v>
      </c>
    </row>
    <row r="201" spans="1:12">
      <c r="A201" s="383"/>
      <c r="B201" s="101">
        <v>21448650</v>
      </c>
      <c r="C201" s="164"/>
      <c r="D201" s="165">
        <v>44743</v>
      </c>
      <c r="E201" s="164">
        <v>30</v>
      </c>
      <c r="F201" s="165">
        <f t="shared" si="34"/>
        <v>44773</v>
      </c>
      <c r="G201" s="164">
        <f t="shared" si="35"/>
        <v>153</v>
      </c>
      <c r="H201" s="164"/>
      <c r="I201" s="164"/>
      <c r="J201" s="164"/>
      <c r="K201" s="164"/>
      <c r="L201" s="166">
        <f t="shared" si="39"/>
        <v>21448650</v>
      </c>
    </row>
    <row r="202" spans="1:12">
      <c r="A202" s="383"/>
      <c r="B202" s="101">
        <v>18519550</v>
      </c>
      <c r="C202" s="164"/>
      <c r="D202" s="165">
        <v>44678</v>
      </c>
      <c r="E202" s="164">
        <v>30</v>
      </c>
      <c r="F202" s="165">
        <f t="shared" si="34"/>
        <v>44708</v>
      </c>
      <c r="G202" s="164">
        <f>$A$3-F202</f>
        <v>218</v>
      </c>
      <c r="H202" s="164"/>
      <c r="I202" s="164"/>
      <c r="J202" s="164"/>
      <c r="K202" s="164"/>
      <c r="L202" s="166">
        <f t="shared" si="39"/>
        <v>18519550</v>
      </c>
    </row>
    <row r="203" spans="1:12">
      <c r="A203" s="383"/>
      <c r="B203" s="101">
        <v>24990000</v>
      </c>
      <c r="C203" s="164"/>
      <c r="D203" s="165">
        <v>44896</v>
      </c>
      <c r="E203" s="164">
        <v>30</v>
      </c>
      <c r="F203" s="165">
        <f t="shared" si="34"/>
        <v>44926</v>
      </c>
      <c r="G203" s="164">
        <f>$A$3-F203</f>
        <v>0</v>
      </c>
      <c r="H203" s="166">
        <f>B203</f>
        <v>24990000</v>
      </c>
      <c r="I203" s="164"/>
      <c r="J203" s="164"/>
      <c r="K203" s="164"/>
      <c r="L203" s="164"/>
    </row>
    <row r="204" spans="1:12">
      <c r="A204" s="383" t="s">
        <v>90</v>
      </c>
      <c r="B204" s="101">
        <v>84000000</v>
      </c>
      <c r="C204" s="164"/>
      <c r="D204" s="165">
        <v>44833</v>
      </c>
      <c r="E204" s="164">
        <v>30</v>
      </c>
      <c r="F204" s="165">
        <f t="shared" si="34"/>
        <v>44863</v>
      </c>
      <c r="G204" s="164">
        <f t="shared" ref="G204:G223" si="40">$A$3-F204</f>
        <v>63</v>
      </c>
      <c r="H204" s="164"/>
      <c r="I204" s="164"/>
      <c r="J204" s="164"/>
      <c r="K204" s="166">
        <f>B204</f>
        <v>84000000</v>
      </c>
      <c r="L204" s="164"/>
    </row>
    <row r="205" spans="1:12">
      <c r="A205" s="383"/>
      <c r="B205" s="101">
        <v>93000000</v>
      </c>
      <c r="C205" s="164"/>
      <c r="D205" s="165">
        <v>44748</v>
      </c>
      <c r="E205" s="164">
        <v>30</v>
      </c>
      <c r="F205" s="165">
        <f t="shared" si="34"/>
        <v>44778</v>
      </c>
      <c r="G205" s="164">
        <f t="shared" si="40"/>
        <v>148</v>
      </c>
      <c r="H205" s="164"/>
      <c r="I205" s="164"/>
      <c r="J205" s="164"/>
      <c r="K205" s="164"/>
      <c r="L205" s="166">
        <f>B205</f>
        <v>93000000</v>
      </c>
    </row>
    <row r="206" spans="1:12">
      <c r="A206" s="163" t="s">
        <v>87</v>
      </c>
      <c r="B206" s="167">
        <v>12894000</v>
      </c>
      <c r="C206" s="164"/>
      <c r="D206" s="165">
        <v>44903</v>
      </c>
      <c r="E206" s="164">
        <v>30</v>
      </c>
      <c r="F206" s="165">
        <f t="shared" si="34"/>
        <v>44933</v>
      </c>
      <c r="G206" s="164">
        <f t="shared" si="40"/>
        <v>-7</v>
      </c>
      <c r="H206" s="166">
        <f t="shared" ref="H206:H207" si="41">B206</f>
        <v>12894000</v>
      </c>
      <c r="I206" s="164"/>
      <c r="J206" s="164"/>
      <c r="K206" s="164"/>
      <c r="L206" s="164"/>
    </row>
    <row r="207" spans="1:12">
      <c r="A207" s="163" t="s">
        <v>249</v>
      </c>
      <c r="B207" s="167">
        <v>83999975</v>
      </c>
      <c r="C207" s="164"/>
      <c r="D207" s="165">
        <v>44919</v>
      </c>
      <c r="E207" s="164">
        <v>30</v>
      </c>
      <c r="F207" s="165">
        <f t="shared" si="34"/>
        <v>44949</v>
      </c>
      <c r="G207" s="164">
        <f t="shared" si="40"/>
        <v>-23</v>
      </c>
      <c r="H207" s="166">
        <f t="shared" si="41"/>
        <v>83999975</v>
      </c>
      <c r="I207" s="164"/>
      <c r="J207" s="164"/>
      <c r="K207" s="164"/>
      <c r="L207" s="164"/>
    </row>
    <row r="208" spans="1:12">
      <c r="A208" s="383" t="s">
        <v>235</v>
      </c>
      <c r="B208" s="101">
        <v>25157995</v>
      </c>
      <c r="C208" s="164"/>
      <c r="D208" s="165">
        <v>44854</v>
      </c>
      <c r="E208" s="164">
        <v>30</v>
      </c>
      <c r="F208" s="165">
        <f t="shared" si="34"/>
        <v>44884</v>
      </c>
      <c r="G208" s="164">
        <f t="shared" si="40"/>
        <v>42</v>
      </c>
      <c r="H208" s="164"/>
      <c r="I208" s="164"/>
      <c r="J208" s="166">
        <f t="shared" ref="J208:J209" si="42">B208</f>
        <v>25157995</v>
      </c>
      <c r="K208" s="164"/>
      <c r="L208" s="164"/>
    </row>
    <row r="209" spans="1:12">
      <c r="A209" s="383"/>
      <c r="B209" s="101">
        <v>18168000</v>
      </c>
      <c r="C209" s="164"/>
      <c r="D209" s="165">
        <v>44854</v>
      </c>
      <c r="E209" s="164">
        <v>30</v>
      </c>
      <c r="F209" s="165">
        <f t="shared" si="34"/>
        <v>44884</v>
      </c>
      <c r="G209" s="164">
        <f t="shared" si="40"/>
        <v>42</v>
      </c>
      <c r="H209" s="164"/>
      <c r="I209" s="164"/>
      <c r="J209" s="166">
        <f t="shared" si="42"/>
        <v>18168000</v>
      </c>
      <c r="K209" s="164"/>
      <c r="L209" s="164"/>
    </row>
    <row r="210" spans="1:12">
      <c r="A210" s="383" t="s">
        <v>250</v>
      </c>
      <c r="B210" s="101">
        <v>68250000</v>
      </c>
      <c r="C210" s="164"/>
      <c r="D210" s="165">
        <v>44828</v>
      </c>
      <c r="E210" s="164">
        <v>30</v>
      </c>
      <c r="F210" s="165">
        <f t="shared" si="34"/>
        <v>44858</v>
      </c>
      <c r="G210" s="164">
        <f t="shared" si="40"/>
        <v>68</v>
      </c>
      <c r="H210" s="164"/>
      <c r="I210" s="164"/>
      <c r="J210" s="164"/>
      <c r="K210" s="166">
        <f t="shared" ref="K210:K211" si="43">B210</f>
        <v>68250000</v>
      </c>
      <c r="L210" s="164"/>
    </row>
    <row r="211" spans="1:12">
      <c r="A211" s="383"/>
      <c r="B211" s="101">
        <v>63749998</v>
      </c>
      <c r="C211" s="164"/>
      <c r="D211" s="165">
        <v>44833</v>
      </c>
      <c r="E211" s="164">
        <v>30</v>
      </c>
      <c r="F211" s="165">
        <f t="shared" si="34"/>
        <v>44863</v>
      </c>
      <c r="G211" s="164">
        <f t="shared" si="40"/>
        <v>63</v>
      </c>
      <c r="H211" s="164"/>
      <c r="I211" s="164"/>
      <c r="J211" s="164"/>
      <c r="K211" s="166">
        <f t="shared" si="43"/>
        <v>63749998</v>
      </c>
      <c r="L211" s="164"/>
    </row>
    <row r="212" spans="1:12">
      <c r="A212" s="383"/>
      <c r="B212" s="101">
        <v>62350000</v>
      </c>
      <c r="C212" s="164"/>
      <c r="D212" s="165">
        <v>44837</v>
      </c>
      <c r="E212" s="164">
        <v>30</v>
      </c>
      <c r="F212" s="165">
        <f t="shared" si="34"/>
        <v>44867</v>
      </c>
      <c r="G212" s="164">
        <f t="shared" si="40"/>
        <v>59</v>
      </c>
      <c r="H212" s="164"/>
      <c r="I212" s="164"/>
      <c r="J212" s="166">
        <f>B212</f>
        <v>62350000</v>
      </c>
      <c r="K212" s="164"/>
      <c r="L212" s="164"/>
    </row>
    <row r="213" spans="1:12">
      <c r="A213" s="383"/>
      <c r="B213" s="101">
        <v>58950000</v>
      </c>
      <c r="C213" s="164"/>
      <c r="D213" s="165">
        <v>44830</v>
      </c>
      <c r="E213" s="164">
        <v>30</v>
      </c>
      <c r="F213" s="165">
        <f t="shared" si="34"/>
        <v>44860</v>
      </c>
      <c r="G213" s="164">
        <f t="shared" si="40"/>
        <v>66</v>
      </c>
      <c r="H213" s="164"/>
      <c r="I213" s="164"/>
      <c r="J213" s="164"/>
      <c r="K213" s="166">
        <f>B213</f>
        <v>58950000</v>
      </c>
      <c r="L213" s="164"/>
    </row>
    <row r="214" spans="1:12">
      <c r="A214" s="383"/>
      <c r="B214" s="101">
        <v>45000000</v>
      </c>
      <c r="C214" s="164"/>
      <c r="D214" s="165">
        <v>44851</v>
      </c>
      <c r="E214" s="164">
        <v>30</v>
      </c>
      <c r="F214" s="165">
        <f t="shared" si="34"/>
        <v>44881</v>
      </c>
      <c r="G214" s="164">
        <f t="shared" si="40"/>
        <v>45</v>
      </c>
      <c r="H214" s="164"/>
      <c r="I214" s="164"/>
      <c r="J214" s="166">
        <f>B214</f>
        <v>45000000</v>
      </c>
      <c r="K214" s="164"/>
      <c r="L214" s="164"/>
    </row>
    <row r="215" spans="1:12">
      <c r="A215" s="383" t="s">
        <v>240</v>
      </c>
      <c r="B215" s="101">
        <v>28703060</v>
      </c>
      <c r="C215" s="164"/>
      <c r="D215" s="165">
        <v>44877</v>
      </c>
      <c r="E215" s="164">
        <v>30</v>
      </c>
      <c r="F215" s="165">
        <f t="shared" si="34"/>
        <v>44907</v>
      </c>
      <c r="G215" s="164">
        <f t="shared" si="40"/>
        <v>19</v>
      </c>
      <c r="H215" s="164"/>
      <c r="I215" s="166">
        <f t="shared" ref="I215:I217" si="44">B215</f>
        <v>28703060</v>
      </c>
      <c r="J215" s="164"/>
      <c r="K215" s="164"/>
      <c r="L215" s="164"/>
    </row>
    <row r="216" spans="1:12">
      <c r="A216" s="383"/>
      <c r="B216" s="101">
        <v>20972440</v>
      </c>
      <c r="C216" s="164"/>
      <c r="D216" s="165">
        <v>44877</v>
      </c>
      <c r="E216" s="164">
        <v>30</v>
      </c>
      <c r="F216" s="165">
        <f t="shared" si="34"/>
        <v>44907</v>
      </c>
      <c r="G216" s="164">
        <f t="shared" si="40"/>
        <v>19</v>
      </c>
      <c r="H216" s="164"/>
      <c r="I216" s="166">
        <f t="shared" si="44"/>
        <v>20972440</v>
      </c>
      <c r="J216" s="164"/>
      <c r="K216" s="164"/>
      <c r="L216" s="164"/>
    </row>
    <row r="217" spans="1:12">
      <c r="A217" s="383" t="s">
        <v>241</v>
      </c>
      <c r="B217" s="101">
        <v>708180</v>
      </c>
      <c r="C217" s="164"/>
      <c r="D217" s="165">
        <v>44867</v>
      </c>
      <c r="E217" s="164">
        <v>30</v>
      </c>
      <c r="F217" s="165">
        <f t="shared" si="34"/>
        <v>44897</v>
      </c>
      <c r="G217" s="164">
        <f t="shared" si="40"/>
        <v>29</v>
      </c>
      <c r="H217" s="164"/>
      <c r="I217" s="166">
        <f t="shared" si="44"/>
        <v>708180</v>
      </c>
      <c r="J217" s="164"/>
      <c r="K217" s="164"/>
      <c r="L217" s="164"/>
    </row>
    <row r="218" spans="1:12">
      <c r="A218" s="383"/>
      <c r="B218" s="101">
        <v>19083675</v>
      </c>
      <c r="C218" s="164"/>
      <c r="D218" s="165">
        <v>44846</v>
      </c>
      <c r="E218" s="164">
        <v>30</v>
      </c>
      <c r="F218" s="165">
        <f t="shared" si="34"/>
        <v>44876</v>
      </c>
      <c r="G218" s="164">
        <f t="shared" si="40"/>
        <v>50</v>
      </c>
      <c r="H218" s="164"/>
      <c r="I218" s="164"/>
      <c r="J218" s="166">
        <f>B218</f>
        <v>19083675</v>
      </c>
      <c r="K218" s="164"/>
      <c r="L218" s="164"/>
    </row>
    <row r="219" spans="1:12">
      <c r="A219" s="383"/>
      <c r="B219" s="101">
        <v>12465300</v>
      </c>
      <c r="C219" s="164"/>
      <c r="D219" s="165">
        <v>44872</v>
      </c>
      <c r="E219" s="164">
        <v>30</v>
      </c>
      <c r="F219" s="165">
        <f t="shared" si="34"/>
        <v>44902</v>
      </c>
      <c r="G219" s="164">
        <f t="shared" si="40"/>
        <v>24</v>
      </c>
      <c r="H219" s="164"/>
      <c r="I219" s="166">
        <f t="shared" ref="I219:I222" si="45">B219</f>
        <v>12465300</v>
      </c>
      <c r="J219" s="164"/>
      <c r="K219" s="164"/>
      <c r="L219" s="164"/>
    </row>
    <row r="220" spans="1:12">
      <c r="A220" s="383"/>
      <c r="B220" s="101">
        <v>1276500</v>
      </c>
      <c r="C220" s="164"/>
      <c r="D220" s="165">
        <v>44867</v>
      </c>
      <c r="E220" s="164">
        <v>30</v>
      </c>
      <c r="F220" s="165">
        <f t="shared" si="34"/>
        <v>44897</v>
      </c>
      <c r="G220" s="164">
        <f t="shared" si="40"/>
        <v>29</v>
      </c>
      <c r="H220" s="164"/>
      <c r="I220" s="166">
        <f t="shared" si="45"/>
        <v>1276500</v>
      </c>
      <c r="J220" s="164"/>
      <c r="K220" s="164"/>
      <c r="L220" s="164"/>
    </row>
    <row r="221" spans="1:12">
      <c r="A221" s="383"/>
      <c r="B221" s="101">
        <v>166500</v>
      </c>
      <c r="C221" s="164"/>
      <c r="D221" s="165">
        <v>44867</v>
      </c>
      <c r="E221" s="164">
        <v>30</v>
      </c>
      <c r="F221" s="165">
        <f t="shared" si="34"/>
        <v>44897</v>
      </c>
      <c r="G221" s="164">
        <f t="shared" si="40"/>
        <v>29</v>
      </c>
      <c r="H221" s="164"/>
      <c r="I221" s="166">
        <f t="shared" si="45"/>
        <v>166500</v>
      </c>
      <c r="J221" s="164"/>
      <c r="K221" s="164"/>
      <c r="L221" s="164"/>
    </row>
    <row r="222" spans="1:12">
      <c r="A222" s="383"/>
      <c r="B222" s="101">
        <v>3848370</v>
      </c>
      <c r="C222" s="164"/>
      <c r="D222" s="165">
        <v>44867</v>
      </c>
      <c r="E222" s="164">
        <v>30</v>
      </c>
      <c r="F222" s="165">
        <f t="shared" si="34"/>
        <v>44897</v>
      </c>
      <c r="G222" s="164">
        <f t="shared" si="40"/>
        <v>29</v>
      </c>
      <c r="H222" s="164"/>
      <c r="I222" s="166">
        <f t="shared" si="45"/>
        <v>3848370</v>
      </c>
      <c r="J222" s="164"/>
      <c r="K222" s="164"/>
      <c r="L222" s="164"/>
    </row>
    <row r="223" spans="1:12">
      <c r="A223" s="383"/>
      <c r="B223" s="101">
        <v>1276500</v>
      </c>
      <c r="C223" s="164"/>
      <c r="D223" s="165">
        <v>44896</v>
      </c>
      <c r="E223" s="164">
        <v>30</v>
      </c>
      <c r="F223" s="165">
        <f t="shared" si="34"/>
        <v>44926</v>
      </c>
      <c r="G223" s="164">
        <f t="shared" si="40"/>
        <v>0</v>
      </c>
      <c r="H223" s="166">
        <f>B223</f>
        <v>1276500</v>
      </c>
      <c r="I223" s="164"/>
      <c r="J223" s="164"/>
      <c r="K223" s="164"/>
      <c r="L223" s="164"/>
    </row>
    <row r="224" spans="1:12">
      <c r="A224" s="169"/>
      <c r="B224" s="170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</row>
    <row r="225" spans="1:12">
      <c r="A225" s="384" t="s">
        <v>39</v>
      </c>
      <c r="B225" s="101">
        <v>207962695</v>
      </c>
      <c r="C225" s="164"/>
      <c r="D225" s="165">
        <v>44869</v>
      </c>
      <c r="E225" s="164">
        <v>30</v>
      </c>
      <c r="F225" s="165">
        <f t="shared" ref="F225:F243" si="46">D225+E225</f>
        <v>44899</v>
      </c>
      <c r="G225" s="164">
        <f t="shared" ref="G225:G243" si="47">$A$3-F225</f>
        <v>27</v>
      </c>
      <c r="H225" s="164"/>
      <c r="I225" s="166">
        <f t="shared" ref="I225:I226" si="48">B225</f>
        <v>207962695</v>
      </c>
      <c r="J225" s="164"/>
      <c r="K225" s="164"/>
      <c r="L225" s="164"/>
    </row>
    <row r="226" spans="1:12">
      <c r="A226" s="384"/>
      <c r="B226" s="101">
        <v>227172279</v>
      </c>
      <c r="C226" s="164"/>
      <c r="D226" s="165">
        <v>44870</v>
      </c>
      <c r="E226" s="164">
        <v>30</v>
      </c>
      <c r="F226" s="165">
        <f t="shared" si="46"/>
        <v>44900</v>
      </c>
      <c r="G226" s="164">
        <f t="shared" si="47"/>
        <v>26</v>
      </c>
      <c r="H226" s="164"/>
      <c r="I226" s="166">
        <f t="shared" si="48"/>
        <v>227172279</v>
      </c>
      <c r="J226" s="164"/>
      <c r="K226" s="164"/>
      <c r="L226" s="164"/>
    </row>
    <row r="227" spans="1:12">
      <c r="A227" s="384"/>
      <c r="B227" s="101">
        <v>172943568</v>
      </c>
      <c r="C227" s="164"/>
      <c r="D227" s="165">
        <v>44896</v>
      </c>
      <c r="E227" s="164">
        <v>30</v>
      </c>
      <c r="F227" s="165">
        <f t="shared" si="46"/>
        <v>44926</v>
      </c>
      <c r="G227" s="164">
        <f t="shared" si="47"/>
        <v>0</v>
      </c>
      <c r="H227" s="166">
        <f t="shared" ref="H227:H243" si="49">B227</f>
        <v>172943568</v>
      </c>
      <c r="I227" s="164"/>
      <c r="J227" s="164"/>
      <c r="K227" s="164"/>
      <c r="L227" s="164"/>
    </row>
    <row r="228" spans="1:12">
      <c r="A228" s="384"/>
      <c r="B228" s="101">
        <v>233960532</v>
      </c>
      <c r="C228" s="164"/>
      <c r="D228" s="165">
        <v>44898</v>
      </c>
      <c r="E228" s="164">
        <v>30</v>
      </c>
      <c r="F228" s="165">
        <f t="shared" si="46"/>
        <v>44928</v>
      </c>
      <c r="G228" s="164">
        <f t="shared" si="47"/>
        <v>-2</v>
      </c>
      <c r="H228" s="166">
        <f t="shared" si="49"/>
        <v>233960532</v>
      </c>
      <c r="I228" s="164"/>
      <c r="J228" s="164"/>
      <c r="K228" s="164"/>
      <c r="L228" s="164"/>
    </row>
    <row r="229" spans="1:12">
      <c r="A229" s="384"/>
      <c r="B229" s="101">
        <v>217794028</v>
      </c>
      <c r="C229" s="164"/>
      <c r="D229" s="165">
        <v>44905</v>
      </c>
      <c r="E229" s="164">
        <v>30</v>
      </c>
      <c r="F229" s="165">
        <f t="shared" si="46"/>
        <v>44935</v>
      </c>
      <c r="G229" s="164">
        <f t="shared" si="47"/>
        <v>-9</v>
      </c>
      <c r="H229" s="166">
        <f t="shared" si="49"/>
        <v>217794028</v>
      </c>
      <c r="I229" s="164"/>
      <c r="J229" s="164"/>
      <c r="K229" s="164"/>
      <c r="L229" s="164"/>
    </row>
    <row r="230" spans="1:12">
      <c r="A230" s="384"/>
      <c r="B230" s="101">
        <v>177018188</v>
      </c>
      <c r="C230" s="164"/>
      <c r="D230" s="165">
        <v>44907</v>
      </c>
      <c r="E230" s="164">
        <v>30</v>
      </c>
      <c r="F230" s="165">
        <f t="shared" si="46"/>
        <v>44937</v>
      </c>
      <c r="G230" s="164">
        <f t="shared" si="47"/>
        <v>-11</v>
      </c>
      <c r="H230" s="166">
        <f t="shared" si="49"/>
        <v>177018188</v>
      </c>
      <c r="I230" s="164"/>
      <c r="J230" s="164"/>
      <c r="K230" s="164"/>
      <c r="L230" s="164"/>
    </row>
    <row r="231" spans="1:12">
      <c r="A231" s="384"/>
      <c r="B231" s="101">
        <v>177341445</v>
      </c>
      <c r="C231" s="164"/>
      <c r="D231" s="165">
        <v>44907</v>
      </c>
      <c r="E231" s="164">
        <v>30</v>
      </c>
      <c r="F231" s="165">
        <f t="shared" si="46"/>
        <v>44937</v>
      </c>
      <c r="G231" s="164">
        <f t="shared" si="47"/>
        <v>-11</v>
      </c>
      <c r="H231" s="166">
        <f t="shared" si="49"/>
        <v>177341445</v>
      </c>
      <c r="I231" s="164"/>
      <c r="J231" s="164"/>
      <c r="K231" s="164"/>
      <c r="L231" s="164"/>
    </row>
    <row r="232" spans="1:12">
      <c r="A232" s="384"/>
      <c r="B232" s="101">
        <v>221820309</v>
      </c>
      <c r="C232" s="164"/>
      <c r="D232" s="165">
        <v>44907</v>
      </c>
      <c r="E232" s="164">
        <v>30</v>
      </c>
      <c r="F232" s="165">
        <f t="shared" si="46"/>
        <v>44937</v>
      </c>
      <c r="G232" s="164">
        <f t="shared" si="47"/>
        <v>-11</v>
      </c>
      <c r="H232" s="166">
        <f t="shared" si="49"/>
        <v>221820309</v>
      </c>
      <c r="I232" s="164"/>
      <c r="J232" s="164"/>
      <c r="K232" s="164"/>
      <c r="L232" s="164"/>
    </row>
    <row r="233" spans="1:12">
      <c r="A233" s="384"/>
      <c r="B233" s="101">
        <v>216778492</v>
      </c>
      <c r="C233" s="164"/>
      <c r="D233" s="165">
        <v>44908</v>
      </c>
      <c r="E233" s="164">
        <v>30</v>
      </c>
      <c r="F233" s="165">
        <f t="shared" si="46"/>
        <v>44938</v>
      </c>
      <c r="G233" s="164">
        <f t="shared" si="47"/>
        <v>-12</v>
      </c>
      <c r="H233" s="166">
        <f t="shared" si="49"/>
        <v>216778492</v>
      </c>
      <c r="I233" s="164"/>
      <c r="J233" s="164"/>
      <c r="K233" s="164"/>
      <c r="L233" s="164"/>
    </row>
    <row r="234" spans="1:12">
      <c r="A234" s="384"/>
      <c r="B234" s="101">
        <v>213356515</v>
      </c>
      <c r="C234" s="164"/>
      <c r="D234" s="165">
        <v>44909</v>
      </c>
      <c r="E234" s="164">
        <v>30</v>
      </c>
      <c r="F234" s="165">
        <f t="shared" si="46"/>
        <v>44939</v>
      </c>
      <c r="G234" s="164">
        <f t="shared" si="47"/>
        <v>-13</v>
      </c>
      <c r="H234" s="166">
        <f t="shared" si="49"/>
        <v>213356515</v>
      </c>
      <c r="I234" s="164"/>
      <c r="J234" s="164"/>
      <c r="K234" s="164"/>
      <c r="L234" s="164"/>
    </row>
    <row r="235" spans="1:12">
      <c r="A235" s="384"/>
      <c r="B235" s="101">
        <v>234000808</v>
      </c>
      <c r="C235" s="164"/>
      <c r="D235" s="165">
        <v>44909</v>
      </c>
      <c r="E235" s="164">
        <v>30</v>
      </c>
      <c r="F235" s="165">
        <f t="shared" si="46"/>
        <v>44939</v>
      </c>
      <c r="G235" s="164">
        <f t="shared" si="47"/>
        <v>-13</v>
      </c>
      <c r="H235" s="166">
        <f t="shared" si="49"/>
        <v>234000808</v>
      </c>
      <c r="I235" s="164"/>
      <c r="J235" s="164"/>
      <c r="K235" s="164"/>
      <c r="L235" s="164"/>
    </row>
    <row r="236" spans="1:12">
      <c r="A236" s="384"/>
      <c r="B236" s="101">
        <v>195525474</v>
      </c>
      <c r="C236" s="164"/>
      <c r="D236" s="165">
        <v>44924</v>
      </c>
      <c r="E236" s="164">
        <v>30</v>
      </c>
      <c r="F236" s="165">
        <f t="shared" si="46"/>
        <v>44954</v>
      </c>
      <c r="G236" s="164">
        <f t="shared" si="47"/>
        <v>-28</v>
      </c>
      <c r="H236" s="166">
        <f t="shared" si="49"/>
        <v>195525474</v>
      </c>
      <c r="I236" s="164"/>
      <c r="J236" s="164"/>
      <c r="K236" s="164"/>
      <c r="L236" s="164"/>
    </row>
    <row r="237" spans="1:12">
      <c r="A237" s="164" t="s">
        <v>251</v>
      </c>
      <c r="B237" s="167">
        <v>207985587</v>
      </c>
      <c r="C237" s="164"/>
      <c r="D237" s="165">
        <v>44903</v>
      </c>
      <c r="E237" s="164">
        <v>30</v>
      </c>
      <c r="F237" s="165">
        <f t="shared" si="46"/>
        <v>44933</v>
      </c>
      <c r="G237" s="164">
        <f t="shared" si="47"/>
        <v>-7</v>
      </c>
      <c r="H237" s="166">
        <f t="shared" si="49"/>
        <v>207985587</v>
      </c>
      <c r="I237" s="164"/>
      <c r="J237" s="164"/>
      <c r="K237" s="164"/>
      <c r="L237" s="164"/>
    </row>
    <row r="238" spans="1:12">
      <c r="A238" s="384" t="s">
        <v>252</v>
      </c>
      <c r="B238" s="101">
        <v>51654505</v>
      </c>
      <c r="C238" s="164"/>
      <c r="D238" s="165">
        <v>44900</v>
      </c>
      <c r="E238" s="164">
        <v>30</v>
      </c>
      <c r="F238" s="165">
        <f t="shared" si="46"/>
        <v>44930</v>
      </c>
      <c r="G238" s="164">
        <f t="shared" si="47"/>
        <v>-4</v>
      </c>
      <c r="H238" s="166">
        <f t="shared" si="49"/>
        <v>51654505</v>
      </c>
      <c r="I238" s="164"/>
      <c r="J238" s="164"/>
      <c r="K238" s="164"/>
      <c r="L238" s="164"/>
    </row>
    <row r="239" spans="1:12">
      <c r="A239" s="384"/>
      <c r="B239" s="171">
        <f>108866387-9</f>
        <v>108866378</v>
      </c>
      <c r="C239" s="164"/>
      <c r="D239" s="165">
        <v>44901</v>
      </c>
      <c r="E239" s="164">
        <v>30</v>
      </c>
      <c r="F239" s="165">
        <f t="shared" si="46"/>
        <v>44931</v>
      </c>
      <c r="G239" s="164">
        <f t="shared" si="47"/>
        <v>-5</v>
      </c>
      <c r="H239" s="166">
        <f t="shared" si="49"/>
        <v>108866378</v>
      </c>
      <c r="I239" s="164"/>
      <c r="J239" s="164"/>
      <c r="K239" s="164"/>
      <c r="L239" s="164"/>
    </row>
    <row r="240" spans="1:12">
      <c r="A240" s="384"/>
      <c r="B240" s="101">
        <v>41505312</v>
      </c>
      <c r="C240" s="164"/>
      <c r="D240" s="165">
        <v>44901</v>
      </c>
      <c r="E240" s="164">
        <v>30</v>
      </c>
      <c r="F240" s="165">
        <f t="shared" si="46"/>
        <v>44931</v>
      </c>
      <c r="G240" s="164">
        <f t="shared" si="47"/>
        <v>-5</v>
      </c>
      <c r="H240" s="166">
        <f t="shared" si="49"/>
        <v>41505312</v>
      </c>
      <c r="I240" s="164"/>
      <c r="J240" s="164"/>
      <c r="K240" s="164"/>
      <c r="L240" s="164"/>
    </row>
    <row r="241" spans="1:12">
      <c r="A241" s="384"/>
      <c r="B241" s="101">
        <v>31939423</v>
      </c>
      <c r="C241" s="164"/>
      <c r="D241" s="165">
        <v>44904</v>
      </c>
      <c r="E241" s="164">
        <v>30</v>
      </c>
      <c r="F241" s="165">
        <f t="shared" si="46"/>
        <v>44934</v>
      </c>
      <c r="G241" s="164">
        <f t="shared" si="47"/>
        <v>-8</v>
      </c>
      <c r="H241" s="166">
        <f t="shared" si="49"/>
        <v>31939423</v>
      </c>
      <c r="I241" s="164"/>
      <c r="J241" s="164"/>
      <c r="K241" s="164"/>
      <c r="L241" s="164"/>
    </row>
    <row r="242" spans="1:12">
      <c r="A242" s="384"/>
      <c r="B242" s="101">
        <v>134754630</v>
      </c>
      <c r="C242" s="164"/>
      <c r="D242" s="165">
        <v>44917</v>
      </c>
      <c r="E242" s="164">
        <v>30</v>
      </c>
      <c r="F242" s="165">
        <f t="shared" si="46"/>
        <v>44947</v>
      </c>
      <c r="G242" s="164">
        <f t="shared" si="47"/>
        <v>-21</v>
      </c>
      <c r="H242" s="166">
        <f t="shared" si="49"/>
        <v>134754630</v>
      </c>
      <c r="I242" s="164"/>
      <c r="J242" s="164"/>
      <c r="K242" s="164"/>
      <c r="L242" s="164"/>
    </row>
    <row r="243" spans="1:12">
      <c r="A243" s="384"/>
      <c r="B243" s="101">
        <v>47642874</v>
      </c>
      <c r="C243" s="164"/>
      <c r="D243" s="165">
        <v>44923</v>
      </c>
      <c r="E243" s="164">
        <v>30</v>
      </c>
      <c r="F243" s="165">
        <f t="shared" si="46"/>
        <v>44953</v>
      </c>
      <c r="G243" s="164">
        <f t="shared" si="47"/>
        <v>-27</v>
      </c>
      <c r="H243" s="166">
        <f t="shared" si="49"/>
        <v>47642874</v>
      </c>
      <c r="I243" s="164"/>
      <c r="J243" s="164"/>
      <c r="K243" s="164"/>
      <c r="L243" s="164"/>
    </row>
    <row r="244" spans="1:12">
      <c r="A244" s="164" t="s">
        <v>253</v>
      </c>
      <c r="B244" s="101">
        <v>229496002</v>
      </c>
      <c r="C244" s="164"/>
      <c r="D244" s="164"/>
      <c r="E244" s="164"/>
      <c r="F244" s="165"/>
      <c r="G244" s="164"/>
      <c r="H244" s="164"/>
      <c r="I244" s="166">
        <f>B244</f>
        <v>229496002</v>
      </c>
      <c r="J244" s="164"/>
      <c r="K244" s="164"/>
      <c r="L244" s="164"/>
    </row>
    <row r="245" spans="1:12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</row>
    <row r="246" spans="1:12">
      <c r="A246" s="164" t="s">
        <v>254</v>
      </c>
      <c r="B246" s="173">
        <v>303716517</v>
      </c>
      <c r="C246" s="164"/>
      <c r="D246" s="165">
        <v>44908</v>
      </c>
      <c r="E246" s="174">
        <v>30</v>
      </c>
      <c r="F246" s="165">
        <f t="shared" ref="F246:F308" si="50">D246+E246</f>
        <v>44938</v>
      </c>
      <c r="G246" s="164">
        <f t="shared" ref="G246:G308" si="51">$A$3-F246</f>
        <v>-12</v>
      </c>
      <c r="H246" s="166">
        <f t="shared" ref="H246:H263" si="52">B246</f>
        <v>303716517</v>
      </c>
      <c r="I246" s="164"/>
      <c r="J246" s="164"/>
      <c r="K246" s="164"/>
      <c r="L246" s="164"/>
    </row>
    <row r="247" spans="1:12">
      <c r="A247" s="164" t="s">
        <v>254</v>
      </c>
      <c r="B247" s="175">
        <v>174058604</v>
      </c>
      <c r="C247" s="164"/>
      <c r="D247" s="165">
        <v>44908</v>
      </c>
      <c r="E247" s="174">
        <v>30</v>
      </c>
      <c r="F247" s="165">
        <f t="shared" si="50"/>
        <v>44938</v>
      </c>
      <c r="G247" s="164">
        <f t="shared" si="51"/>
        <v>-12</v>
      </c>
      <c r="H247" s="166">
        <f t="shared" si="52"/>
        <v>174058604</v>
      </c>
      <c r="I247" s="164"/>
      <c r="J247" s="164"/>
      <c r="K247" s="164"/>
      <c r="L247" s="164"/>
    </row>
    <row r="248" spans="1:12">
      <c r="A248" s="164" t="s">
        <v>254</v>
      </c>
      <c r="B248" s="173">
        <v>273095641</v>
      </c>
      <c r="C248" s="164"/>
      <c r="D248" s="165">
        <v>44908</v>
      </c>
      <c r="E248" s="174">
        <v>30</v>
      </c>
      <c r="F248" s="165">
        <f t="shared" si="50"/>
        <v>44938</v>
      </c>
      <c r="G248" s="164">
        <f t="shared" si="51"/>
        <v>-12</v>
      </c>
      <c r="H248" s="166">
        <f t="shared" si="52"/>
        <v>273095641</v>
      </c>
      <c r="I248" s="164"/>
      <c r="J248" s="164"/>
      <c r="K248" s="164"/>
      <c r="L248" s="164"/>
    </row>
    <row r="249" spans="1:12">
      <c r="A249" s="164" t="s">
        <v>254</v>
      </c>
      <c r="B249" s="173">
        <v>251149494</v>
      </c>
      <c r="C249" s="164"/>
      <c r="D249" s="165">
        <v>44909</v>
      </c>
      <c r="E249" s="174">
        <v>30</v>
      </c>
      <c r="F249" s="165">
        <f t="shared" si="50"/>
        <v>44939</v>
      </c>
      <c r="G249" s="164">
        <f t="shared" si="51"/>
        <v>-13</v>
      </c>
      <c r="H249" s="166">
        <f t="shared" si="52"/>
        <v>251149494</v>
      </c>
      <c r="I249" s="164"/>
      <c r="J249" s="164"/>
      <c r="K249" s="164"/>
      <c r="L249" s="164"/>
    </row>
    <row r="250" spans="1:12">
      <c r="A250" s="164" t="s">
        <v>254</v>
      </c>
      <c r="B250" s="173">
        <v>87596439</v>
      </c>
      <c r="C250" s="164"/>
      <c r="D250" s="165">
        <v>44909</v>
      </c>
      <c r="E250" s="174">
        <v>30</v>
      </c>
      <c r="F250" s="165">
        <f t="shared" si="50"/>
        <v>44939</v>
      </c>
      <c r="G250" s="164">
        <f t="shared" si="51"/>
        <v>-13</v>
      </c>
      <c r="H250" s="166">
        <f t="shared" si="52"/>
        <v>87596439</v>
      </c>
      <c r="I250" s="164"/>
      <c r="J250" s="164"/>
      <c r="K250" s="164"/>
      <c r="L250" s="164"/>
    </row>
    <row r="251" spans="1:12">
      <c r="A251" s="164" t="s">
        <v>254</v>
      </c>
      <c r="B251" s="173">
        <v>299066179</v>
      </c>
      <c r="C251" s="164"/>
      <c r="D251" s="165">
        <v>44910</v>
      </c>
      <c r="E251" s="174">
        <v>30</v>
      </c>
      <c r="F251" s="165">
        <f t="shared" si="50"/>
        <v>44940</v>
      </c>
      <c r="G251" s="164">
        <f t="shared" si="51"/>
        <v>-14</v>
      </c>
      <c r="H251" s="166">
        <f t="shared" si="52"/>
        <v>299066179</v>
      </c>
      <c r="I251" s="164"/>
      <c r="J251" s="164"/>
      <c r="K251" s="164"/>
      <c r="L251" s="164"/>
    </row>
    <row r="252" spans="1:12">
      <c r="A252" s="164" t="s">
        <v>254</v>
      </c>
      <c r="B252" s="173">
        <v>299066179</v>
      </c>
      <c r="C252" s="164"/>
      <c r="D252" s="165">
        <v>44910</v>
      </c>
      <c r="E252" s="174">
        <v>30</v>
      </c>
      <c r="F252" s="165">
        <f t="shared" si="50"/>
        <v>44940</v>
      </c>
      <c r="G252" s="164">
        <f t="shared" si="51"/>
        <v>-14</v>
      </c>
      <c r="H252" s="166">
        <f t="shared" si="52"/>
        <v>299066179</v>
      </c>
      <c r="I252" s="164"/>
      <c r="J252" s="164"/>
      <c r="K252" s="164"/>
      <c r="L252" s="164"/>
    </row>
    <row r="253" spans="1:12">
      <c r="A253" s="164" t="s">
        <v>254</v>
      </c>
      <c r="B253" s="173">
        <v>299066179</v>
      </c>
      <c r="C253" s="164"/>
      <c r="D253" s="165">
        <v>44910</v>
      </c>
      <c r="E253" s="174">
        <v>30</v>
      </c>
      <c r="F253" s="165">
        <f t="shared" si="50"/>
        <v>44940</v>
      </c>
      <c r="G253" s="164">
        <f t="shared" si="51"/>
        <v>-14</v>
      </c>
      <c r="H253" s="166">
        <f t="shared" si="52"/>
        <v>299066179</v>
      </c>
      <c r="I253" s="164"/>
      <c r="J253" s="164"/>
      <c r="K253" s="164"/>
      <c r="L253" s="164"/>
    </row>
    <row r="254" spans="1:12">
      <c r="A254" s="164" t="s">
        <v>254</v>
      </c>
      <c r="B254" s="173">
        <v>312288494</v>
      </c>
      <c r="C254" s="164"/>
      <c r="D254" s="165">
        <v>44911</v>
      </c>
      <c r="E254" s="174">
        <v>30</v>
      </c>
      <c r="F254" s="165">
        <f t="shared" si="50"/>
        <v>44941</v>
      </c>
      <c r="G254" s="164">
        <f t="shared" si="51"/>
        <v>-15</v>
      </c>
      <c r="H254" s="166">
        <f t="shared" si="52"/>
        <v>312288494</v>
      </c>
      <c r="I254" s="164"/>
      <c r="J254" s="164"/>
      <c r="K254" s="164"/>
      <c r="L254" s="164"/>
    </row>
    <row r="255" spans="1:12">
      <c r="A255" s="164" t="s">
        <v>254</v>
      </c>
      <c r="B255" s="173">
        <v>312288494</v>
      </c>
      <c r="C255" s="164"/>
      <c r="D255" s="165">
        <v>44911</v>
      </c>
      <c r="E255" s="174">
        <v>30</v>
      </c>
      <c r="F255" s="165">
        <f t="shared" si="50"/>
        <v>44941</v>
      </c>
      <c r="G255" s="164">
        <f t="shared" si="51"/>
        <v>-15</v>
      </c>
      <c r="H255" s="166">
        <f t="shared" si="52"/>
        <v>312288494</v>
      </c>
      <c r="I255" s="164"/>
      <c r="J255" s="164"/>
      <c r="K255" s="164"/>
      <c r="L255" s="164"/>
    </row>
    <row r="256" spans="1:12">
      <c r="A256" s="164" t="s">
        <v>254</v>
      </c>
      <c r="B256" s="173">
        <v>65095734</v>
      </c>
      <c r="C256" s="164"/>
      <c r="D256" s="165">
        <v>44912</v>
      </c>
      <c r="E256" s="174">
        <v>30</v>
      </c>
      <c r="F256" s="165">
        <f t="shared" si="50"/>
        <v>44942</v>
      </c>
      <c r="G256" s="164">
        <f t="shared" si="51"/>
        <v>-16</v>
      </c>
      <c r="H256" s="166">
        <f t="shared" si="52"/>
        <v>65095734</v>
      </c>
      <c r="I256" s="164"/>
      <c r="J256" s="164"/>
      <c r="K256" s="164"/>
      <c r="L256" s="164"/>
    </row>
    <row r="257" spans="1:12">
      <c r="A257" s="164" t="s">
        <v>254</v>
      </c>
      <c r="B257" s="173">
        <v>324368782</v>
      </c>
      <c r="C257" s="164"/>
      <c r="D257" s="165">
        <v>44909</v>
      </c>
      <c r="E257" s="174">
        <v>30</v>
      </c>
      <c r="F257" s="165">
        <f t="shared" si="50"/>
        <v>44939</v>
      </c>
      <c r="G257" s="164">
        <f t="shared" si="51"/>
        <v>-13</v>
      </c>
      <c r="H257" s="166">
        <f t="shared" si="52"/>
        <v>324368782</v>
      </c>
      <c r="I257" s="164"/>
      <c r="J257" s="164"/>
      <c r="K257" s="164"/>
      <c r="L257" s="164"/>
    </row>
    <row r="258" spans="1:12">
      <c r="A258" s="164" t="s">
        <v>254</v>
      </c>
      <c r="B258" s="173">
        <v>324368782</v>
      </c>
      <c r="C258" s="164"/>
      <c r="D258" s="165">
        <v>44909</v>
      </c>
      <c r="E258" s="174">
        <v>30</v>
      </c>
      <c r="F258" s="165">
        <f t="shared" si="50"/>
        <v>44939</v>
      </c>
      <c r="G258" s="164">
        <f t="shared" si="51"/>
        <v>-13</v>
      </c>
      <c r="H258" s="166">
        <f t="shared" si="52"/>
        <v>324368782</v>
      </c>
      <c r="I258" s="164"/>
      <c r="J258" s="164"/>
      <c r="K258" s="164"/>
      <c r="L258" s="164"/>
    </row>
    <row r="259" spans="1:12">
      <c r="A259" s="164" t="s">
        <v>254</v>
      </c>
      <c r="B259" s="173">
        <v>326770077</v>
      </c>
      <c r="C259" s="164"/>
      <c r="D259" s="165">
        <v>44911</v>
      </c>
      <c r="E259" s="174">
        <v>30</v>
      </c>
      <c r="F259" s="165">
        <f t="shared" si="50"/>
        <v>44941</v>
      </c>
      <c r="G259" s="164">
        <f t="shared" si="51"/>
        <v>-15</v>
      </c>
      <c r="H259" s="166">
        <f t="shared" si="52"/>
        <v>326770077</v>
      </c>
      <c r="I259" s="164"/>
      <c r="J259" s="164"/>
      <c r="K259" s="164"/>
      <c r="L259" s="164"/>
    </row>
    <row r="260" spans="1:12">
      <c r="A260" s="164" t="s">
        <v>254</v>
      </c>
      <c r="B260" s="173">
        <v>326140443</v>
      </c>
      <c r="C260" s="164"/>
      <c r="D260" s="165">
        <v>44911</v>
      </c>
      <c r="E260" s="174">
        <v>30</v>
      </c>
      <c r="F260" s="165">
        <f t="shared" si="50"/>
        <v>44941</v>
      </c>
      <c r="G260" s="164">
        <f t="shared" si="51"/>
        <v>-15</v>
      </c>
      <c r="H260" s="166">
        <f t="shared" si="52"/>
        <v>326140443</v>
      </c>
      <c r="I260" s="164"/>
      <c r="J260" s="164"/>
      <c r="K260" s="164"/>
      <c r="L260" s="164"/>
    </row>
    <row r="261" spans="1:12">
      <c r="A261" s="164" t="s">
        <v>254</v>
      </c>
      <c r="B261" s="173">
        <v>206509490</v>
      </c>
      <c r="C261" s="164"/>
      <c r="D261" s="165">
        <v>44915</v>
      </c>
      <c r="E261" s="174">
        <v>30</v>
      </c>
      <c r="F261" s="165">
        <f t="shared" si="50"/>
        <v>44945</v>
      </c>
      <c r="G261" s="164">
        <f t="shared" si="51"/>
        <v>-19</v>
      </c>
      <c r="H261" s="166">
        <f t="shared" si="52"/>
        <v>206509490</v>
      </c>
      <c r="I261" s="164"/>
      <c r="J261" s="164"/>
      <c r="K261" s="164"/>
      <c r="L261" s="164"/>
    </row>
    <row r="262" spans="1:12">
      <c r="A262" s="164" t="s">
        <v>254</v>
      </c>
      <c r="B262" s="173">
        <v>326140443</v>
      </c>
      <c r="C262" s="164"/>
      <c r="D262" s="165">
        <v>44911</v>
      </c>
      <c r="E262" s="174">
        <v>30</v>
      </c>
      <c r="F262" s="165">
        <f t="shared" si="50"/>
        <v>44941</v>
      </c>
      <c r="G262" s="164">
        <f t="shared" si="51"/>
        <v>-15</v>
      </c>
      <c r="H262" s="166">
        <f t="shared" si="52"/>
        <v>326140443</v>
      </c>
      <c r="I262" s="164"/>
      <c r="J262" s="164"/>
      <c r="K262" s="164"/>
      <c r="L262" s="164"/>
    </row>
    <row r="263" spans="1:12">
      <c r="A263" s="164" t="s">
        <v>254</v>
      </c>
      <c r="B263" s="173">
        <v>297988086</v>
      </c>
      <c r="C263" s="164"/>
      <c r="D263" s="165">
        <v>44923</v>
      </c>
      <c r="E263" s="174">
        <v>30</v>
      </c>
      <c r="F263" s="165">
        <f t="shared" si="50"/>
        <v>44953</v>
      </c>
      <c r="G263" s="164">
        <f t="shared" si="51"/>
        <v>-27</v>
      </c>
      <c r="H263" s="166">
        <f t="shared" si="52"/>
        <v>297988086</v>
      </c>
      <c r="I263" s="164"/>
      <c r="J263" s="164"/>
      <c r="K263" s="164"/>
      <c r="L263" s="164"/>
    </row>
    <row r="264" spans="1:12">
      <c r="A264" s="164" t="s">
        <v>254</v>
      </c>
      <c r="B264" s="173">
        <v>131624688</v>
      </c>
      <c r="C264" s="164"/>
      <c r="D264" s="165">
        <v>44785</v>
      </c>
      <c r="E264" s="174">
        <v>30</v>
      </c>
      <c r="F264" s="165">
        <f t="shared" si="50"/>
        <v>44815</v>
      </c>
      <c r="G264" s="164">
        <f t="shared" si="51"/>
        <v>111</v>
      </c>
      <c r="H264" s="164"/>
      <c r="I264" s="164"/>
      <c r="J264" s="164"/>
      <c r="K264" s="164"/>
      <c r="L264" s="166">
        <f t="shared" ref="L264:L265" si="53">B264</f>
        <v>131624688</v>
      </c>
    </row>
    <row r="265" spans="1:12">
      <c r="A265" s="164" t="s">
        <v>254</v>
      </c>
      <c r="B265" s="173">
        <v>118898760</v>
      </c>
      <c r="C265" s="164"/>
      <c r="D265" s="165">
        <v>44800</v>
      </c>
      <c r="E265" s="174">
        <v>30</v>
      </c>
      <c r="F265" s="165">
        <f t="shared" si="50"/>
        <v>44830</v>
      </c>
      <c r="G265" s="164">
        <f t="shared" si="51"/>
        <v>96</v>
      </c>
      <c r="H265" s="164"/>
      <c r="I265" s="164"/>
      <c r="J265" s="164"/>
      <c r="K265" s="164"/>
      <c r="L265" s="166">
        <f t="shared" si="53"/>
        <v>118898760</v>
      </c>
    </row>
    <row r="266" spans="1:12">
      <c r="A266" s="164" t="s">
        <v>254</v>
      </c>
      <c r="B266" s="173">
        <v>157730112</v>
      </c>
      <c r="C266" s="164"/>
      <c r="D266" s="165">
        <v>44824</v>
      </c>
      <c r="E266" s="174">
        <v>30</v>
      </c>
      <c r="F266" s="165">
        <f t="shared" si="50"/>
        <v>44854</v>
      </c>
      <c r="G266" s="164">
        <f t="shared" si="51"/>
        <v>72</v>
      </c>
      <c r="H266" s="164"/>
      <c r="I266" s="164"/>
      <c r="J266" s="164"/>
      <c r="K266" s="166">
        <f>B266</f>
        <v>157730112</v>
      </c>
      <c r="L266" s="164"/>
    </row>
    <row r="267" spans="1:12">
      <c r="A267" s="164" t="s">
        <v>254</v>
      </c>
      <c r="B267" s="173">
        <v>217731162</v>
      </c>
      <c r="C267" s="164"/>
      <c r="D267" s="165">
        <v>44800</v>
      </c>
      <c r="E267" s="174">
        <v>30</v>
      </c>
      <c r="F267" s="165">
        <f t="shared" si="50"/>
        <v>44830</v>
      </c>
      <c r="G267" s="164">
        <f t="shared" si="51"/>
        <v>96</v>
      </c>
      <c r="H267" s="164"/>
      <c r="I267" s="164"/>
      <c r="J267" s="164"/>
      <c r="K267" s="164"/>
      <c r="L267" s="166">
        <f>B267</f>
        <v>217731162</v>
      </c>
    </row>
    <row r="268" spans="1:12">
      <c r="A268" s="164" t="s">
        <v>254</v>
      </c>
      <c r="B268" s="173">
        <v>277466256</v>
      </c>
      <c r="C268" s="164"/>
      <c r="D268" s="165">
        <v>44895</v>
      </c>
      <c r="E268" s="174">
        <v>30</v>
      </c>
      <c r="F268" s="165">
        <f t="shared" si="50"/>
        <v>44925</v>
      </c>
      <c r="G268" s="164">
        <f t="shared" si="51"/>
        <v>1</v>
      </c>
      <c r="H268" s="164"/>
      <c r="I268" s="166">
        <f>B268</f>
        <v>277466256</v>
      </c>
      <c r="J268" s="164"/>
      <c r="K268" s="164"/>
      <c r="L268" s="164"/>
    </row>
    <row r="269" spans="1:12">
      <c r="A269" s="164" t="s">
        <v>254</v>
      </c>
      <c r="B269" s="173">
        <v>378694084</v>
      </c>
      <c r="C269" s="164"/>
      <c r="D269" s="165">
        <v>44911</v>
      </c>
      <c r="E269" s="174">
        <v>30</v>
      </c>
      <c r="F269" s="165">
        <f t="shared" si="50"/>
        <v>44941</v>
      </c>
      <c r="G269" s="164">
        <f t="shared" si="51"/>
        <v>-15</v>
      </c>
      <c r="H269" s="166">
        <f t="shared" ref="H269:H277" si="54">B269</f>
        <v>378694084</v>
      </c>
      <c r="I269" s="164"/>
      <c r="J269" s="164"/>
      <c r="K269" s="164"/>
      <c r="L269" s="164"/>
    </row>
    <row r="270" spans="1:12">
      <c r="A270" s="164" t="s">
        <v>254</v>
      </c>
      <c r="B270" s="173">
        <v>326140443</v>
      </c>
      <c r="C270" s="164"/>
      <c r="D270" s="165">
        <v>44911</v>
      </c>
      <c r="E270" s="174">
        <v>30</v>
      </c>
      <c r="F270" s="165">
        <f t="shared" si="50"/>
        <v>44941</v>
      </c>
      <c r="G270" s="164">
        <f t="shared" si="51"/>
        <v>-15</v>
      </c>
      <c r="H270" s="166">
        <f t="shared" si="54"/>
        <v>326140443</v>
      </c>
      <c r="I270" s="164"/>
      <c r="J270" s="164"/>
      <c r="K270" s="164"/>
      <c r="L270" s="164"/>
    </row>
    <row r="271" spans="1:12">
      <c r="A271" s="164" t="s">
        <v>254</v>
      </c>
      <c r="B271" s="173">
        <v>302479562</v>
      </c>
      <c r="C271" s="164"/>
      <c r="D271" s="165">
        <v>44911</v>
      </c>
      <c r="E271" s="174">
        <v>30</v>
      </c>
      <c r="F271" s="165">
        <f t="shared" si="50"/>
        <v>44941</v>
      </c>
      <c r="G271" s="164">
        <f t="shared" si="51"/>
        <v>-15</v>
      </c>
      <c r="H271" s="166">
        <f t="shared" si="54"/>
        <v>302479562</v>
      </c>
      <c r="I271" s="164"/>
      <c r="J271" s="164"/>
      <c r="K271" s="164"/>
      <c r="L271" s="164"/>
    </row>
    <row r="272" spans="1:12">
      <c r="A272" s="164" t="s">
        <v>254</v>
      </c>
      <c r="B272" s="173">
        <v>172509331</v>
      </c>
      <c r="C272" s="164"/>
      <c r="D272" s="165">
        <v>44912</v>
      </c>
      <c r="E272" s="174">
        <v>30</v>
      </c>
      <c r="F272" s="165">
        <f t="shared" si="50"/>
        <v>44942</v>
      </c>
      <c r="G272" s="164">
        <f t="shared" si="51"/>
        <v>-16</v>
      </c>
      <c r="H272" s="166">
        <f t="shared" si="54"/>
        <v>172509331</v>
      </c>
      <c r="I272" s="164"/>
      <c r="J272" s="164"/>
      <c r="K272" s="164"/>
      <c r="L272" s="164"/>
    </row>
    <row r="273" spans="1:12">
      <c r="A273" s="164" t="s">
        <v>254</v>
      </c>
      <c r="B273" s="173">
        <v>234558752</v>
      </c>
      <c r="C273" s="164"/>
      <c r="D273" s="165">
        <v>44915</v>
      </c>
      <c r="E273" s="174">
        <v>30</v>
      </c>
      <c r="F273" s="165">
        <f t="shared" si="50"/>
        <v>44945</v>
      </c>
      <c r="G273" s="164">
        <f t="shared" si="51"/>
        <v>-19</v>
      </c>
      <c r="H273" s="166">
        <f t="shared" si="54"/>
        <v>234558752</v>
      </c>
      <c r="I273" s="164"/>
      <c r="J273" s="164"/>
      <c r="K273" s="164"/>
      <c r="L273" s="164"/>
    </row>
    <row r="274" spans="1:12">
      <c r="A274" s="164" t="s">
        <v>254</v>
      </c>
      <c r="B274" s="173">
        <v>219875652</v>
      </c>
      <c r="C274" s="164"/>
      <c r="D274" s="165">
        <v>44915</v>
      </c>
      <c r="E274" s="174">
        <v>30</v>
      </c>
      <c r="F274" s="165">
        <f t="shared" si="50"/>
        <v>44945</v>
      </c>
      <c r="G274" s="164">
        <f t="shared" si="51"/>
        <v>-19</v>
      </c>
      <c r="H274" s="166">
        <f t="shared" si="54"/>
        <v>219875652</v>
      </c>
      <c r="I274" s="164"/>
      <c r="J274" s="164"/>
      <c r="K274" s="164"/>
      <c r="L274" s="164"/>
    </row>
    <row r="275" spans="1:12">
      <c r="A275" s="164" t="s">
        <v>254</v>
      </c>
      <c r="B275" s="173">
        <v>206509490</v>
      </c>
      <c r="C275" s="164"/>
      <c r="D275" s="165">
        <v>44915</v>
      </c>
      <c r="E275" s="174">
        <v>30</v>
      </c>
      <c r="F275" s="165">
        <f t="shared" si="50"/>
        <v>44945</v>
      </c>
      <c r="G275" s="164">
        <f t="shared" si="51"/>
        <v>-19</v>
      </c>
      <c r="H275" s="166">
        <f t="shared" si="54"/>
        <v>206509490</v>
      </c>
      <c r="I275" s="164"/>
      <c r="J275" s="164"/>
      <c r="K275" s="164"/>
      <c r="L275" s="164"/>
    </row>
    <row r="276" spans="1:12">
      <c r="A276" s="164" t="s">
        <v>254</v>
      </c>
      <c r="B276" s="173">
        <v>240300976</v>
      </c>
      <c r="C276" s="164"/>
      <c r="D276" s="165">
        <v>44921</v>
      </c>
      <c r="E276" s="174">
        <v>30</v>
      </c>
      <c r="F276" s="165">
        <f t="shared" si="50"/>
        <v>44951</v>
      </c>
      <c r="G276" s="164">
        <f t="shared" si="51"/>
        <v>-25</v>
      </c>
      <c r="H276" s="166">
        <f t="shared" si="54"/>
        <v>240300976</v>
      </c>
      <c r="I276" s="164"/>
      <c r="J276" s="164"/>
      <c r="K276" s="164"/>
      <c r="L276" s="164"/>
    </row>
    <row r="277" spans="1:12">
      <c r="A277" s="164" t="s">
        <v>254</v>
      </c>
      <c r="B277" s="173">
        <v>284583932</v>
      </c>
      <c r="C277" s="164"/>
      <c r="D277" s="165">
        <v>44926</v>
      </c>
      <c r="E277" s="174">
        <v>30</v>
      </c>
      <c r="F277" s="165">
        <f t="shared" si="50"/>
        <v>44956</v>
      </c>
      <c r="G277" s="164">
        <f t="shared" si="51"/>
        <v>-30</v>
      </c>
      <c r="H277" s="166">
        <f t="shared" si="54"/>
        <v>284583932</v>
      </c>
      <c r="I277" s="164"/>
      <c r="J277" s="164"/>
      <c r="K277" s="164"/>
      <c r="L277" s="164"/>
    </row>
    <row r="278" spans="1:12">
      <c r="A278" s="164" t="s">
        <v>254</v>
      </c>
      <c r="B278" s="173">
        <v>125328102</v>
      </c>
      <c r="C278" s="164"/>
      <c r="D278" s="165">
        <v>44834</v>
      </c>
      <c r="E278" s="174">
        <v>30</v>
      </c>
      <c r="F278" s="165">
        <f t="shared" si="50"/>
        <v>44864</v>
      </c>
      <c r="G278" s="164">
        <f t="shared" si="51"/>
        <v>62</v>
      </c>
      <c r="H278" s="164"/>
      <c r="I278" s="164"/>
      <c r="J278" s="164"/>
      <c r="K278" s="166">
        <f>B278</f>
        <v>125328102</v>
      </c>
      <c r="L278" s="164"/>
    </row>
    <row r="279" spans="1:12">
      <c r="A279" s="164" t="s">
        <v>254</v>
      </c>
      <c r="B279" s="173">
        <v>57210732</v>
      </c>
      <c r="C279" s="164"/>
      <c r="D279" s="165">
        <v>44740</v>
      </c>
      <c r="E279" s="174">
        <v>30</v>
      </c>
      <c r="F279" s="165">
        <f t="shared" si="50"/>
        <v>44770</v>
      </c>
      <c r="G279" s="164">
        <f t="shared" si="51"/>
        <v>156</v>
      </c>
      <c r="H279" s="164"/>
      <c r="I279" s="164"/>
      <c r="J279" s="164"/>
      <c r="K279" s="164"/>
      <c r="L279" s="166">
        <f t="shared" ref="L279:L281" si="55">B279</f>
        <v>57210732</v>
      </c>
    </row>
    <row r="280" spans="1:12">
      <c r="A280" s="164" t="s">
        <v>254</v>
      </c>
      <c r="B280" s="173">
        <v>46139347</v>
      </c>
      <c r="C280" s="164"/>
      <c r="D280" s="165">
        <v>44738</v>
      </c>
      <c r="E280" s="174">
        <v>30</v>
      </c>
      <c r="F280" s="165">
        <f t="shared" si="50"/>
        <v>44768</v>
      </c>
      <c r="G280" s="164">
        <f t="shared" si="51"/>
        <v>158</v>
      </c>
      <c r="H280" s="164"/>
      <c r="I280" s="164"/>
      <c r="J280" s="164"/>
      <c r="K280" s="164"/>
      <c r="L280" s="166">
        <f t="shared" si="55"/>
        <v>46139347</v>
      </c>
    </row>
    <row r="281" spans="1:12">
      <c r="A281" s="164" t="s">
        <v>254</v>
      </c>
      <c r="B281" s="173">
        <v>29692056</v>
      </c>
      <c r="C281" s="164"/>
      <c r="D281" s="165">
        <v>44795</v>
      </c>
      <c r="E281" s="174">
        <v>30</v>
      </c>
      <c r="F281" s="165">
        <f t="shared" si="50"/>
        <v>44825</v>
      </c>
      <c r="G281" s="164">
        <f t="shared" si="51"/>
        <v>101</v>
      </c>
      <c r="H281" s="164"/>
      <c r="I281" s="164"/>
      <c r="J281" s="164"/>
      <c r="K281" s="164"/>
      <c r="L281" s="166">
        <f t="shared" si="55"/>
        <v>29692056</v>
      </c>
    </row>
    <row r="282" spans="1:12">
      <c r="A282" s="164" t="s">
        <v>254</v>
      </c>
      <c r="B282" s="173">
        <v>171355505</v>
      </c>
      <c r="C282" s="164"/>
      <c r="D282" s="165">
        <v>44923</v>
      </c>
      <c r="E282" s="174">
        <v>30</v>
      </c>
      <c r="F282" s="165">
        <f t="shared" si="50"/>
        <v>44953</v>
      </c>
      <c r="G282" s="164">
        <f t="shared" si="51"/>
        <v>-27</v>
      </c>
      <c r="H282" s="166">
        <f t="shared" ref="H282:H284" si="56">B282</f>
        <v>171355505</v>
      </c>
      <c r="I282" s="164"/>
      <c r="J282" s="164"/>
      <c r="K282" s="164"/>
      <c r="L282" s="164"/>
    </row>
    <row r="283" spans="1:12">
      <c r="A283" s="164" t="s">
        <v>254</v>
      </c>
      <c r="B283" s="173">
        <v>284583932</v>
      </c>
      <c r="C283" s="164"/>
      <c r="D283" s="165">
        <v>44926</v>
      </c>
      <c r="E283" s="174">
        <v>30</v>
      </c>
      <c r="F283" s="165">
        <f t="shared" si="50"/>
        <v>44956</v>
      </c>
      <c r="G283" s="164">
        <f t="shared" si="51"/>
        <v>-30</v>
      </c>
      <c r="H283" s="166">
        <f t="shared" si="56"/>
        <v>284583932</v>
      </c>
      <c r="I283" s="164"/>
      <c r="J283" s="164"/>
      <c r="K283" s="164"/>
      <c r="L283" s="164"/>
    </row>
    <row r="284" spans="1:12">
      <c r="A284" s="164" t="s">
        <v>254</v>
      </c>
      <c r="B284" s="173">
        <v>284583932</v>
      </c>
      <c r="C284" s="164"/>
      <c r="D284" s="165">
        <v>44926</v>
      </c>
      <c r="E284" s="174">
        <v>30</v>
      </c>
      <c r="F284" s="165">
        <f t="shared" si="50"/>
        <v>44956</v>
      </c>
      <c r="G284" s="164">
        <f t="shared" si="51"/>
        <v>-30</v>
      </c>
      <c r="H284" s="166">
        <f t="shared" si="56"/>
        <v>284583932</v>
      </c>
      <c r="I284" s="164"/>
      <c r="J284" s="164"/>
      <c r="K284" s="164"/>
      <c r="L284" s="164"/>
    </row>
    <row r="285" spans="1:12">
      <c r="A285" s="164" t="s">
        <v>254</v>
      </c>
      <c r="B285" s="173">
        <v>138187230</v>
      </c>
      <c r="C285" s="164"/>
      <c r="D285" s="165">
        <v>44729</v>
      </c>
      <c r="E285" s="174">
        <v>30</v>
      </c>
      <c r="F285" s="165">
        <f t="shared" si="50"/>
        <v>44759</v>
      </c>
      <c r="G285" s="164">
        <f t="shared" si="51"/>
        <v>167</v>
      </c>
      <c r="H285" s="164"/>
      <c r="I285" s="164"/>
      <c r="J285" s="164"/>
      <c r="K285" s="164"/>
      <c r="L285" s="166">
        <f t="shared" ref="L285:L286" si="57">B285</f>
        <v>138187230</v>
      </c>
    </row>
    <row r="286" spans="1:12">
      <c r="A286" s="164" t="s">
        <v>254</v>
      </c>
      <c r="B286" s="173">
        <v>124641393</v>
      </c>
      <c r="C286" s="164"/>
      <c r="D286" s="165">
        <v>44742</v>
      </c>
      <c r="E286" s="174">
        <v>30</v>
      </c>
      <c r="F286" s="165">
        <f t="shared" si="50"/>
        <v>44772</v>
      </c>
      <c r="G286" s="164">
        <f t="shared" si="51"/>
        <v>154</v>
      </c>
      <c r="H286" s="164"/>
      <c r="I286" s="164"/>
      <c r="J286" s="164"/>
      <c r="K286" s="164"/>
      <c r="L286" s="166">
        <f t="shared" si="57"/>
        <v>124641393</v>
      </c>
    </row>
    <row r="287" spans="1:12">
      <c r="A287" s="164" t="s">
        <v>254</v>
      </c>
      <c r="B287" s="173">
        <v>146468496</v>
      </c>
      <c r="C287" s="164"/>
      <c r="D287" s="165">
        <v>44926</v>
      </c>
      <c r="E287" s="174">
        <v>30</v>
      </c>
      <c r="F287" s="165">
        <f t="shared" si="50"/>
        <v>44956</v>
      </c>
      <c r="G287" s="164">
        <f t="shared" si="51"/>
        <v>-30</v>
      </c>
      <c r="H287" s="166">
        <f>B287</f>
        <v>146468496</v>
      </c>
      <c r="I287" s="164"/>
      <c r="J287" s="164"/>
      <c r="K287" s="164"/>
      <c r="L287" s="164"/>
    </row>
    <row r="288" spans="1:12">
      <c r="A288" s="164" t="s">
        <v>254</v>
      </c>
      <c r="B288" s="173">
        <v>87490171</v>
      </c>
      <c r="C288" s="164"/>
      <c r="D288" s="165">
        <v>44832</v>
      </c>
      <c r="E288" s="174">
        <v>30</v>
      </c>
      <c r="F288" s="165">
        <f t="shared" si="50"/>
        <v>44862</v>
      </c>
      <c r="G288" s="164">
        <f t="shared" si="51"/>
        <v>64</v>
      </c>
      <c r="H288" s="164"/>
      <c r="I288" s="164"/>
      <c r="J288" s="164"/>
      <c r="K288" s="166">
        <f>B288</f>
        <v>87490171</v>
      </c>
      <c r="L288" s="164"/>
    </row>
    <row r="289" spans="1:12">
      <c r="A289" s="164" t="s">
        <v>254</v>
      </c>
      <c r="B289" s="173">
        <v>76287891</v>
      </c>
      <c r="C289" s="164"/>
      <c r="D289" s="165">
        <v>44922</v>
      </c>
      <c r="E289" s="174">
        <v>30</v>
      </c>
      <c r="F289" s="165">
        <f t="shared" si="50"/>
        <v>44952</v>
      </c>
      <c r="G289" s="164">
        <f t="shared" si="51"/>
        <v>-26</v>
      </c>
      <c r="H289" s="166">
        <f t="shared" ref="H289:H308" si="58">B289</f>
        <v>76287891</v>
      </c>
      <c r="I289" s="164"/>
      <c r="J289" s="164"/>
      <c r="K289" s="164"/>
      <c r="L289" s="164"/>
    </row>
    <row r="290" spans="1:12">
      <c r="A290" s="164" t="s">
        <v>254</v>
      </c>
      <c r="B290" s="173">
        <v>397148890</v>
      </c>
      <c r="C290" s="164"/>
      <c r="D290" s="165">
        <v>44921</v>
      </c>
      <c r="E290" s="174">
        <v>30</v>
      </c>
      <c r="F290" s="165">
        <f t="shared" si="50"/>
        <v>44951</v>
      </c>
      <c r="G290" s="164">
        <f t="shared" si="51"/>
        <v>-25</v>
      </c>
      <c r="H290" s="166">
        <f t="shared" si="58"/>
        <v>397148890</v>
      </c>
      <c r="I290" s="164"/>
      <c r="J290" s="164"/>
      <c r="K290" s="164"/>
      <c r="L290" s="164"/>
    </row>
    <row r="291" spans="1:12">
      <c r="A291" s="164" t="s">
        <v>254</v>
      </c>
      <c r="B291" s="173">
        <v>64105618</v>
      </c>
      <c r="C291" s="164"/>
      <c r="D291" s="165">
        <v>44923</v>
      </c>
      <c r="E291" s="174">
        <v>30</v>
      </c>
      <c r="F291" s="165">
        <f t="shared" si="50"/>
        <v>44953</v>
      </c>
      <c r="G291" s="164">
        <f t="shared" si="51"/>
        <v>-27</v>
      </c>
      <c r="H291" s="166">
        <f t="shared" si="58"/>
        <v>64105618</v>
      </c>
      <c r="I291" s="164"/>
      <c r="J291" s="164"/>
      <c r="K291" s="164"/>
      <c r="L291" s="164"/>
    </row>
    <row r="292" spans="1:12">
      <c r="A292" s="164" t="s">
        <v>254</v>
      </c>
      <c r="B292" s="173">
        <v>365390977</v>
      </c>
      <c r="C292" s="164"/>
      <c r="D292" s="165">
        <v>44926</v>
      </c>
      <c r="E292" s="174">
        <v>30</v>
      </c>
      <c r="F292" s="165">
        <f t="shared" si="50"/>
        <v>44956</v>
      </c>
      <c r="G292" s="164">
        <f t="shared" si="51"/>
        <v>-30</v>
      </c>
      <c r="H292" s="166">
        <f t="shared" si="58"/>
        <v>365390977</v>
      </c>
      <c r="I292" s="164"/>
      <c r="J292" s="164"/>
      <c r="K292" s="164"/>
      <c r="L292" s="164"/>
    </row>
    <row r="293" spans="1:12">
      <c r="A293" s="164" t="s">
        <v>254</v>
      </c>
      <c r="B293" s="173">
        <v>302045941</v>
      </c>
      <c r="C293" s="164"/>
      <c r="D293" s="165">
        <v>44926</v>
      </c>
      <c r="E293" s="174">
        <v>30</v>
      </c>
      <c r="F293" s="165">
        <f t="shared" si="50"/>
        <v>44956</v>
      </c>
      <c r="G293" s="164">
        <f t="shared" si="51"/>
        <v>-30</v>
      </c>
      <c r="H293" s="166">
        <f t="shared" si="58"/>
        <v>302045941</v>
      </c>
      <c r="I293" s="164"/>
      <c r="J293" s="164"/>
      <c r="K293" s="164"/>
      <c r="L293" s="164"/>
    </row>
    <row r="294" spans="1:12">
      <c r="A294" s="164" t="s">
        <v>254</v>
      </c>
      <c r="B294" s="173">
        <v>302045941</v>
      </c>
      <c r="C294" s="164"/>
      <c r="D294" s="165">
        <v>44926</v>
      </c>
      <c r="E294" s="174">
        <v>30</v>
      </c>
      <c r="F294" s="165">
        <f t="shared" si="50"/>
        <v>44956</v>
      </c>
      <c r="G294" s="164">
        <f t="shared" si="51"/>
        <v>-30</v>
      </c>
      <c r="H294" s="166">
        <f t="shared" si="58"/>
        <v>302045941</v>
      </c>
      <c r="I294" s="164"/>
      <c r="J294" s="164"/>
      <c r="K294" s="164"/>
      <c r="L294" s="164"/>
    </row>
    <row r="295" spans="1:12">
      <c r="A295" s="164" t="s">
        <v>254</v>
      </c>
      <c r="B295" s="173">
        <v>284583932</v>
      </c>
      <c r="C295" s="164"/>
      <c r="D295" s="165">
        <v>44945</v>
      </c>
      <c r="E295" s="174">
        <v>30</v>
      </c>
      <c r="F295" s="165">
        <f t="shared" si="50"/>
        <v>44975</v>
      </c>
      <c r="G295" s="164">
        <f t="shared" si="51"/>
        <v>-49</v>
      </c>
      <c r="H295" s="166">
        <f t="shared" si="58"/>
        <v>284583932</v>
      </c>
      <c r="I295" s="164"/>
      <c r="J295" s="164"/>
      <c r="K295" s="164"/>
      <c r="L295" s="164"/>
    </row>
    <row r="296" spans="1:12">
      <c r="A296" s="164" t="s">
        <v>254</v>
      </c>
      <c r="B296" s="173">
        <v>284583932</v>
      </c>
      <c r="C296" s="164"/>
      <c r="D296" s="165">
        <v>44926</v>
      </c>
      <c r="E296" s="174">
        <v>30</v>
      </c>
      <c r="F296" s="165">
        <f t="shared" si="50"/>
        <v>44956</v>
      </c>
      <c r="G296" s="164">
        <f t="shared" si="51"/>
        <v>-30</v>
      </c>
      <c r="H296" s="166">
        <f t="shared" si="58"/>
        <v>284583932</v>
      </c>
      <c r="I296" s="164"/>
      <c r="J296" s="164"/>
      <c r="K296" s="164"/>
      <c r="L296" s="164"/>
    </row>
    <row r="297" spans="1:12">
      <c r="A297" s="164" t="s">
        <v>254</v>
      </c>
      <c r="B297" s="173">
        <v>284583932</v>
      </c>
      <c r="C297" s="164"/>
      <c r="D297" s="165">
        <v>44926</v>
      </c>
      <c r="E297" s="174">
        <v>30</v>
      </c>
      <c r="F297" s="165">
        <f t="shared" si="50"/>
        <v>44956</v>
      </c>
      <c r="G297" s="164">
        <f t="shared" si="51"/>
        <v>-30</v>
      </c>
      <c r="H297" s="166">
        <f t="shared" si="58"/>
        <v>284583932</v>
      </c>
      <c r="I297" s="164"/>
      <c r="J297" s="164"/>
      <c r="K297" s="164"/>
      <c r="L297" s="164"/>
    </row>
    <row r="298" spans="1:12">
      <c r="A298" s="164" t="s">
        <v>254</v>
      </c>
      <c r="B298" s="173">
        <v>295372601</v>
      </c>
      <c r="C298" s="164"/>
      <c r="D298" s="165">
        <v>44926</v>
      </c>
      <c r="E298" s="174">
        <v>30</v>
      </c>
      <c r="F298" s="165">
        <f t="shared" si="50"/>
        <v>44956</v>
      </c>
      <c r="G298" s="164">
        <f t="shared" si="51"/>
        <v>-30</v>
      </c>
      <c r="H298" s="166">
        <f t="shared" si="58"/>
        <v>295372601</v>
      </c>
      <c r="I298" s="164"/>
      <c r="J298" s="164"/>
      <c r="K298" s="164"/>
      <c r="L298" s="164"/>
    </row>
    <row r="299" spans="1:12">
      <c r="A299" s="164" t="s">
        <v>254</v>
      </c>
      <c r="B299" s="173">
        <v>295372601</v>
      </c>
      <c r="C299" s="164"/>
      <c r="D299" s="165">
        <v>44923</v>
      </c>
      <c r="E299" s="174">
        <v>30</v>
      </c>
      <c r="F299" s="165">
        <f t="shared" si="50"/>
        <v>44953</v>
      </c>
      <c r="G299" s="164">
        <f t="shared" si="51"/>
        <v>-27</v>
      </c>
      <c r="H299" s="166">
        <f t="shared" si="58"/>
        <v>295372601</v>
      </c>
      <c r="I299" s="164"/>
      <c r="J299" s="164"/>
      <c r="K299" s="164"/>
      <c r="L299" s="164"/>
    </row>
    <row r="300" spans="1:12">
      <c r="A300" s="164" t="s">
        <v>254</v>
      </c>
      <c r="B300" s="173">
        <v>284583932</v>
      </c>
      <c r="C300" s="164"/>
      <c r="D300" s="165">
        <v>44923</v>
      </c>
      <c r="E300" s="174">
        <v>30</v>
      </c>
      <c r="F300" s="165">
        <f t="shared" si="50"/>
        <v>44953</v>
      </c>
      <c r="G300" s="164">
        <f t="shared" si="51"/>
        <v>-27</v>
      </c>
      <c r="H300" s="166">
        <f t="shared" si="58"/>
        <v>284583932</v>
      </c>
      <c r="I300" s="164"/>
      <c r="J300" s="164"/>
      <c r="K300" s="164"/>
      <c r="L300" s="164"/>
    </row>
    <row r="301" spans="1:12">
      <c r="A301" s="164" t="s">
        <v>254</v>
      </c>
      <c r="B301" s="173">
        <v>284583932</v>
      </c>
      <c r="C301" s="164"/>
      <c r="D301" s="165">
        <v>44926</v>
      </c>
      <c r="E301" s="174">
        <v>30</v>
      </c>
      <c r="F301" s="165">
        <f t="shared" si="50"/>
        <v>44956</v>
      </c>
      <c r="G301" s="164">
        <f t="shared" si="51"/>
        <v>-30</v>
      </c>
      <c r="H301" s="166">
        <f t="shared" si="58"/>
        <v>284583932</v>
      </c>
      <c r="I301" s="164"/>
      <c r="J301" s="164"/>
      <c r="K301" s="164"/>
      <c r="L301" s="164"/>
    </row>
    <row r="302" spans="1:12">
      <c r="A302" s="164" t="s">
        <v>254</v>
      </c>
      <c r="B302" s="173">
        <v>284583932</v>
      </c>
      <c r="C302" s="164"/>
      <c r="D302" s="165">
        <v>44926</v>
      </c>
      <c r="E302" s="174">
        <v>30</v>
      </c>
      <c r="F302" s="165">
        <f t="shared" si="50"/>
        <v>44956</v>
      </c>
      <c r="G302" s="164">
        <f t="shared" si="51"/>
        <v>-30</v>
      </c>
      <c r="H302" s="166">
        <f t="shared" si="58"/>
        <v>284583932</v>
      </c>
      <c r="I302" s="164"/>
      <c r="J302" s="164"/>
      <c r="K302" s="164"/>
      <c r="L302" s="164"/>
    </row>
    <row r="303" spans="1:12">
      <c r="A303" s="164" t="s">
        <v>254</v>
      </c>
      <c r="B303" s="173">
        <v>284583932</v>
      </c>
      <c r="C303" s="164"/>
      <c r="D303" s="165">
        <v>44926</v>
      </c>
      <c r="E303" s="174">
        <v>30</v>
      </c>
      <c r="F303" s="165">
        <f t="shared" si="50"/>
        <v>44956</v>
      </c>
      <c r="G303" s="164">
        <f t="shared" si="51"/>
        <v>-30</v>
      </c>
      <c r="H303" s="166">
        <f t="shared" si="58"/>
        <v>284583932</v>
      </c>
      <c r="I303" s="164"/>
      <c r="J303" s="164"/>
      <c r="K303" s="164"/>
      <c r="L303" s="164"/>
    </row>
    <row r="304" spans="1:12">
      <c r="A304" s="164" t="s">
        <v>254</v>
      </c>
      <c r="B304" s="173">
        <v>302045941</v>
      </c>
      <c r="C304" s="164"/>
      <c r="D304" s="165">
        <v>44926</v>
      </c>
      <c r="E304" s="174">
        <v>30</v>
      </c>
      <c r="F304" s="165">
        <f t="shared" si="50"/>
        <v>44956</v>
      </c>
      <c r="G304" s="164">
        <f t="shared" si="51"/>
        <v>-30</v>
      </c>
      <c r="H304" s="166">
        <f t="shared" si="58"/>
        <v>302045941</v>
      </c>
      <c r="I304" s="164"/>
      <c r="J304" s="164"/>
      <c r="K304" s="164"/>
      <c r="L304" s="164"/>
    </row>
    <row r="305" spans="1:13">
      <c r="A305" s="164" t="s">
        <v>254</v>
      </c>
      <c r="B305" s="173">
        <v>365390977</v>
      </c>
      <c r="C305" s="164"/>
      <c r="D305" s="165">
        <v>44926</v>
      </c>
      <c r="E305" s="174">
        <v>30</v>
      </c>
      <c r="F305" s="165">
        <f t="shared" si="50"/>
        <v>44956</v>
      </c>
      <c r="G305" s="164">
        <f t="shared" si="51"/>
        <v>-30</v>
      </c>
      <c r="H305" s="166">
        <f t="shared" si="58"/>
        <v>365390977</v>
      </c>
      <c r="I305" s="164"/>
      <c r="J305" s="164"/>
      <c r="K305" s="164"/>
      <c r="L305" s="164"/>
    </row>
    <row r="306" spans="1:13">
      <c r="A306" s="164" t="s">
        <v>254</v>
      </c>
      <c r="B306" s="173">
        <v>365390977</v>
      </c>
      <c r="C306" s="164"/>
      <c r="D306" s="165">
        <v>44926</v>
      </c>
      <c r="E306" s="174">
        <v>30</v>
      </c>
      <c r="F306" s="165">
        <f t="shared" si="50"/>
        <v>44956</v>
      </c>
      <c r="G306" s="164">
        <f t="shared" si="51"/>
        <v>-30</v>
      </c>
      <c r="H306" s="166">
        <f t="shared" si="58"/>
        <v>365390977</v>
      </c>
      <c r="I306" s="164"/>
      <c r="J306" s="164"/>
      <c r="K306" s="164"/>
      <c r="L306" s="164"/>
    </row>
    <row r="307" spans="1:13">
      <c r="A307" s="164" t="s">
        <v>254</v>
      </c>
      <c r="B307" s="173">
        <v>365390977</v>
      </c>
      <c r="C307" s="164"/>
      <c r="D307" s="165">
        <v>44926</v>
      </c>
      <c r="E307" s="174">
        <v>30</v>
      </c>
      <c r="F307" s="165">
        <f t="shared" si="50"/>
        <v>44956</v>
      </c>
      <c r="G307" s="164">
        <f t="shared" si="51"/>
        <v>-30</v>
      </c>
      <c r="H307" s="166">
        <f t="shared" si="58"/>
        <v>365390977</v>
      </c>
      <c r="I307" s="164"/>
      <c r="J307" s="164"/>
      <c r="K307" s="164"/>
      <c r="L307" s="164"/>
    </row>
    <row r="308" spans="1:13">
      <c r="A308" s="164" t="s">
        <v>254</v>
      </c>
      <c r="B308" s="173">
        <v>365390977</v>
      </c>
      <c r="C308" s="164"/>
      <c r="D308" s="165">
        <v>44926</v>
      </c>
      <c r="E308" s="174">
        <v>30</v>
      </c>
      <c r="F308" s="165">
        <f t="shared" si="50"/>
        <v>44956</v>
      </c>
      <c r="G308" s="164">
        <f t="shared" si="51"/>
        <v>-30</v>
      </c>
      <c r="H308" s="166">
        <f t="shared" si="58"/>
        <v>365390977</v>
      </c>
      <c r="I308" s="164"/>
      <c r="J308" s="164"/>
      <c r="K308" s="164"/>
      <c r="L308" s="164"/>
    </row>
    <row r="309" spans="1:13" s="158" customFormat="1">
      <c r="A309" s="176" t="s">
        <v>246</v>
      </c>
      <c r="B309" s="177">
        <f>SUM(B6:B308)</f>
        <v>23019117330</v>
      </c>
      <c r="H309" s="177">
        <f>SUM(H6:H308)</f>
        <v>18791185975</v>
      </c>
      <c r="I309" s="177">
        <f>SUM(I6:I308)</f>
        <v>1424588796</v>
      </c>
      <c r="J309" s="177">
        <f t="shared" ref="J309:L309" si="59">SUM(J6:J308)</f>
        <v>392915468</v>
      </c>
      <c r="K309" s="177">
        <f t="shared" si="59"/>
        <v>1110656008</v>
      </c>
      <c r="L309" s="177">
        <f t="shared" si="59"/>
        <v>1299771083</v>
      </c>
    </row>
    <row r="310" spans="1:13">
      <c r="A310" s="178" t="s">
        <v>243</v>
      </c>
      <c r="B310" s="179">
        <f>23019876420-759090</f>
        <v>23019117330</v>
      </c>
    </row>
    <row r="311" spans="1:13">
      <c r="B311" s="180">
        <f>B309-B310</f>
        <v>0</v>
      </c>
    </row>
    <row r="314" spans="1:13">
      <c r="H314" s="180">
        <f>SUM(H246:H308)</f>
        <v>13914885977</v>
      </c>
      <c r="I314" s="180">
        <f>SUM(I246:I308)</f>
        <v>277466256</v>
      </c>
      <c r="J314" s="180">
        <f>SUM(J246:J308)</f>
        <v>0</v>
      </c>
      <c r="K314" s="180">
        <f>SUM(K246:K308)</f>
        <v>370548385</v>
      </c>
      <c r="L314" s="180">
        <f>SUM(L246:L308)</f>
        <v>864125368</v>
      </c>
      <c r="M314" s="180">
        <f>SUM(H314:L314)</f>
        <v>15427025986</v>
      </c>
    </row>
    <row r="315" spans="1:13">
      <c r="H315" s="206">
        <f>H314/$M$314</f>
        <v>0.90198110702787015</v>
      </c>
      <c r="I315" s="206">
        <f>I314/$M$314</f>
        <v>1.7985725586499961E-2</v>
      </c>
      <c r="K315" s="206">
        <f>K314/$M$314</f>
        <v>2.4019430921829784E-2</v>
      </c>
      <c r="L315" s="206">
        <f>L314/$M$314</f>
        <v>5.6013736463800104E-2</v>
      </c>
    </row>
  </sheetData>
  <autoFilter ref="A5:L311" xr:uid="{EA740C41-3EFC-4FD0-8743-E262FFF5155F}"/>
  <mergeCells count="23">
    <mergeCell ref="A54:A59"/>
    <mergeCell ref="A6:A22"/>
    <mergeCell ref="A23:A27"/>
    <mergeCell ref="A32:A48"/>
    <mergeCell ref="A50:A51"/>
    <mergeCell ref="A52:A53"/>
    <mergeCell ref="A208:A209"/>
    <mergeCell ref="A61:A64"/>
    <mergeCell ref="A66:A67"/>
    <mergeCell ref="A68:A72"/>
    <mergeCell ref="A74:A76"/>
    <mergeCell ref="A77:A84"/>
    <mergeCell ref="A85:A108"/>
    <mergeCell ref="A109:A181"/>
    <mergeCell ref="A182:A183"/>
    <mergeCell ref="A184:A189"/>
    <mergeCell ref="A190:A203"/>
    <mergeCell ref="A204:A205"/>
    <mergeCell ref="A210:A214"/>
    <mergeCell ref="A215:A216"/>
    <mergeCell ref="A217:A223"/>
    <mergeCell ref="A225:A236"/>
    <mergeCell ref="A238:A243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2B1F-EACA-4F56-BE7F-EBB2A08E76D9}">
  <sheetPr>
    <tabColor theme="8" tint="0.39997558519241921"/>
  </sheetPr>
  <dimension ref="A1:L60"/>
  <sheetViews>
    <sheetView showGridLines="0" topLeftCell="A45" workbookViewId="0">
      <selection activeCell="C23" sqref="C23"/>
    </sheetView>
  </sheetViews>
  <sheetFormatPr defaultRowHeight="14.5"/>
  <cols>
    <col min="1" max="1" width="32.54296875" bestFit="1" customWidth="1"/>
    <col min="2" max="2" width="17.36328125" bestFit="1" customWidth="1"/>
    <col min="3" max="3" width="16.26953125" bestFit="1" customWidth="1"/>
    <col min="4" max="4" width="12" customWidth="1"/>
    <col min="5" max="5" width="12.1796875" style="142" bestFit="1" customWidth="1"/>
    <col min="6" max="6" width="18.6328125" bestFit="1" customWidth="1"/>
    <col min="7" max="7" width="13.36328125" hidden="1" customWidth="1"/>
    <col min="8" max="8" width="14.81640625" bestFit="1" customWidth="1"/>
    <col min="9" max="11" width="13.36328125" customWidth="1"/>
    <col min="12" max="12" width="16.26953125" bestFit="1" customWidth="1"/>
  </cols>
  <sheetData>
    <row r="1" spans="1:12">
      <c r="A1" s="21" t="s">
        <v>184</v>
      </c>
    </row>
    <row r="2" spans="1:12">
      <c r="A2" s="21" t="s">
        <v>172</v>
      </c>
    </row>
    <row r="3" spans="1:12">
      <c r="A3" s="181">
        <v>44561</v>
      </c>
    </row>
    <row r="5" spans="1:12">
      <c r="A5" s="1"/>
      <c r="B5" s="95"/>
      <c r="C5" s="379" t="s">
        <v>0</v>
      </c>
      <c r="D5" s="379"/>
      <c r="E5" s="379"/>
      <c r="F5" s="379"/>
      <c r="G5" s="380" t="s">
        <v>203</v>
      </c>
      <c r="H5" s="381"/>
      <c r="I5" s="381"/>
      <c r="J5" s="381"/>
      <c r="K5" s="381"/>
      <c r="L5" s="382"/>
    </row>
    <row r="6" spans="1:12">
      <c r="A6" s="2" t="s">
        <v>2</v>
      </c>
      <c r="B6" s="37" t="s">
        <v>3</v>
      </c>
      <c r="C6" s="37" t="s">
        <v>4</v>
      </c>
      <c r="D6" s="37" t="s">
        <v>5</v>
      </c>
      <c r="E6" s="37" t="s">
        <v>101</v>
      </c>
      <c r="F6" s="37" t="s">
        <v>7</v>
      </c>
      <c r="G6" s="112" t="s">
        <v>173</v>
      </c>
      <c r="H6" s="112" t="s">
        <v>174</v>
      </c>
      <c r="I6" s="112" t="s">
        <v>178</v>
      </c>
      <c r="J6" s="112" t="s">
        <v>175</v>
      </c>
      <c r="K6" s="112" t="s">
        <v>176</v>
      </c>
      <c r="L6" s="112" t="s">
        <v>177</v>
      </c>
    </row>
    <row r="7" spans="1:12">
      <c r="A7" s="1" t="s">
        <v>102</v>
      </c>
      <c r="B7" s="115">
        <v>3548129540</v>
      </c>
      <c r="C7" s="3" t="s">
        <v>255</v>
      </c>
      <c r="D7" s="9">
        <v>44561</v>
      </c>
      <c r="E7" s="182">
        <v>60</v>
      </c>
      <c r="F7" s="4">
        <f>D7+E7</f>
        <v>44621</v>
      </c>
      <c r="G7" s="1">
        <f t="shared" ref="G7:G13" si="0">$A$3-F7</f>
        <v>-60</v>
      </c>
      <c r="H7" s="39">
        <f>B7</f>
        <v>3548129540</v>
      </c>
      <c r="I7" s="1"/>
      <c r="J7" s="1"/>
      <c r="K7" s="1"/>
      <c r="L7" s="1"/>
    </row>
    <row r="8" spans="1:12">
      <c r="A8" s="1" t="s">
        <v>105</v>
      </c>
      <c r="B8" s="115">
        <v>1989098600</v>
      </c>
      <c r="C8" s="1" t="s">
        <v>256</v>
      </c>
      <c r="D8" s="4">
        <v>44558</v>
      </c>
      <c r="E8" s="182">
        <v>60</v>
      </c>
      <c r="F8" s="4">
        <f t="shared" ref="F8:F30" si="1">D8+E8</f>
        <v>44618</v>
      </c>
      <c r="G8" s="1">
        <f t="shared" si="0"/>
        <v>-57</v>
      </c>
      <c r="H8" s="39">
        <f t="shared" ref="H8:H13" si="2">B8</f>
        <v>1989098600</v>
      </c>
      <c r="I8" s="1"/>
      <c r="J8" s="1"/>
      <c r="K8" s="1"/>
      <c r="L8" s="1"/>
    </row>
    <row r="9" spans="1:12">
      <c r="A9" s="1" t="s">
        <v>107</v>
      </c>
      <c r="B9" s="115">
        <v>2179230314</v>
      </c>
      <c r="C9" s="1" t="s">
        <v>257</v>
      </c>
      <c r="D9" s="4">
        <v>44561</v>
      </c>
      <c r="E9" s="182">
        <v>60</v>
      </c>
      <c r="F9" s="4">
        <f t="shared" si="1"/>
        <v>44621</v>
      </c>
      <c r="G9" s="1">
        <f t="shared" si="0"/>
        <v>-60</v>
      </c>
      <c r="H9" s="39">
        <f t="shared" si="2"/>
        <v>2179230314</v>
      </c>
      <c r="I9" s="1"/>
      <c r="J9" s="1"/>
      <c r="K9" s="1"/>
      <c r="L9" s="1"/>
    </row>
    <row r="10" spans="1:12">
      <c r="A10" s="1" t="s">
        <v>111</v>
      </c>
      <c r="B10" s="115">
        <v>1844994876</v>
      </c>
      <c r="C10" s="1"/>
      <c r="D10" s="4">
        <v>44537</v>
      </c>
      <c r="E10" s="182">
        <v>60</v>
      </c>
      <c r="F10" s="4">
        <f t="shared" si="1"/>
        <v>44597</v>
      </c>
      <c r="G10" s="1">
        <f t="shared" si="0"/>
        <v>-36</v>
      </c>
      <c r="H10" s="39">
        <f t="shared" si="2"/>
        <v>1844994876</v>
      </c>
      <c r="I10" s="1"/>
      <c r="J10" s="1"/>
      <c r="K10" s="1"/>
      <c r="L10" s="1"/>
    </row>
    <row r="11" spans="1:12">
      <c r="A11" s="1" t="s">
        <v>111</v>
      </c>
      <c r="B11" s="115">
        <v>2498644590</v>
      </c>
      <c r="C11" s="1" t="s">
        <v>258</v>
      </c>
      <c r="D11" s="4">
        <v>44554</v>
      </c>
      <c r="E11" s="182">
        <v>60</v>
      </c>
      <c r="F11" s="4">
        <f t="shared" si="1"/>
        <v>44614</v>
      </c>
      <c r="G11" s="1">
        <f t="shared" si="0"/>
        <v>-53</v>
      </c>
      <c r="H11" s="39">
        <f t="shared" si="2"/>
        <v>2498644590</v>
      </c>
      <c r="I11" s="1"/>
      <c r="J11" s="1"/>
      <c r="K11" s="1"/>
      <c r="L11" s="1"/>
    </row>
    <row r="12" spans="1:12">
      <c r="A12" s="1" t="s">
        <v>111</v>
      </c>
      <c r="B12" s="115">
        <v>2425730000</v>
      </c>
      <c r="C12" s="1" t="s">
        <v>106</v>
      </c>
      <c r="D12" s="4">
        <v>44561</v>
      </c>
      <c r="E12" s="182">
        <v>60</v>
      </c>
      <c r="F12" s="4">
        <f t="shared" si="1"/>
        <v>44621</v>
      </c>
      <c r="G12" s="1">
        <f t="shared" si="0"/>
        <v>-60</v>
      </c>
      <c r="H12" s="39">
        <f t="shared" si="2"/>
        <v>2425730000</v>
      </c>
      <c r="I12" s="1"/>
      <c r="J12" s="1"/>
      <c r="K12" s="1"/>
      <c r="L12" s="1"/>
    </row>
    <row r="13" spans="1:12">
      <c r="A13" s="1" t="s">
        <v>259</v>
      </c>
      <c r="B13" s="115">
        <v>1330066570</v>
      </c>
      <c r="C13" s="1" t="s">
        <v>106</v>
      </c>
      <c r="D13" s="4">
        <v>44561</v>
      </c>
      <c r="E13" s="182">
        <v>60</v>
      </c>
      <c r="F13" s="4">
        <f t="shared" si="1"/>
        <v>44621</v>
      </c>
      <c r="G13" s="1">
        <f t="shared" si="0"/>
        <v>-60</v>
      </c>
      <c r="H13" s="39">
        <f t="shared" si="2"/>
        <v>1330066570</v>
      </c>
      <c r="I13" s="1"/>
      <c r="J13" s="1"/>
      <c r="K13" s="1"/>
      <c r="L13" s="1"/>
    </row>
    <row r="14" spans="1:12">
      <c r="A14" s="6"/>
      <c r="B14" s="183"/>
      <c r="C14" s="6"/>
      <c r="D14" s="6"/>
      <c r="E14" s="184"/>
      <c r="F14" s="1"/>
      <c r="G14" s="1"/>
      <c r="H14" s="1"/>
      <c r="I14" s="1"/>
      <c r="J14" s="1"/>
      <c r="K14" s="1"/>
      <c r="L14" s="1"/>
    </row>
    <row r="15" spans="1:12">
      <c r="A15" s="1" t="s">
        <v>113</v>
      </c>
      <c r="B15" s="3">
        <v>1850000</v>
      </c>
      <c r="C15" s="1"/>
      <c r="D15" s="4">
        <v>44539</v>
      </c>
      <c r="E15" s="182">
        <v>30</v>
      </c>
      <c r="F15" s="4">
        <f t="shared" si="1"/>
        <v>44569</v>
      </c>
      <c r="G15" s="1">
        <f t="shared" ref="G15:G21" si="3">$A$3-F15</f>
        <v>-8</v>
      </c>
      <c r="H15" s="39">
        <f t="shared" ref="H15:H21" si="4">B15</f>
        <v>1850000</v>
      </c>
      <c r="I15" s="1"/>
      <c r="J15" s="1"/>
      <c r="K15" s="1"/>
      <c r="L15" s="1"/>
    </row>
    <row r="16" spans="1:12">
      <c r="A16" s="1" t="s">
        <v>113</v>
      </c>
      <c r="B16" s="3">
        <v>1850000</v>
      </c>
      <c r="C16" s="1"/>
      <c r="D16" s="4">
        <v>44547</v>
      </c>
      <c r="E16" s="182">
        <v>30</v>
      </c>
      <c r="F16" s="4">
        <f t="shared" si="1"/>
        <v>44577</v>
      </c>
      <c r="G16" s="1">
        <f t="shared" si="3"/>
        <v>-16</v>
      </c>
      <c r="H16" s="39">
        <f t="shared" si="4"/>
        <v>1850000</v>
      </c>
      <c r="I16" s="1"/>
      <c r="J16" s="1"/>
      <c r="K16" s="1"/>
      <c r="L16" s="1"/>
    </row>
    <row r="17" spans="1:12">
      <c r="A17" s="1" t="s">
        <v>113</v>
      </c>
      <c r="B17" s="3">
        <v>1850000</v>
      </c>
      <c r="C17" s="1"/>
      <c r="D17" s="4">
        <v>44551</v>
      </c>
      <c r="E17" s="182">
        <v>30</v>
      </c>
      <c r="F17" s="4">
        <f t="shared" si="1"/>
        <v>44581</v>
      </c>
      <c r="G17" s="1">
        <f t="shared" si="3"/>
        <v>-20</v>
      </c>
      <c r="H17" s="39">
        <f t="shared" si="4"/>
        <v>1850000</v>
      </c>
      <c r="I17" s="1"/>
      <c r="J17" s="1"/>
      <c r="K17" s="1"/>
      <c r="L17" s="1"/>
    </row>
    <row r="18" spans="1:12">
      <c r="A18" s="1" t="s">
        <v>113</v>
      </c>
      <c r="B18" s="3">
        <v>3330000</v>
      </c>
      <c r="C18" s="1"/>
      <c r="D18" s="4">
        <v>44551</v>
      </c>
      <c r="E18" s="182">
        <v>30</v>
      </c>
      <c r="F18" s="4">
        <f t="shared" si="1"/>
        <v>44581</v>
      </c>
      <c r="G18" s="1">
        <f t="shared" si="3"/>
        <v>-20</v>
      </c>
      <c r="H18" s="39">
        <f t="shared" si="4"/>
        <v>3330000</v>
      </c>
      <c r="I18" s="1"/>
      <c r="J18" s="1"/>
      <c r="K18" s="1"/>
      <c r="L18" s="1"/>
    </row>
    <row r="19" spans="1:12">
      <c r="A19" s="1" t="s">
        <v>113</v>
      </c>
      <c r="B19" s="3">
        <v>1480000</v>
      </c>
      <c r="C19" s="1"/>
      <c r="D19" s="4">
        <v>44553</v>
      </c>
      <c r="E19" s="182">
        <v>30</v>
      </c>
      <c r="F19" s="4">
        <f t="shared" si="1"/>
        <v>44583</v>
      </c>
      <c r="G19" s="1">
        <f t="shared" si="3"/>
        <v>-22</v>
      </c>
      <c r="H19" s="39">
        <f t="shared" si="4"/>
        <v>1480000</v>
      </c>
      <c r="I19" s="1"/>
      <c r="J19" s="1"/>
      <c r="K19" s="1"/>
      <c r="L19" s="1"/>
    </row>
    <row r="20" spans="1:12">
      <c r="A20" s="1" t="s">
        <v>113</v>
      </c>
      <c r="B20" s="3">
        <v>1480000</v>
      </c>
      <c r="C20" s="1"/>
      <c r="D20" s="4">
        <v>44556</v>
      </c>
      <c r="E20" s="182">
        <v>30</v>
      </c>
      <c r="F20" s="4">
        <f t="shared" si="1"/>
        <v>44586</v>
      </c>
      <c r="G20" s="1">
        <f t="shared" si="3"/>
        <v>-25</v>
      </c>
      <c r="H20" s="39">
        <f t="shared" si="4"/>
        <v>1480000</v>
      </c>
      <c r="I20" s="1"/>
      <c r="J20" s="1"/>
      <c r="K20" s="1"/>
      <c r="L20" s="1"/>
    </row>
    <row r="21" spans="1:12">
      <c r="A21" s="1" t="s">
        <v>125</v>
      </c>
      <c r="B21" s="115">
        <v>36235000</v>
      </c>
      <c r="C21" s="1"/>
      <c r="D21" s="185">
        <v>44546</v>
      </c>
      <c r="E21" s="182">
        <v>30</v>
      </c>
      <c r="F21" s="4">
        <f t="shared" si="1"/>
        <v>44576</v>
      </c>
      <c r="G21" s="1">
        <f t="shared" si="3"/>
        <v>-15</v>
      </c>
      <c r="H21" s="39">
        <f t="shared" si="4"/>
        <v>36235000</v>
      </c>
      <c r="I21" s="1"/>
      <c r="J21" s="1"/>
      <c r="K21" s="1"/>
      <c r="L21" s="1"/>
    </row>
    <row r="22" spans="1:12">
      <c r="A22" s="8"/>
      <c r="B22" s="186"/>
      <c r="C22" s="8"/>
      <c r="D22" s="8"/>
      <c r="E22" s="187"/>
      <c r="F22" s="1"/>
      <c r="G22" s="1"/>
      <c r="H22" s="1"/>
      <c r="I22" s="1"/>
      <c r="J22" s="1"/>
      <c r="K22" s="1"/>
      <c r="L22" s="1"/>
    </row>
    <row r="23" spans="1:12">
      <c r="A23" s="1" t="s">
        <v>260</v>
      </c>
      <c r="B23" s="3">
        <f>360000-38</f>
        <v>359962</v>
      </c>
      <c r="C23" s="1"/>
      <c r="D23" s="4">
        <v>44561</v>
      </c>
      <c r="E23" s="182">
        <v>30</v>
      </c>
      <c r="F23" s="4">
        <f t="shared" si="1"/>
        <v>44591</v>
      </c>
      <c r="G23" s="1">
        <f t="shared" ref="G23:G30" si="5">$A$3-F23</f>
        <v>-30</v>
      </c>
      <c r="H23" s="39">
        <f t="shared" ref="H23:H30" si="6">B23</f>
        <v>359962</v>
      </c>
      <c r="I23" s="1"/>
      <c r="J23" s="1"/>
      <c r="K23" s="1"/>
      <c r="L23" s="1"/>
    </row>
    <row r="24" spans="1:12">
      <c r="A24" s="1" t="s">
        <v>261</v>
      </c>
      <c r="B24" s="3">
        <v>1480000</v>
      </c>
      <c r="C24" s="1"/>
      <c r="D24" s="4">
        <v>44560</v>
      </c>
      <c r="E24" s="182">
        <v>30</v>
      </c>
      <c r="F24" s="4">
        <f t="shared" si="1"/>
        <v>44590</v>
      </c>
      <c r="G24" s="1">
        <f t="shared" si="5"/>
        <v>-29</v>
      </c>
      <c r="H24" s="39">
        <f t="shared" si="6"/>
        <v>1480000</v>
      </c>
      <c r="I24" s="1"/>
      <c r="J24" s="1"/>
      <c r="K24" s="1"/>
      <c r="L24" s="1"/>
    </row>
    <row r="25" spans="1:12">
      <c r="A25" s="1" t="s">
        <v>130</v>
      </c>
      <c r="B25" s="3">
        <v>370000</v>
      </c>
      <c r="C25" s="1"/>
      <c r="D25" s="4">
        <v>44561</v>
      </c>
      <c r="E25" s="182">
        <v>30</v>
      </c>
      <c r="F25" s="4">
        <f t="shared" si="1"/>
        <v>44591</v>
      </c>
      <c r="G25" s="1">
        <f t="shared" si="5"/>
        <v>-30</v>
      </c>
      <c r="H25" s="39">
        <f t="shared" si="6"/>
        <v>370000</v>
      </c>
      <c r="I25" s="1"/>
      <c r="J25" s="1"/>
      <c r="K25" s="1"/>
      <c r="L25" s="1"/>
    </row>
    <row r="26" spans="1:12">
      <c r="A26" s="1" t="s">
        <v>262</v>
      </c>
      <c r="B26" s="3">
        <v>9990000</v>
      </c>
      <c r="C26" s="1"/>
      <c r="D26" s="185">
        <v>44537</v>
      </c>
      <c r="E26" s="182">
        <v>30</v>
      </c>
      <c r="F26" s="4">
        <f t="shared" si="1"/>
        <v>44567</v>
      </c>
      <c r="G26" s="1">
        <f t="shared" si="5"/>
        <v>-6</v>
      </c>
      <c r="H26" s="39">
        <f t="shared" si="6"/>
        <v>9990000</v>
      </c>
      <c r="I26" s="1"/>
      <c r="J26" s="1"/>
      <c r="K26" s="1"/>
      <c r="L26" s="1"/>
    </row>
    <row r="27" spans="1:12">
      <c r="A27" s="1" t="s">
        <v>263</v>
      </c>
      <c r="B27" s="3">
        <v>2160000</v>
      </c>
      <c r="C27" s="1"/>
      <c r="D27" s="4">
        <v>44560</v>
      </c>
      <c r="E27" s="182">
        <v>30</v>
      </c>
      <c r="F27" s="4">
        <f t="shared" si="1"/>
        <v>44590</v>
      </c>
      <c r="G27" s="1">
        <f t="shared" si="5"/>
        <v>-29</v>
      </c>
      <c r="H27" s="39">
        <f t="shared" si="6"/>
        <v>2160000</v>
      </c>
      <c r="I27" s="1"/>
      <c r="J27" s="1"/>
      <c r="K27" s="1"/>
      <c r="L27" s="1"/>
    </row>
    <row r="28" spans="1:12">
      <c r="A28" s="1" t="s">
        <v>132</v>
      </c>
      <c r="B28" s="3">
        <v>740000</v>
      </c>
      <c r="C28" s="1"/>
      <c r="D28" s="4">
        <v>44560</v>
      </c>
      <c r="E28" s="182">
        <v>30</v>
      </c>
      <c r="F28" s="4">
        <f t="shared" si="1"/>
        <v>44590</v>
      </c>
      <c r="G28" s="1">
        <f t="shared" si="5"/>
        <v>-29</v>
      </c>
      <c r="H28" s="39">
        <f t="shared" si="6"/>
        <v>740000</v>
      </c>
      <c r="I28" s="1"/>
      <c r="J28" s="1"/>
      <c r="K28" s="1"/>
      <c r="L28" s="1"/>
    </row>
    <row r="29" spans="1:12">
      <c r="A29" s="1" t="s">
        <v>264</v>
      </c>
      <c r="B29" s="3">
        <v>740000</v>
      </c>
      <c r="C29" s="1"/>
      <c r="D29" s="4">
        <v>44561</v>
      </c>
      <c r="E29" s="182">
        <v>30</v>
      </c>
      <c r="F29" s="4">
        <f t="shared" si="1"/>
        <v>44591</v>
      </c>
      <c r="G29" s="1">
        <f t="shared" si="5"/>
        <v>-30</v>
      </c>
      <c r="H29" s="39">
        <f t="shared" si="6"/>
        <v>740000</v>
      </c>
      <c r="I29" s="1"/>
      <c r="J29" s="1"/>
      <c r="K29" s="1"/>
      <c r="L29" s="1"/>
    </row>
    <row r="30" spans="1:12">
      <c r="A30" s="1" t="s">
        <v>133</v>
      </c>
      <c r="B30" s="3">
        <v>2030000</v>
      </c>
      <c r="C30" s="1"/>
      <c r="D30" s="185">
        <v>44531</v>
      </c>
      <c r="E30" s="182">
        <v>30</v>
      </c>
      <c r="F30" s="4">
        <f t="shared" si="1"/>
        <v>44561</v>
      </c>
      <c r="G30" s="1">
        <f t="shared" si="5"/>
        <v>0</v>
      </c>
      <c r="H30" s="39">
        <f t="shared" si="6"/>
        <v>2030000</v>
      </c>
      <c r="I30" s="1"/>
      <c r="J30" s="1"/>
      <c r="K30" s="1"/>
      <c r="L30" s="1"/>
    </row>
    <row r="31" spans="1:12">
      <c r="A31" s="10"/>
      <c r="B31" s="188"/>
      <c r="C31" s="10"/>
      <c r="D31" s="11"/>
      <c r="E31" s="189"/>
      <c r="F31" s="1"/>
      <c r="G31" s="1"/>
      <c r="H31" s="1"/>
      <c r="I31" s="1"/>
      <c r="J31" s="1"/>
      <c r="K31" s="1"/>
      <c r="L31" s="1"/>
    </row>
    <row r="32" spans="1:12">
      <c r="A32" s="1" t="s">
        <v>265</v>
      </c>
      <c r="B32" s="3">
        <v>10500000</v>
      </c>
      <c r="C32" s="1"/>
      <c r="D32" s="4">
        <v>44561</v>
      </c>
      <c r="E32" s="182"/>
      <c r="F32" s="4"/>
      <c r="G32" s="1"/>
      <c r="H32" s="39"/>
      <c r="I32" s="1"/>
      <c r="J32" s="1"/>
      <c r="K32" s="1"/>
      <c r="L32" s="62">
        <f>B32</f>
        <v>10500000</v>
      </c>
    </row>
    <row r="33" spans="1:12">
      <c r="A33" s="1" t="s">
        <v>266</v>
      </c>
      <c r="B33" s="3">
        <v>500000000</v>
      </c>
      <c r="C33" s="1"/>
      <c r="D33" s="4">
        <v>44561</v>
      </c>
      <c r="E33" s="182"/>
      <c r="F33" s="4"/>
      <c r="G33" s="1"/>
      <c r="H33" s="39"/>
      <c r="I33" s="1"/>
      <c r="J33" s="1"/>
      <c r="K33" s="1"/>
      <c r="L33" s="62">
        <f t="shared" ref="L33:L34" si="7">B33</f>
        <v>500000000</v>
      </c>
    </row>
    <row r="34" spans="1:12">
      <c r="A34" s="1" t="s">
        <v>144</v>
      </c>
      <c r="B34" s="3">
        <v>6000000000</v>
      </c>
      <c r="C34" s="1"/>
      <c r="D34" s="4">
        <v>44561</v>
      </c>
      <c r="E34" s="182"/>
      <c r="F34" s="4"/>
      <c r="G34" s="1"/>
      <c r="H34" s="39"/>
      <c r="I34" s="1"/>
      <c r="J34" s="1"/>
      <c r="K34" s="1"/>
      <c r="L34" s="62">
        <f t="shared" si="7"/>
        <v>6000000000</v>
      </c>
    </row>
    <row r="35" spans="1:12">
      <c r="A35" s="190" t="s">
        <v>145</v>
      </c>
      <c r="B35" s="191">
        <v>192830036</v>
      </c>
      <c r="C35" s="1"/>
      <c r="D35" s="192">
        <v>44541</v>
      </c>
      <c r="E35" s="193">
        <v>30</v>
      </c>
      <c r="F35" s="192">
        <f>D35+E35</f>
        <v>44571</v>
      </c>
      <c r="G35" s="1">
        <f t="shared" ref="G35:G57" si="8">$A$3-F35</f>
        <v>-10</v>
      </c>
      <c r="H35" s="39">
        <f t="shared" ref="H35:H44" si="9">B35</f>
        <v>192830036</v>
      </c>
      <c r="I35" s="1"/>
      <c r="J35" s="1"/>
      <c r="K35" s="1"/>
      <c r="L35" s="1"/>
    </row>
    <row r="36" spans="1:12">
      <c r="A36" s="190" t="s">
        <v>145</v>
      </c>
      <c r="B36" s="191">
        <v>292293609</v>
      </c>
      <c r="C36" s="1"/>
      <c r="D36" s="192">
        <v>44547</v>
      </c>
      <c r="E36" s="193">
        <v>30</v>
      </c>
      <c r="F36" s="192">
        <f>D36+E36</f>
        <v>44577</v>
      </c>
      <c r="G36" s="1">
        <f t="shared" si="8"/>
        <v>-16</v>
      </c>
      <c r="H36" s="39">
        <f t="shared" si="9"/>
        <v>292293609</v>
      </c>
      <c r="I36" s="1"/>
      <c r="J36" s="1"/>
      <c r="K36" s="1"/>
      <c r="L36" s="1"/>
    </row>
    <row r="37" spans="1:12">
      <c r="A37" s="190" t="s">
        <v>145</v>
      </c>
      <c r="B37" s="191">
        <v>248342285</v>
      </c>
      <c r="C37" s="1"/>
      <c r="D37" s="4">
        <v>44551</v>
      </c>
      <c r="E37" s="193">
        <v>30</v>
      </c>
      <c r="F37" s="192">
        <f>D37+E37</f>
        <v>44581</v>
      </c>
      <c r="G37" s="1">
        <f t="shared" si="8"/>
        <v>-20</v>
      </c>
      <c r="H37" s="39">
        <f t="shared" si="9"/>
        <v>248342285</v>
      </c>
      <c r="I37" s="1"/>
      <c r="J37" s="1"/>
      <c r="K37" s="1"/>
      <c r="L37" s="1"/>
    </row>
    <row r="38" spans="1:12">
      <c r="A38" s="190" t="s">
        <v>145</v>
      </c>
      <c r="B38" s="191">
        <v>21178395</v>
      </c>
      <c r="C38" s="1"/>
      <c r="D38" s="4">
        <v>44558</v>
      </c>
      <c r="E38" s="193">
        <v>30</v>
      </c>
      <c r="F38" s="192">
        <f t="shared" ref="F38:F57" si="10">D38+E38</f>
        <v>44588</v>
      </c>
      <c r="G38" s="1">
        <f t="shared" si="8"/>
        <v>-27</v>
      </c>
      <c r="H38" s="39">
        <f t="shared" si="9"/>
        <v>21178395</v>
      </c>
      <c r="I38" s="1"/>
      <c r="J38" s="1"/>
      <c r="K38" s="1"/>
      <c r="L38" s="1"/>
    </row>
    <row r="39" spans="1:12">
      <c r="A39" s="190" t="s">
        <v>145</v>
      </c>
      <c r="B39" s="191">
        <v>292293609</v>
      </c>
      <c r="C39" s="1"/>
      <c r="D39" s="4">
        <v>44547</v>
      </c>
      <c r="E39" s="193">
        <v>30</v>
      </c>
      <c r="F39" s="192">
        <f t="shared" si="10"/>
        <v>44577</v>
      </c>
      <c r="G39" s="1">
        <f t="shared" si="8"/>
        <v>-16</v>
      </c>
      <c r="H39" s="39">
        <f t="shared" si="9"/>
        <v>292293609</v>
      </c>
      <c r="I39" s="1"/>
      <c r="J39" s="1"/>
      <c r="K39" s="1"/>
      <c r="L39" s="1"/>
    </row>
    <row r="40" spans="1:12">
      <c r="A40" s="190" t="s">
        <v>145</v>
      </c>
      <c r="B40" s="191">
        <v>228607619</v>
      </c>
      <c r="C40" s="1"/>
      <c r="D40" s="4">
        <v>44550</v>
      </c>
      <c r="E40" s="193">
        <v>30</v>
      </c>
      <c r="F40" s="192">
        <f t="shared" si="10"/>
        <v>44580</v>
      </c>
      <c r="G40" s="1">
        <f t="shared" si="8"/>
        <v>-19</v>
      </c>
      <c r="H40" s="39">
        <f t="shared" si="9"/>
        <v>228607619</v>
      </c>
      <c r="I40" s="1"/>
      <c r="J40" s="1"/>
      <c r="K40" s="1"/>
      <c r="L40" s="1"/>
    </row>
    <row r="41" spans="1:12">
      <c r="A41" s="190" t="s">
        <v>145</v>
      </c>
      <c r="B41" s="191">
        <v>228607619</v>
      </c>
      <c r="C41" s="1"/>
      <c r="D41" s="4">
        <v>44550</v>
      </c>
      <c r="E41" s="193">
        <v>30</v>
      </c>
      <c r="F41" s="192">
        <f t="shared" si="10"/>
        <v>44580</v>
      </c>
      <c r="G41" s="1">
        <f t="shared" si="8"/>
        <v>-19</v>
      </c>
      <c r="H41" s="39">
        <f t="shared" si="9"/>
        <v>228607619</v>
      </c>
      <c r="I41" s="1"/>
      <c r="J41" s="1"/>
      <c r="K41" s="1"/>
      <c r="L41" s="1"/>
    </row>
    <row r="42" spans="1:12">
      <c r="A42" s="190" t="s">
        <v>145</v>
      </c>
      <c r="B42" s="191">
        <v>228607619</v>
      </c>
      <c r="C42" s="1"/>
      <c r="D42" s="4">
        <v>44550</v>
      </c>
      <c r="E42" s="193">
        <v>30</v>
      </c>
      <c r="F42" s="192">
        <f t="shared" si="10"/>
        <v>44580</v>
      </c>
      <c r="G42" s="1">
        <f t="shared" si="8"/>
        <v>-19</v>
      </c>
      <c r="H42" s="39">
        <f t="shared" si="9"/>
        <v>228607619</v>
      </c>
      <c r="I42" s="1"/>
      <c r="J42" s="1"/>
      <c r="K42" s="1"/>
      <c r="L42" s="1"/>
    </row>
    <row r="43" spans="1:12">
      <c r="A43" s="190" t="s">
        <v>145</v>
      </c>
      <c r="B43" s="191">
        <v>59333284</v>
      </c>
      <c r="C43" s="1"/>
      <c r="D43" s="4">
        <v>44558</v>
      </c>
      <c r="E43" s="193">
        <v>30</v>
      </c>
      <c r="F43" s="192">
        <f t="shared" si="10"/>
        <v>44588</v>
      </c>
      <c r="G43" s="1">
        <f t="shared" si="8"/>
        <v>-27</v>
      </c>
      <c r="H43" s="39">
        <f t="shared" si="9"/>
        <v>59333284</v>
      </c>
      <c r="I43" s="1"/>
      <c r="J43" s="1"/>
      <c r="K43" s="1"/>
      <c r="L43" s="1"/>
    </row>
    <row r="44" spans="1:12">
      <c r="A44" s="190" t="s">
        <v>145</v>
      </c>
      <c r="B44" s="191">
        <v>59975125</v>
      </c>
      <c r="C44" s="1"/>
      <c r="D44" s="4">
        <v>44561</v>
      </c>
      <c r="E44" s="193">
        <v>30</v>
      </c>
      <c r="F44" s="192">
        <f t="shared" si="10"/>
        <v>44591</v>
      </c>
      <c r="G44" s="1">
        <f t="shared" si="8"/>
        <v>-30</v>
      </c>
      <c r="H44" s="39">
        <f t="shared" si="9"/>
        <v>59975125</v>
      </c>
      <c r="I44" s="1"/>
      <c r="J44" s="1"/>
      <c r="K44" s="1"/>
      <c r="L44" s="1"/>
    </row>
    <row r="45" spans="1:12">
      <c r="A45" s="190" t="s">
        <v>145</v>
      </c>
      <c r="B45" s="191">
        <v>46603233.600000001</v>
      </c>
      <c r="C45" s="1"/>
      <c r="D45" s="4">
        <v>44485</v>
      </c>
      <c r="E45" s="193">
        <v>30</v>
      </c>
      <c r="F45" s="192">
        <f t="shared" si="10"/>
        <v>44515</v>
      </c>
      <c r="G45" s="1">
        <f t="shared" si="8"/>
        <v>46</v>
      </c>
      <c r="H45" s="1"/>
      <c r="I45" s="1"/>
      <c r="J45" s="194">
        <f>B45</f>
        <v>46603233.600000001</v>
      </c>
      <c r="K45" s="1"/>
      <c r="L45" s="1"/>
    </row>
    <row r="46" spans="1:12">
      <c r="A46" s="190" t="s">
        <v>145</v>
      </c>
      <c r="B46" s="191">
        <v>28422451.199999999</v>
      </c>
      <c r="C46" s="1"/>
      <c r="D46" s="4">
        <v>44492</v>
      </c>
      <c r="E46" s="193">
        <v>30</v>
      </c>
      <c r="F46" s="192">
        <f t="shared" si="10"/>
        <v>44522</v>
      </c>
      <c r="G46" s="1">
        <f t="shared" si="8"/>
        <v>39</v>
      </c>
      <c r="H46" s="1"/>
      <c r="I46" s="1"/>
      <c r="J46" s="194">
        <f t="shared" ref="J46:J47" si="11">B46</f>
        <v>28422451.199999999</v>
      </c>
      <c r="K46" s="1"/>
      <c r="L46" s="1"/>
    </row>
    <row r="47" spans="1:12">
      <c r="A47" s="190" t="s">
        <v>145</v>
      </c>
      <c r="B47" s="191">
        <v>40844971.200000003</v>
      </c>
      <c r="C47" s="1"/>
      <c r="D47" s="4">
        <v>44497</v>
      </c>
      <c r="E47" s="193">
        <v>30</v>
      </c>
      <c r="F47" s="192">
        <f t="shared" si="10"/>
        <v>44527</v>
      </c>
      <c r="G47" s="1">
        <f t="shared" si="8"/>
        <v>34</v>
      </c>
      <c r="H47" s="1"/>
      <c r="I47" s="1"/>
      <c r="J47" s="194">
        <f t="shared" si="11"/>
        <v>40844971.200000003</v>
      </c>
      <c r="K47" s="1"/>
      <c r="L47" s="1"/>
    </row>
    <row r="48" spans="1:12">
      <c r="A48" s="190" t="s">
        <v>145</v>
      </c>
      <c r="B48" s="191">
        <v>59678361.600000001</v>
      </c>
      <c r="C48" s="1"/>
      <c r="D48" s="4">
        <v>44506</v>
      </c>
      <c r="E48" s="193">
        <v>30</v>
      </c>
      <c r="F48" s="192">
        <f t="shared" si="10"/>
        <v>44536</v>
      </c>
      <c r="G48" s="1">
        <f t="shared" si="8"/>
        <v>25</v>
      </c>
      <c r="H48" s="1"/>
      <c r="I48" s="194">
        <f>B48</f>
        <v>59678361.600000001</v>
      </c>
      <c r="J48" s="1"/>
      <c r="K48" s="1"/>
      <c r="L48" s="1"/>
    </row>
    <row r="49" spans="1:12">
      <c r="A49" s="190" t="s">
        <v>145</v>
      </c>
      <c r="B49" s="191">
        <v>72279451.200000003</v>
      </c>
      <c r="C49" s="1"/>
      <c r="D49" s="4">
        <v>44516</v>
      </c>
      <c r="E49" s="193">
        <v>30</v>
      </c>
      <c r="F49" s="192">
        <f t="shared" si="10"/>
        <v>44546</v>
      </c>
      <c r="G49" s="1">
        <f t="shared" si="8"/>
        <v>15</v>
      </c>
      <c r="H49" s="1"/>
      <c r="I49" s="194">
        <f t="shared" ref="I49:I50" si="12">B49</f>
        <v>72279451.200000003</v>
      </c>
      <c r="J49" s="1"/>
      <c r="K49" s="1"/>
      <c r="L49" s="1"/>
    </row>
    <row r="50" spans="1:12">
      <c r="A50" s="190" t="s">
        <v>145</v>
      </c>
      <c r="B50" s="191">
        <v>87947059.200000003</v>
      </c>
      <c r="C50" s="1"/>
      <c r="D50" s="4">
        <v>44527</v>
      </c>
      <c r="E50" s="193">
        <v>30</v>
      </c>
      <c r="F50" s="192">
        <f t="shared" si="10"/>
        <v>44557</v>
      </c>
      <c r="G50" s="1">
        <f t="shared" si="8"/>
        <v>4</v>
      </c>
      <c r="H50" s="1"/>
      <c r="I50" s="194">
        <f t="shared" si="12"/>
        <v>87947059.200000003</v>
      </c>
      <c r="J50" s="1"/>
      <c r="K50" s="1"/>
      <c r="L50" s="1"/>
    </row>
    <row r="51" spans="1:12">
      <c r="A51" s="190" t="s">
        <v>145</v>
      </c>
      <c r="B51" s="191">
        <v>113900186.40000001</v>
      </c>
      <c r="C51" s="1"/>
      <c r="D51" s="4">
        <v>44541</v>
      </c>
      <c r="E51" s="193">
        <v>30</v>
      </c>
      <c r="F51" s="192">
        <f t="shared" si="10"/>
        <v>44571</v>
      </c>
      <c r="G51" s="1">
        <f t="shared" si="8"/>
        <v>-10</v>
      </c>
      <c r="H51" s="39">
        <f t="shared" ref="H51:H52" si="13">B51</f>
        <v>113900186.40000001</v>
      </c>
      <c r="I51" s="1"/>
      <c r="J51" s="1"/>
      <c r="K51" s="1"/>
      <c r="L51" s="1"/>
    </row>
    <row r="52" spans="1:12">
      <c r="A52" s="190" t="s">
        <v>145</v>
      </c>
      <c r="B52" s="191">
        <v>149155564.80000001</v>
      </c>
      <c r="C52" s="1"/>
      <c r="D52" s="4">
        <v>44561</v>
      </c>
      <c r="E52" s="193">
        <v>30</v>
      </c>
      <c r="F52" s="192">
        <f t="shared" si="10"/>
        <v>44591</v>
      </c>
      <c r="G52" s="1">
        <f t="shared" si="8"/>
        <v>-30</v>
      </c>
      <c r="H52" s="39">
        <f t="shared" si="13"/>
        <v>149155564.80000001</v>
      </c>
      <c r="I52" s="1"/>
      <c r="J52" s="1"/>
      <c r="K52" s="1"/>
      <c r="L52" s="1"/>
    </row>
    <row r="53" spans="1:12">
      <c r="A53" s="190" t="s">
        <v>145</v>
      </c>
      <c r="B53" s="191">
        <v>2108535</v>
      </c>
      <c r="C53" s="1"/>
      <c r="D53" s="4">
        <v>44516</v>
      </c>
      <c r="E53" s="193">
        <v>30</v>
      </c>
      <c r="F53" s="192">
        <f t="shared" si="10"/>
        <v>44546</v>
      </c>
      <c r="G53" s="1">
        <f t="shared" si="8"/>
        <v>15</v>
      </c>
      <c r="H53" s="1"/>
      <c r="I53" s="194">
        <f>B53</f>
        <v>2108535</v>
      </c>
      <c r="J53" s="1"/>
      <c r="K53" s="1"/>
      <c r="L53" s="1"/>
    </row>
    <row r="54" spans="1:12">
      <c r="A54" s="190" t="s">
        <v>145</v>
      </c>
      <c r="B54" s="191">
        <v>25366242</v>
      </c>
      <c r="C54" s="1"/>
      <c r="D54" s="4">
        <v>44559</v>
      </c>
      <c r="E54" s="193">
        <v>30</v>
      </c>
      <c r="F54" s="192">
        <f t="shared" si="10"/>
        <v>44589</v>
      </c>
      <c r="G54" s="1">
        <f t="shared" si="8"/>
        <v>-28</v>
      </c>
      <c r="H54" s="39">
        <f>B54</f>
        <v>25366242</v>
      </c>
      <c r="I54" s="1"/>
      <c r="J54" s="1"/>
      <c r="K54" s="1"/>
      <c r="L54" s="1"/>
    </row>
    <row r="55" spans="1:12">
      <c r="A55" s="190" t="s">
        <v>145</v>
      </c>
      <c r="B55" s="191">
        <v>54147673</v>
      </c>
      <c r="C55" s="1"/>
      <c r="D55" s="4">
        <v>44481</v>
      </c>
      <c r="E55" s="193">
        <v>30</v>
      </c>
      <c r="F55" s="192">
        <f t="shared" si="10"/>
        <v>44511</v>
      </c>
      <c r="G55" s="1">
        <f t="shared" si="8"/>
        <v>50</v>
      </c>
      <c r="H55" s="1"/>
      <c r="I55" s="1"/>
      <c r="J55" s="194">
        <f t="shared" ref="J55:J57" si="14">B55</f>
        <v>54147673</v>
      </c>
      <c r="K55" s="1"/>
      <c r="L55" s="1"/>
    </row>
    <row r="56" spans="1:12">
      <c r="A56" s="190" t="s">
        <v>145</v>
      </c>
      <c r="B56" s="191">
        <v>50725646</v>
      </c>
      <c r="C56" s="1"/>
      <c r="D56" s="4">
        <v>44475</v>
      </c>
      <c r="E56" s="193">
        <v>30</v>
      </c>
      <c r="F56" s="192">
        <f t="shared" si="10"/>
        <v>44505</v>
      </c>
      <c r="G56" s="1">
        <f t="shared" si="8"/>
        <v>56</v>
      </c>
      <c r="H56" s="1"/>
      <c r="I56" s="1"/>
      <c r="J56" s="194">
        <f t="shared" si="14"/>
        <v>50725646</v>
      </c>
      <c r="K56" s="1"/>
      <c r="L56" s="1"/>
    </row>
    <row r="57" spans="1:12">
      <c r="A57" s="190" t="s">
        <v>145</v>
      </c>
      <c r="B57" s="191">
        <f>11731445+13</f>
        <v>11731458</v>
      </c>
      <c r="C57" s="1"/>
      <c r="D57" s="4">
        <v>44495</v>
      </c>
      <c r="E57" s="193">
        <v>30</v>
      </c>
      <c r="F57" s="192">
        <f t="shared" si="10"/>
        <v>44525</v>
      </c>
      <c r="G57" s="1">
        <f t="shared" si="8"/>
        <v>36</v>
      </c>
      <c r="H57" s="1"/>
      <c r="I57" s="1"/>
      <c r="J57" s="194">
        <f t="shared" si="14"/>
        <v>11731458</v>
      </c>
      <c r="K57" s="1"/>
      <c r="L57" s="1"/>
    </row>
    <row r="58" spans="1:12" s="21" customFormat="1">
      <c r="A58" s="195" t="s">
        <v>267</v>
      </c>
      <c r="B58" s="196">
        <f>SUM(B7:B57)</f>
        <v>24987319485.200001</v>
      </c>
      <c r="E58" s="34"/>
      <c r="H58" s="196">
        <f t="shared" ref="H58:L58" si="15">SUM(H7:H57)</f>
        <v>18022330645.200001</v>
      </c>
      <c r="I58" s="196">
        <f t="shared" si="15"/>
        <v>222013407</v>
      </c>
      <c r="J58" s="196">
        <f t="shared" si="15"/>
        <v>232475433</v>
      </c>
      <c r="K58" s="196">
        <f t="shared" si="15"/>
        <v>0</v>
      </c>
      <c r="L58" s="196">
        <f t="shared" si="15"/>
        <v>6510500000</v>
      </c>
    </row>
    <row r="59" spans="1:12">
      <c r="A59" s="197" t="s">
        <v>243</v>
      </c>
      <c r="B59" s="16">
        <v>24987319485</v>
      </c>
    </row>
    <row r="60" spans="1:12">
      <c r="B60" s="19">
        <f>B58-B59</f>
        <v>0.20000076293945313</v>
      </c>
    </row>
  </sheetData>
  <autoFilter ref="A6:L60" xr:uid="{11F0A860-21CC-4BF1-9073-F68AF378B521}"/>
  <mergeCells count="2">
    <mergeCell ref="C5:F5"/>
    <mergeCell ref="G5:L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0F46-25DD-4130-AF25-9971A0B4145B}">
  <sheetPr>
    <tabColor theme="7" tint="0.39997558519241921"/>
  </sheetPr>
  <dimension ref="A2:M369"/>
  <sheetViews>
    <sheetView topLeftCell="A2" zoomScale="73" workbookViewId="0">
      <pane xSplit="3" ySplit="5" topLeftCell="D270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RowHeight="14.5"/>
  <cols>
    <col min="1" max="1" width="32.54296875" style="141" bestFit="1" customWidth="1"/>
    <col min="2" max="2" width="17.453125" bestFit="1" customWidth="1"/>
    <col min="3" max="3" width="12.54296875" bestFit="1" customWidth="1"/>
    <col min="4" max="4" width="17" customWidth="1"/>
    <col min="5" max="5" width="18.6328125" style="137" customWidth="1"/>
    <col min="6" max="12" width="18.54296875" customWidth="1"/>
  </cols>
  <sheetData>
    <row r="2" spans="1:12">
      <c r="A2" s="21" t="s">
        <v>185</v>
      </c>
    </row>
    <row r="3" spans="1:12">
      <c r="A3" s="21" t="s">
        <v>172</v>
      </c>
    </row>
    <row r="4" spans="1:12">
      <c r="A4" s="22">
        <v>44561</v>
      </c>
      <c r="E4" s="135"/>
      <c r="F4" s="49"/>
    </row>
    <row r="5" spans="1:12">
      <c r="A5" s="134"/>
      <c r="E5" s="135"/>
      <c r="F5" s="49"/>
    </row>
    <row r="6" spans="1:12" s="152" customFormat="1" ht="15.5">
      <c r="A6" s="150" t="s">
        <v>2</v>
      </c>
      <c r="B6" s="150" t="s">
        <v>3</v>
      </c>
      <c r="C6" s="150" t="s">
        <v>244</v>
      </c>
      <c r="D6" s="150" t="s">
        <v>245</v>
      </c>
      <c r="E6" s="151" t="s">
        <v>209</v>
      </c>
      <c r="F6" s="150" t="s">
        <v>210</v>
      </c>
      <c r="G6" s="150" t="s">
        <v>211</v>
      </c>
      <c r="H6" s="150" t="s">
        <v>174</v>
      </c>
      <c r="I6" s="150" t="s">
        <v>212</v>
      </c>
      <c r="J6" s="150" t="s">
        <v>213</v>
      </c>
      <c r="K6" s="150" t="s">
        <v>214</v>
      </c>
      <c r="L6" s="150" t="s">
        <v>215</v>
      </c>
    </row>
    <row r="7" spans="1:12">
      <c r="A7" s="136" t="s">
        <v>8</v>
      </c>
      <c r="B7" s="116">
        <v>8843680</v>
      </c>
      <c r="C7" s="116"/>
      <c r="D7" s="4">
        <v>44504</v>
      </c>
      <c r="E7" s="147">
        <v>30</v>
      </c>
      <c r="F7" s="4">
        <f t="shared" ref="F7:F54" si="0">D7+E7</f>
        <v>44534</v>
      </c>
      <c r="G7" s="147">
        <f t="shared" ref="G7:G8" si="1">$A$4-F7</f>
        <v>27</v>
      </c>
      <c r="H7" s="4"/>
      <c r="I7" s="62">
        <f>B7</f>
        <v>8843680</v>
      </c>
      <c r="J7" s="4"/>
      <c r="K7" s="4"/>
      <c r="L7" s="4"/>
    </row>
    <row r="8" spans="1:12">
      <c r="A8" s="136" t="s">
        <v>9</v>
      </c>
      <c r="B8" s="116">
        <v>6600000</v>
      </c>
      <c r="C8" s="1"/>
      <c r="D8" s="4">
        <v>44504</v>
      </c>
      <c r="E8" s="147">
        <v>30</v>
      </c>
      <c r="F8" s="4">
        <f t="shared" si="0"/>
        <v>44534</v>
      </c>
      <c r="G8" s="147">
        <f t="shared" si="1"/>
        <v>27</v>
      </c>
      <c r="H8" s="4"/>
      <c r="I8" s="62">
        <f>B8</f>
        <v>6600000</v>
      </c>
      <c r="J8" s="4"/>
      <c r="K8" s="4"/>
      <c r="L8" s="4"/>
    </row>
    <row r="9" spans="1:12">
      <c r="A9" s="387" t="s">
        <v>216</v>
      </c>
      <c r="B9" s="116">
        <v>32490000</v>
      </c>
      <c r="C9" s="1"/>
      <c r="D9" s="4">
        <v>44522</v>
      </c>
      <c r="E9" s="147">
        <v>30</v>
      </c>
      <c r="F9" s="4">
        <f t="shared" si="0"/>
        <v>44552</v>
      </c>
      <c r="G9" s="147">
        <f>$A$4-F9</f>
        <v>9</v>
      </c>
      <c r="H9" s="4"/>
      <c r="I9" s="62">
        <f>B9</f>
        <v>32490000</v>
      </c>
      <c r="J9" s="4"/>
      <c r="K9" s="4"/>
      <c r="L9" s="4"/>
    </row>
    <row r="10" spans="1:12">
      <c r="A10" s="387"/>
      <c r="B10" s="116">
        <v>32490000</v>
      </c>
      <c r="C10" s="1"/>
      <c r="D10" s="4">
        <v>44536</v>
      </c>
      <c r="E10" s="147">
        <v>30</v>
      </c>
      <c r="F10" s="4">
        <f t="shared" si="0"/>
        <v>44566</v>
      </c>
      <c r="G10" s="147">
        <f t="shared" ref="G10:G13" si="2">$A$4-F10</f>
        <v>-5</v>
      </c>
      <c r="H10" s="62">
        <f>B10</f>
        <v>32490000</v>
      </c>
      <c r="I10" s="4"/>
      <c r="J10" s="4"/>
      <c r="K10" s="4"/>
      <c r="L10" s="4"/>
    </row>
    <row r="11" spans="1:12">
      <c r="A11" s="387"/>
      <c r="B11" s="116">
        <v>32490000</v>
      </c>
      <c r="C11" s="1"/>
      <c r="D11" s="4">
        <v>44551</v>
      </c>
      <c r="E11" s="147">
        <v>30</v>
      </c>
      <c r="F11" s="4">
        <f t="shared" si="0"/>
        <v>44581</v>
      </c>
      <c r="G11" s="147">
        <f t="shared" si="2"/>
        <v>-20</v>
      </c>
      <c r="H11" s="62">
        <f>B11</f>
        <v>32490000</v>
      </c>
      <c r="I11" s="4"/>
      <c r="J11" s="4"/>
      <c r="K11" s="4"/>
      <c r="L11" s="4"/>
    </row>
    <row r="12" spans="1:12">
      <c r="A12" s="387"/>
      <c r="B12" s="116">
        <v>9740000</v>
      </c>
      <c r="C12" s="1"/>
      <c r="D12" s="4">
        <v>44544</v>
      </c>
      <c r="E12" s="147">
        <v>30</v>
      </c>
      <c r="F12" s="4">
        <f t="shared" si="0"/>
        <v>44574</v>
      </c>
      <c r="G12" s="147">
        <f t="shared" si="2"/>
        <v>-13</v>
      </c>
      <c r="H12" s="62">
        <f>B12</f>
        <v>9740000</v>
      </c>
      <c r="I12" s="4"/>
      <c r="J12" s="4"/>
      <c r="K12" s="4"/>
      <c r="L12" s="4"/>
    </row>
    <row r="13" spans="1:12">
      <c r="A13" s="136" t="s">
        <v>217</v>
      </c>
      <c r="B13" s="116">
        <v>30451080</v>
      </c>
      <c r="C13" s="1"/>
      <c r="D13" s="4">
        <v>44406</v>
      </c>
      <c r="E13" s="147">
        <v>30</v>
      </c>
      <c r="F13" s="4">
        <f t="shared" si="0"/>
        <v>44436</v>
      </c>
      <c r="G13" s="147">
        <f t="shared" si="2"/>
        <v>125</v>
      </c>
      <c r="H13" s="4"/>
      <c r="I13" s="4"/>
      <c r="J13" s="4"/>
      <c r="K13" s="4"/>
      <c r="L13" s="62">
        <f>B13</f>
        <v>30451080</v>
      </c>
    </row>
    <row r="14" spans="1:12">
      <c r="A14" s="387" t="s">
        <v>10</v>
      </c>
      <c r="B14" s="116">
        <v>12970320</v>
      </c>
      <c r="C14" s="1"/>
      <c r="D14" s="4">
        <v>44464</v>
      </c>
      <c r="E14" s="147">
        <v>30</v>
      </c>
      <c r="F14" s="4">
        <f t="shared" si="0"/>
        <v>44494</v>
      </c>
      <c r="G14" s="147">
        <f t="shared" ref="G14:G16" si="3">$A$4-F14</f>
        <v>67</v>
      </c>
      <c r="H14" s="4"/>
      <c r="I14" s="4"/>
      <c r="J14" s="4"/>
      <c r="K14" s="62">
        <f>B14</f>
        <v>12970320</v>
      </c>
      <c r="L14" s="4"/>
    </row>
    <row r="15" spans="1:12">
      <c r="A15" s="387"/>
      <c r="B15" s="116">
        <v>29074980</v>
      </c>
      <c r="C15" s="1"/>
      <c r="D15" s="4">
        <v>44464</v>
      </c>
      <c r="E15" s="147">
        <v>30</v>
      </c>
      <c r="F15" s="4">
        <f t="shared" si="0"/>
        <v>44494</v>
      </c>
      <c r="G15" s="147">
        <f t="shared" si="3"/>
        <v>67</v>
      </c>
      <c r="H15" s="4"/>
      <c r="I15" s="4"/>
      <c r="J15" s="4"/>
      <c r="K15" s="62">
        <f>B15</f>
        <v>29074980</v>
      </c>
      <c r="L15" s="4"/>
    </row>
    <row r="16" spans="1:12">
      <c r="A16" s="387"/>
      <c r="B16" s="116">
        <f>9660992-2868739</f>
        <v>6792253</v>
      </c>
      <c r="C16" s="1"/>
      <c r="D16" s="4">
        <v>44504</v>
      </c>
      <c r="E16" s="147">
        <v>30</v>
      </c>
      <c r="F16" s="4">
        <f t="shared" si="0"/>
        <v>44534</v>
      </c>
      <c r="G16" s="147">
        <f t="shared" si="3"/>
        <v>27</v>
      </c>
      <c r="H16" s="4"/>
      <c r="I16" s="62">
        <f>B16</f>
        <v>6792253</v>
      </c>
      <c r="J16" s="4"/>
      <c r="K16" s="4"/>
      <c r="L16" s="4"/>
    </row>
    <row r="17" spans="1:12">
      <c r="A17" s="387" t="s">
        <v>218</v>
      </c>
      <c r="B17" s="116">
        <v>11750000</v>
      </c>
      <c r="C17" s="1"/>
      <c r="D17" s="4">
        <v>44516</v>
      </c>
      <c r="E17" s="147">
        <v>30</v>
      </c>
      <c r="F17" s="4">
        <f t="shared" si="0"/>
        <v>44546</v>
      </c>
      <c r="G17" s="147">
        <f t="shared" ref="G17:G20" si="4">$A$4-F17</f>
        <v>15</v>
      </c>
      <c r="H17" s="4"/>
      <c r="I17" s="62">
        <f>B17</f>
        <v>11750000</v>
      </c>
      <c r="J17" s="4"/>
      <c r="K17" s="4"/>
      <c r="L17" s="4"/>
    </row>
    <row r="18" spans="1:12">
      <c r="A18" s="387"/>
      <c r="B18" s="116">
        <v>11750000</v>
      </c>
      <c r="C18" s="1"/>
      <c r="D18" s="4">
        <v>44532</v>
      </c>
      <c r="E18" s="147">
        <v>30</v>
      </c>
      <c r="F18" s="4">
        <f t="shared" si="0"/>
        <v>44562</v>
      </c>
      <c r="G18" s="147">
        <f t="shared" si="4"/>
        <v>-1</v>
      </c>
      <c r="H18" s="62">
        <f>B18</f>
        <v>11750000</v>
      </c>
      <c r="I18" s="4"/>
      <c r="J18" s="4"/>
      <c r="K18" s="4"/>
      <c r="L18" s="4"/>
    </row>
    <row r="19" spans="1:12">
      <c r="A19" s="387"/>
      <c r="B19" s="116">
        <v>11750000</v>
      </c>
      <c r="C19" s="1"/>
      <c r="D19" s="4">
        <v>44546</v>
      </c>
      <c r="E19" s="147">
        <v>30</v>
      </c>
      <c r="F19" s="4">
        <f t="shared" si="0"/>
        <v>44576</v>
      </c>
      <c r="G19" s="147">
        <f t="shared" si="4"/>
        <v>-15</v>
      </c>
      <c r="H19" s="62">
        <f>B19</f>
        <v>11750000</v>
      </c>
      <c r="I19" s="4"/>
      <c r="J19" s="4"/>
      <c r="K19" s="4"/>
      <c r="L19" s="4"/>
    </row>
    <row r="20" spans="1:12">
      <c r="A20" s="136" t="s">
        <v>11</v>
      </c>
      <c r="B20" s="116">
        <v>36850000</v>
      </c>
      <c r="C20" s="1"/>
      <c r="D20" s="4">
        <v>44511</v>
      </c>
      <c r="E20" s="147">
        <v>30</v>
      </c>
      <c r="F20" s="4">
        <f t="shared" si="0"/>
        <v>44541</v>
      </c>
      <c r="G20" s="147">
        <f t="shared" si="4"/>
        <v>20</v>
      </c>
      <c r="H20" s="4"/>
      <c r="I20" s="62">
        <f>B20</f>
        <v>36850000</v>
      </c>
      <c r="J20" s="4"/>
      <c r="K20" s="4"/>
      <c r="L20" s="4"/>
    </row>
    <row r="21" spans="1:12">
      <c r="A21" s="387" t="s">
        <v>12</v>
      </c>
      <c r="B21" s="116">
        <v>52874910</v>
      </c>
      <c r="C21" s="1"/>
      <c r="D21" s="4">
        <v>44469</v>
      </c>
      <c r="E21" s="147">
        <v>30</v>
      </c>
      <c r="F21" s="4">
        <f t="shared" si="0"/>
        <v>44499</v>
      </c>
      <c r="G21" s="147">
        <f t="shared" ref="G21:G27" si="5">$A$4-F21</f>
        <v>62</v>
      </c>
      <c r="H21" s="4"/>
      <c r="I21" s="4"/>
      <c r="J21" s="4"/>
      <c r="K21" s="62">
        <f>B21</f>
        <v>52874910</v>
      </c>
      <c r="L21" s="4"/>
    </row>
    <row r="22" spans="1:12">
      <c r="A22" s="387"/>
      <c r="B22" s="116">
        <v>83240325</v>
      </c>
      <c r="C22" s="1"/>
      <c r="D22" s="4">
        <v>44470</v>
      </c>
      <c r="E22" s="147">
        <v>30</v>
      </c>
      <c r="F22" s="4">
        <f t="shared" si="0"/>
        <v>44500</v>
      </c>
      <c r="G22" s="147">
        <f t="shared" si="5"/>
        <v>61</v>
      </c>
      <c r="H22" s="4"/>
      <c r="I22" s="4"/>
      <c r="J22" s="4"/>
      <c r="K22" s="62">
        <f>B22</f>
        <v>83240325</v>
      </c>
      <c r="L22" s="4"/>
    </row>
    <row r="23" spans="1:12">
      <c r="A23" s="387"/>
      <c r="B23" s="116">
        <v>82700860</v>
      </c>
      <c r="C23" s="1"/>
      <c r="D23" s="4">
        <v>44471</v>
      </c>
      <c r="E23" s="147">
        <v>30</v>
      </c>
      <c r="F23" s="4">
        <f t="shared" si="0"/>
        <v>44501</v>
      </c>
      <c r="G23" s="147">
        <f t="shared" si="5"/>
        <v>60</v>
      </c>
      <c r="H23" s="4"/>
      <c r="I23" s="4"/>
      <c r="J23" s="62">
        <f>B23</f>
        <v>82700860</v>
      </c>
      <c r="K23" s="4"/>
      <c r="L23" s="4"/>
    </row>
    <row r="24" spans="1:12">
      <c r="A24" s="387"/>
      <c r="B24" s="116">
        <v>49291935</v>
      </c>
      <c r="C24" s="1"/>
      <c r="D24" s="4">
        <v>44472</v>
      </c>
      <c r="E24" s="147">
        <v>30</v>
      </c>
      <c r="F24" s="4">
        <f t="shared" si="0"/>
        <v>44502</v>
      </c>
      <c r="G24" s="147">
        <f t="shared" si="5"/>
        <v>59</v>
      </c>
      <c r="H24" s="4"/>
      <c r="I24" s="4"/>
      <c r="J24" s="62">
        <f>B24</f>
        <v>49291935</v>
      </c>
      <c r="K24" s="4"/>
      <c r="L24" s="4"/>
    </row>
    <row r="25" spans="1:12">
      <c r="A25" s="387"/>
      <c r="B25" s="116">
        <v>45436352</v>
      </c>
      <c r="C25" s="1"/>
      <c r="D25" s="4">
        <v>44487</v>
      </c>
      <c r="E25" s="147">
        <v>30</v>
      </c>
      <c r="F25" s="4">
        <f t="shared" si="0"/>
        <v>44517</v>
      </c>
      <c r="G25" s="147">
        <f t="shared" si="5"/>
        <v>44</v>
      </c>
      <c r="H25" s="4"/>
      <c r="I25" s="4"/>
      <c r="J25" s="62">
        <f>B25</f>
        <v>45436352</v>
      </c>
      <c r="K25" s="4"/>
      <c r="L25" s="4"/>
    </row>
    <row r="26" spans="1:12">
      <c r="A26" s="387"/>
      <c r="B26" s="116">
        <v>16346880</v>
      </c>
      <c r="C26" s="1"/>
      <c r="D26" s="4">
        <v>44487</v>
      </c>
      <c r="E26" s="147">
        <v>30</v>
      </c>
      <c r="F26" s="4">
        <f t="shared" si="0"/>
        <v>44517</v>
      </c>
      <c r="G26" s="147">
        <f t="shared" si="5"/>
        <v>44</v>
      </c>
      <c r="H26" s="4"/>
      <c r="I26" s="4"/>
      <c r="J26" s="62">
        <f>B26</f>
        <v>16346880</v>
      </c>
      <c r="K26" s="4"/>
      <c r="L26" s="4"/>
    </row>
    <row r="27" spans="1:12">
      <c r="A27" s="387"/>
      <c r="B27" s="116">
        <v>19547616</v>
      </c>
      <c r="C27" s="1"/>
      <c r="D27" s="4">
        <v>44488</v>
      </c>
      <c r="E27" s="147">
        <v>30</v>
      </c>
      <c r="F27" s="4">
        <f t="shared" si="0"/>
        <v>44518</v>
      </c>
      <c r="G27" s="147">
        <f t="shared" si="5"/>
        <v>43</v>
      </c>
      <c r="H27" s="4"/>
      <c r="I27" s="4"/>
      <c r="J27" s="62">
        <f>B27</f>
        <v>19547616</v>
      </c>
      <c r="K27" s="4"/>
      <c r="L27" s="4"/>
    </row>
    <row r="28" spans="1:12">
      <c r="A28" s="387" t="s">
        <v>219</v>
      </c>
      <c r="B28" s="116">
        <v>49500000</v>
      </c>
      <c r="C28" s="1"/>
      <c r="D28" s="4">
        <v>44420</v>
      </c>
      <c r="E28" s="147">
        <v>30</v>
      </c>
      <c r="F28" s="4">
        <f t="shared" si="0"/>
        <v>44450</v>
      </c>
      <c r="G28" s="147">
        <f t="shared" ref="G28:G30" si="6">$A$4-F28</f>
        <v>111</v>
      </c>
      <c r="H28" s="4"/>
      <c r="I28" s="4"/>
      <c r="J28" s="4"/>
      <c r="K28" s="4"/>
      <c r="L28" s="62">
        <f>B28</f>
        <v>49500000</v>
      </c>
    </row>
    <row r="29" spans="1:12">
      <c r="A29" s="387"/>
      <c r="B29" s="116">
        <v>24750000</v>
      </c>
      <c r="C29" s="1"/>
      <c r="D29" s="4">
        <v>44439</v>
      </c>
      <c r="E29" s="147">
        <v>30</v>
      </c>
      <c r="F29" s="4">
        <f t="shared" si="0"/>
        <v>44469</v>
      </c>
      <c r="G29" s="147">
        <f t="shared" si="6"/>
        <v>92</v>
      </c>
      <c r="H29" s="4"/>
      <c r="I29" s="4"/>
      <c r="J29" s="4"/>
      <c r="K29" s="4"/>
      <c r="L29" s="62">
        <f>B29</f>
        <v>24750000</v>
      </c>
    </row>
    <row r="30" spans="1:12">
      <c r="A30" s="387"/>
      <c r="B30" s="116">
        <v>8250000</v>
      </c>
      <c r="C30" s="1"/>
      <c r="D30" s="4">
        <v>44461</v>
      </c>
      <c r="E30" s="147">
        <v>30</v>
      </c>
      <c r="F30" s="4">
        <f t="shared" si="0"/>
        <v>44491</v>
      </c>
      <c r="G30" s="147">
        <f t="shared" si="6"/>
        <v>70</v>
      </c>
      <c r="H30" s="4"/>
      <c r="I30" s="4"/>
      <c r="J30" s="4"/>
      <c r="K30" s="62">
        <f>B30</f>
        <v>8250000</v>
      </c>
      <c r="L30" s="4"/>
    </row>
    <row r="31" spans="1:12">
      <c r="A31" s="387" t="s">
        <v>14</v>
      </c>
      <c r="B31" s="116">
        <v>26163000</v>
      </c>
      <c r="C31" s="1"/>
      <c r="D31" s="4">
        <v>44470</v>
      </c>
      <c r="E31" s="147">
        <v>30</v>
      </c>
      <c r="F31" s="4">
        <f t="shared" si="0"/>
        <v>44500</v>
      </c>
      <c r="G31" s="147">
        <f t="shared" ref="G31:G45" si="7">$A$4-F31</f>
        <v>61</v>
      </c>
      <c r="H31" s="4"/>
      <c r="I31" s="4"/>
      <c r="J31" s="4"/>
      <c r="K31" s="62">
        <f>B31</f>
        <v>26163000</v>
      </c>
      <c r="L31" s="4"/>
    </row>
    <row r="32" spans="1:12">
      <c r="A32" s="387"/>
      <c r="B32" s="116">
        <v>26163000</v>
      </c>
      <c r="C32" s="1"/>
      <c r="D32" s="4">
        <v>44473</v>
      </c>
      <c r="E32" s="147">
        <v>30</v>
      </c>
      <c r="F32" s="4">
        <f t="shared" si="0"/>
        <v>44503</v>
      </c>
      <c r="G32" s="147">
        <f t="shared" si="7"/>
        <v>58</v>
      </c>
      <c r="H32" s="4"/>
      <c r="I32" s="4"/>
      <c r="J32" s="62">
        <f>B32</f>
        <v>26163000</v>
      </c>
      <c r="K32" s="4"/>
      <c r="L32" s="4"/>
    </row>
    <row r="33" spans="1:12">
      <c r="A33" s="387"/>
      <c r="B33" s="116">
        <v>26163000</v>
      </c>
      <c r="C33" s="1"/>
      <c r="D33" s="4">
        <v>44470</v>
      </c>
      <c r="E33" s="147">
        <v>30</v>
      </c>
      <c r="F33" s="4">
        <f t="shared" si="0"/>
        <v>44500</v>
      </c>
      <c r="G33" s="147">
        <f t="shared" si="7"/>
        <v>61</v>
      </c>
      <c r="H33" s="4"/>
      <c r="I33" s="4"/>
      <c r="J33" s="4"/>
      <c r="K33" s="62">
        <f>B33</f>
        <v>26163000</v>
      </c>
      <c r="L33" s="4"/>
    </row>
    <row r="34" spans="1:12">
      <c r="A34" s="387"/>
      <c r="B34" s="116">
        <v>26163000</v>
      </c>
      <c r="C34" s="1"/>
      <c r="D34" s="4">
        <v>44473</v>
      </c>
      <c r="E34" s="147">
        <v>30</v>
      </c>
      <c r="F34" s="4">
        <f t="shared" si="0"/>
        <v>44503</v>
      </c>
      <c r="G34" s="147">
        <f t="shared" si="7"/>
        <v>58</v>
      </c>
      <c r="H34" s="4"/>
      <c r="I34" s="4"/>
      <c r="J34" s="62">
        <f>B34</f>
        <v>26163000</v>
      </c>
      <c r="K34" s="4"/>
      <c r="L34" s="4"/>
    </row>
    <row r="35" spans="1:12">
      <c r="A35" s="387"/>
      <c r="B35" s="116">
        <v>25920648</v>
      </c>
      <c r="C35" s="1"/>
      <c r="D35" s="4">
        <v>44524</v>
      </c>
      <c r="E35" s="147">
        <v>30</v>
      </c>
      <c r="F35" s="4">
        <f t="shared" si="0"/>
        <v>44554</v>
      </c>
      <c r="G35" s="147">
        <f t="shared" si="7"/>
        <v>7</v>
      </c>
      <c r="H35" s="4"/>
      <c r="I35" s="62">
        <f>B35</f>
        <v>25920648</v>
      </c>
      <c r="J35" s="4"/>
      <c r="K35" s="4"/>
      <c r="L35" s="4"/>
    </row>
    <row r="36" spans="1:12">
      <c r="A36" s="387"/>
      <c r="B36" s="116">
        <v>26163000</v>
      </c>
      <c r="C36" s="1"/>
      <c r="D36" s="4">
        <v>44473</v>
      </c>
      <c r="E36" s="147">
        <v>30</v>
      </c>
      <c r="F36" s="4">
        <f t="shared" si="0"/>
        <v>44503</v>
      </c>
      <c r="G36" s="147">
        <f t="shared" si="7"/>
        <v>58</v>
      </c>
      <c r="H36" s="4"/>
      <c r="I36" s="4"/>
      <c r="J36" s="62">
        <f>B36</f>
        <v>26163000</v>
      </c>
      <c r="K36" s="4"/>
      <c r="L36" s="4"/>
    </row>
    <row r="37" spans="1:12">
      <c r="A37" s="387"/>
      <c r="B37" s="116">
        <v>25270542</v>
      </c>
      <c r="C37" s="1"/>
      <c r="D37" s="4">
        <v>44526</v>
      </c>
      <c r="E37" s="147">
        <v>30</v>
      </c>
      <c r="F37" s="4">
        <f t="shared" si="0"/>
        <v>44556</v>
      </c>
      <c r="G37" s="147">
        <f t="shared" si="7"/>
        <v>5</v>
      </c>
      <c r="H37" s="4"/>
      <c r="I37" s="62">
        <f t="shared" ref="I37:I44" si="8">B37</f>
        <v>25270542</v>
      </c>
      <c r="J37" s="4"/>
      <c r="K37" s="4"/>
      <c r="L37" s="4"/>
    </row>
    <row r="38" spans="1:12">
      <c r="A38" s="387"/>
      <c r="B38" s="116">
        <v>25920648</v>
      </c>
      <c r="C38" s="1"/>
      <c r="D38" s="4">
        <v>44525</v>
      </c>
      <c r="E38" s="147">
        <v>30</v>
      </c>
      <c r="F38" s="4">
        <f t="shared" si="0"/>
        <v>44555</v>
      </c>
      <c r="G38" s="147">
        <f t="shared" si="7"/>
        <v>6</v>
      </c>
      <c r="H38" s="4"/>
      <c r="I38" s="62">
        <f t="shared" si="8"/>
        <v>25920648</v>
      </c>
      <c r="J38" s="4"/>
      <c r="K38" s="4"/>
      <c r="L38" s="4"/>
    </row>
    <row r="39" spans="1:12">
      <c r="A39" s="387"/>
      <c r="B39" s="116">
        <v>25920648</v>
      </c>
      <c r="C39" s="1"/>
      <c r="D39" s="4">
        <v>44524</v>
      </c>
      <c r="E39" s="147">
        <v>30</v>
      </c>
      <c r="F39" s="4">
        <f t="shared" si="0"/>
        <v>44554</v>
      </c>
      <c r="G39" s="147">
        <f t="shared" si="7"/>
        <v>7</v>
      </c>
      <c r="H39" s="4"/>
      <c r="I39" s="62">
        <f t="shared" si="8"/>
        <v>25920648</v>
      </c>
      <c r="J39" s="4"/>
      <c r="K39" s="4"/>
      <c r="L39" s="4"/>
    </row>
    <row r="40" spans="1:12">
      <c r="A40" s="387"/>
      <c r="B40" s="116">
        <v>26036316</v>
      </c>
      <c r="C40" s="1"/>
      <c r="D40" s="4">
        <v>44526</v>
      </c>
      <c r="E40" s="147">
        <v>30</v>
      </c>
      <c r="F40" s="4">
        <f t="shared" si="0"/>
        <v>44556</v>
      </c>
      <c r="G40" s="147">
        <f t="shared" si="7"/>
        <v>5</v>
      </c>
      <c r="H40" s="4"/>
      <c r="I40" s="62">
        <f t="shared" si="8"/>
        <v>26036316</v>
      </c>
      <c r="J40" s="4"/>
      <c r="K40" s="4"/>
      <c r="L40" s="4"/>
    </row>
    <row r="41" spans="1:12">
      <c r="A41" s="387"/>
      <c r="B41" s="116">
        <v>26036316</v>
      </c>
      <c r="C41" s="1"/>
      <c r="D41" s="4">
        <v>44525</v>
      </c>
      <c r="E41" s="147">
        <v>30</v>
      </c>
      <c r="F41" s="4">
        <f t="shared" si="0"/>
        <v>44555</v>
      </c>
      <c r="G41" s="147">
        <f t="shared" si="7"/>
        <v>6</v>
      </c>
      <c r="H41" s="4"/>
      <c r="I41" s="62">
        <f t="shared" si="8"/>
        <v>26036316</v>
      </c>
      <c r="J41" s="4"/>
      <c r="K41" s="4"/>
      <c r="L41" s="4"/>
    </row>
    <row r="42" spans="1:12">
      <c r="A42" s="387"/>
      <c r="B42" s="116">
        <v>25920648</v>
      </c>
      <c r="C42" s="1"/>
      <c r="D42" s="4">
        <v>44525</v>
      </c>
      <c r="E42" s="147">
        <v>30</v>
      </c>
      <c r="F42" s="4">
        <f t="shared" si="0"/>
        <v>44555</v>
      </c>
      <c r="G42" s="147">
        <f t="shared" si="7"/>
        <v>6</v>
      </c>
      <c r="H42" s="4"/>
      <c r="I42" s="62">
        <f t="shared" si="8"/>
        <v>25920648</v>
      </c>
      <c r="J42" s="4"/>
      <c r="K42" s="4"/>
      <c r="L42" s="4"/>
    </row>
    <row r="43" spans="1:12">
      <c r="A43" s="387"/>
      <c r="B43" s="116">
        <v>26036316</v>
      </c>
      <c r="C43" s="1"/>
      <c r="D43" s="4">
        <v>44526</v>
      </c>
      <c r="E43" s="147">
        <v>30</v>
      </c>
      <c r="F43" s="4">
        <f t="shared" si="0"/>
        <v>44556</v>
      </c>
      <c r="G43" s="147">
        <f t="shared" si="7"/>
        <v>5</v>
      </c>
      <c r="H43" s="4"/>
      <c r="I43" s="62">
        <f t="shared" si="8"/>
        <v>26036316</v>
      </c>
      <c r="J43" s="4"/>
      <c r="K43" s="4"/>
      <c r="L43" s="4"/>
    </row>
    <row r="44" spans="1:12">
      <c r="A44" s="387"/>
      <c r="B44" s="116">
        <v>25920648</v>
      </c>
      <c r="C44" s="1"/>
      <c r="D44" s="4">
        <v>44524</v>
      </c>
      <c r="E44" s="147">
        <v>30</v>
      </c>
      <c r="F44" s="4">
        <f t="shared" si="0"/>
        <v>44554</v>
      </c>
      <c r="G44" s="147">
        <f t="shared" si="7"/>
        <v>7</v>
      </c>
      <c r="H44" s="4"/>
      <c r="I44" s="62">
        <f t="shared" si="8"/>
        <v>25920648</v>
      </c>
      <c r="J44" s="4"/>
      <c r="K44" s="4"/>
      <c r="L44" s="4"/>
    </row>
    <row r="45" spans="1:12">
      <c r="A45" s="136" t="s">
        <v>15</v>
      </c>
      <c r="B45" s="116">
        <v>90302000</v>
      </c>
      <c r="C45" s="1"/>
      <c r="D45" s="4">
        <v>44337</v>
      </c>
      <c r="E45" s="147">
        <v>30</v>
      </c>
      <c r="F45" s="4">
        <f t="shared" si="0"/>
        <v>44367</v>
      </c>
      <c r="G45" s="147">
        <f t="shared" si="7"/>
        <v>194</v>
      </c>
      <c r="H45" s="4"/>
      <c r="I45" s="4"/>
      <c r="J45" s="4"/>
      <c r="K45" s="4"/>
      <c r="L45" s="62">
        <f>B45</f>
        <v>90302000</v>
      </c>
    </row>
    <row r="46" spans="1:12">
      <c r="A46" s="387" t="s">
        <v>16</v>
      </c>
      <c r="B46" s="116">
        <v>99000000</v>
      </c>
      <c r="C46" s="1"/>
      <c r="D46" s="4">
        <v>44476</v>
      </c>
      <c r="E46" s="147">
        <v>30</v>
      </c>
      <c r="F46" s="4">
        <f t="shared" si="0"/>
        <v>44506</v>
      </c>
      <c r="G46" s="147">
        <f t="shared" ref="G46:G48" si="9">$A$4-F46</f>
        <v>55</v>
      </c>
      <c r="H46" s="4"/>
      <c r="I46" s="4"/>
      <c r="J46" s="62">
        <f>B46</f>
        <v>99000000</v>
      </c>
      <c r="K46" s="4"/>
      <c r="L46" s="4"/>
    </row>
    <row r="47" spans="1:12">
      <c r="A47" s="387"/>
      <c r="B47" s="116">
        <v>57750000</v>
      </c>
      <c r="C47" s="1"/>
      <c r="D47" s="4">
        <v>44488</v>
      </c>
      <c r="E47" s="147">
        <v>30</v>
      </c>
      <c r="F47" s="4">
        <f t="shared" si="0"/>
        <v>44518</v>
      </c>
      <c r="G47" s="147">
        <f t="shared" si="9"/>
        <v>43</v>
      </c>
      <c r="H47" s="4"/>
      <c r="I47" s="4"/>
      <c r="J47" s="62">
        <f>B47</f>
        <v>57750000</v>
      </c>
      <c r="K47" s="4"/>
      <c r="L47" s="4"/>
    </row>
    <row r="48" spans="1:12">
      <c r="A48" s="387"/>
      <c r="B48" s="116">
        <v>57750000</v>
      </c>
      <c r="C48" s="1"/>
      <c r="D48" s="4">
        <v>44488</v>
      </c>
      <c r="E48" s="147">
        <v>30</v>
      </c>
      <c r="F48" s="4">
        <f t="shared" si="0"/>
        <v>44518</v>
      </c>
      <c r="G48" s="147">
        <f t="shared" si="9"/>
        <v>43</v>
      </c>
      <c r="H48" s="4"/>
      <c r="I48" s="4"/>
      <c r="J48" s="62">
        <f>B48</f>
        <v>57750000</v>
      </c>
      <c r="K48" s="4"/>
      <c r="L48" s="4"/>
    </row>
    <row r="49" spans="1:12">
      <c r="A49" s="387" t="s">
        <v>17</v>
      </c>
      <c r="B49" s="116">
        <v>77977900</v>
      </c>
      <c r="C49" s="1"/>
      <c r="D49" s="4">
        <v>44456</v>
      </c>
      <c r="E49" s="147">
        <v>30</v>
      </c>
      <c r="F49" s="4">
        <f t="shared" si="0"/>
        <v>44486</v>
      </c>
      <c r="G49" s="147">
        <f t="shared" ref="G49:G52" si="10">$A$4-F49</f>
        <v>75</v>
      </c>
      <c r="H49" s="4"/>
      <c r="I49" s="4"/>
      <c r="J49" s="4"/>
      <c r="K49" s="62">
        <f>B49</f>
        <v>77977900</v>
      </c>
      <c r="L49" s="4"/>
    </row>
    <row r="50" spans="1:12">
      <c r="A50" s="387"/>
      <c r="B50" s="116">
        <v>71104000</v>
      </c>
      <c r="C50" s="1"/>
      <c r="D50" s="4">
        <v>44456</v>
      </c>
      <c r="E50" s="147">
        <v>30</v>
      </c>
      <c r="F50" s="4">
        <f t="shared" si="0"/>
        <v>44486</v>
      </c>
      <c r="G50" s="147">
        <f t="shared" si="10"/>
        <v>75</v>
      </c>
      <c r="H50" s="4"/>
      <c r="I50" s="4"/>
      <c r="J50" s="4"/>
      <c r="K50" s="62">
        <f>B50</f>
        <v>71104000</v>
      </c>
      <c r="L50" s="4"/>
    </row>
    <row r="51" spans="1:12">
      <c r="A51" s="387"/>
      <c r="B51" s="116">
        <v>13420000</v>
      </c>
      <c r="C51" s="1"/>
      <c r="D51" s="4">
        <v>44531</v>
      </c>
      <c r="E51" s="147">
        <v>30</v>
      </c>
      <c r="F51" s="4">
        <f t="shared" si="0"/>
        <v>44561</v>
      </c>
      <c r="G51" s="147">
        <f t="shared" si="10"/>
        <v>0</v>
      </c>
      <c r="H51" s="62">
        <f>B51</f>
        <v>13420000</v>
      </c>
      <c r="I51" s="4"/>
      <c r="J51" s="4"/>
      <c r="K51" s="4"/>
      <c r="L51" s="4"/>
    </row>
    <row r="52" spans="1:12">
      <c r="A52" s="136" t="s">
        <v>66</v>
      </c>
      <c r="B52" s="116">
        <v>37729725</v>
      </c>
      <c r="C52" s="1"/>
      <c r="D52" s="4">
        <v>44453</v>
      </c>
      <c r="E52" s="147">
        <v>30</v>
      </c>
      <c r="F52" s="4">
        <f t="shared" si="0"/>
        <v>44483</v>
      </c>
      <c r="G52" s="147">
        <f t="shared" si="10"/>
        <v>78</v>
      </c>
      <c r="H52" s="4"/>
      <c r="I52" s="4"/>
      <c r="J52" s="4"/>
      <c r="K52" s="62">
        <f>B52</f>
        <v>37729725</v>
      </c>
      <c r="L52" s="4"/>
    </row>
    <row r="53" spans="1:12">
      <c r="A53" s="387" t="s">
        <v>18</v>
      </c>
      <c r="B53" s="116">
        <v>77708400</v>
      </c>
      <c r="C53" s="1"/>
      <c r="D53" s="4">
        <v>44474</v>
      </c>
      <c r="E53" s="147">
        <v>30</v>
      </c>
      <c r="F53" s="4">
        <f t="shared" si="0"/>
        <v>44504</v>
      </c>
      <c r="G53" s="147">
        <f t="shared" ref="G53:G54" si="11">$A$4-F53</f>
        <v>57</v>
      </c>
      <c r="H53" s="4"/>
      <c r="I53" s="4"/>
      <c r="J53" s="62">
        <f>B53</f>
        <v>77708400</v>
      </c>
      <c r="K53" s="4"/>
      <c r="L53" s="4"/>
    </row>
    <row r="54" spans="1:12">
      <c r="A54" s="387"/>
      <c r="B54" s="116">
        <v>41681750</v>
      </c>
      <c r="C54" s="1"/>
      <c r="D54" s="4">
        <v>44512</v>
      </c>
      <c r="E54" s="147">
        <v>30</v>
      </c>
      <c r="F54" s="4">
        <f t="shared" si="0"/>
        <v>44542</v>
      </c>
      <c r="G54" s="147">
        <f t="shared" si="11"/>
        <v>19</v>
      </c>
      <c r="H54" s="4"/>
      <c r="I54" s="62">
        <f>B54</f>
        <v>41681750</v>
      </c>
      <c r="J54" s="4"/>
      <c r="K54" s="4"/>
      <c r="L54" s="4"/>
    </row>
    <row r="55" spans="1:12">
      <c r="A55" s="136" t="s">
        <v>19</v>
      </c>
      <c r="B55" s="116">
        <v>12350000</v>
      </c>
      <c r="C55" s="1"/>
      <c r="D55" s="1"/>
      <c r="E55" s="147"/>
      <c r="F55" s="4"/>
      <c r="G55" s="4"/>
      <c r="H55" s="4"/>
      <c r="I55" s="62">
        <f>B55</f>
        <v>12350000</v>
      </c>
      <c r="J55" s="4"/>
      <c r="K55" s="4"/>
      <c r="L55" s="4"/>
    </row>
    <row r="56" spans="1:12">
      <c r="A56" s="387" t="s">
        <v>20</v>
      </c>
      <c r="B56" s="116">
        <v>47520000</v>
      </c>
      <c r="C56" s="1"/>
      <c r="D56" s="4">
        <v>44453</v>
      </c>
      <c r="E56" s="147">
        <v>30</v>
      </c>
      <c r="F56" s="4">
        <f t="shared" ref="F56:F64" si="12">D56+E56</f>
        <v>44483</v>
      </c>
      <c r="G56" s="147">
        <f t="shared" ref="G56:G58" si="13">$A$4-F56</f>
        <v>78</v>
      </c>
      <c r="H56" s="4"/>
      <c r="I56" s="4"/>
      <c r="J56" s="4"/>
      <c r="K56" s="62">
        <f>B56</f>
        <v>47520000</v>
      </c>
      <c r="L56" s="4"/>
    </row>
    <row r="57" spans="1:12">
      <c r="A57" s="387"/>
      <c r="B57" s="116">
        <v>27588000</v>
      </c>
      <c r="C57" s="1"/>
      <c r="D57" s="4">
        <v>44453</v>
      </c>
      <c r="E57" s="147">
        <v>30</v>
      </c>
      <c r="F57" s="4">
        <f t="shared" si="12"/>
        <v>44483</v>
      </c>
      <c r="G57" s="147">
        <f t="shared" si="13"/>
        <v>78</v>
      </c>
      <c r="H57" s="4"/>
      <c r="I57" s="4"/>
      <c r="J57" s="4"/>
      <c r="K57" s="62">
        <f>B57</f>
        <v>27588000</v>
      </c>
      <c r="L57" s="4"/>
    </row>
    <row r="58" spans="1:12">
      <c r="A58" s="387"/>
      <c r="B58" s="116">
        <v>14256000</v>
      </c>
      <c r="C58" s="1"/>
      <c r="D58" s="4">
        <v>44453</v>
      </c>
      <c r="E58" s="147">
        <v>30</v>
      </c>
      <c r="F58" s="4">
        <f t="shared" si="12"/>
        <v>44483</v>
      </c>
      <c r="G58" s="147">
        <f t="shared" si="13"/>
        <v>78</v>
      </c>
      <c r="H58" s="4"/>
      <c r="I58" s="4"/>
      <c r="J58" s="4"/>
      <c r="K58" s="62">
        <f>B58</f>
        <v>14256000</v>
      </c>
      <c r="L58" s="4"/>
    </row>
    <row r="59" spans="1:12">
      <c r="A59" s="387" t="s">
        <v>220</v>
      </c>
      <c r="B59" s="116">
        <v>43200000</v>
      </c>
      <c r="C59" s="1"/>
      <c r="D59" s="4">
        <v>44539</v>
      </c>
      <c r="E59" s="147">
        <v>30</v>
      </c>
      <c r="F59" s="4">
        <f t="shared" si="12"/>
        <v>44569</v>
      </c>
      <c r="G59" s="147">
        <f t="shared" ref="G59:G60" si="14">$A$4-F59</f>
        <v>-8</v>
      </c>
      <c r="H59" s="62">
        <f>B59</f>
        <v>43200000</v>
      </c>
      <c r="I59" s="4"/>
      <c r="J59" s="4"/>
      <c r="K59" s="4"/>
      <c r="L59" s="4"/>
    </row>
    <row r="60" spans="1:12">
      <c r="A60" s="387"/>
      <c r="B60" s="116">
        <v>43200000</v>
      </c>
      <c r="C60" s="1"/>
      <c r="D60" s="4">
        <v>44540</v>
      </c>
      <c r="E60" s="147">
        <v>30</v>
      </c>
      <c r="F60" s="4">
        <f t="shared" si="12"/>
        <v>44570</v>
      </c>
      <c r="G60" s="147">
        <f t="shared" si="14"/>
        <v>-9</v>
      </c>
      <c r="H60" s="62">
        <f>B60</f>
        <v>43200000</v>
      </c>
      <c r="I60" s="4"/>
      <c r="J60" s="4"/>
      <c r="K60" s="4"/>
      <c r="L60" s="4"/>
    </row>
    <row r="61" spans="1:12">
      <c r="A61" s="387" t="s">
        <v>21</v>
      </c>
      <c r="B61" s="116">
        <v>54450000</v>
      </c>
      <c r="C61" s="1"/>
      <c r="D61" s="4">
        <v>44460</v>
      </c>
      <c r="E61" s="147">
        <v>30</v>
      </c>
      <c r="F61" s="4">
        <f t="shared" si="12"/>
        <v>44490</v>
      </c>
      <c r="G61" s="147">
        <f t="shared" ref="G61:G62" si="15">$A$4-F61</f>
        <v>71</v>
      </c>
      <c r="H61" s="4"/>
      <c r="I61" s="4"/>
      <c r="J61" s="4"/>
      <c r="K61" s="62">
        <f>B61</f>
        <v>54450000</v>
      </c>
      <c r="L61" s="4"/>
    </row>
    <row r="62" spans="1:12">
      <c r="A62" s="387"/>
      <c r="B62" s="116">
        <v>54450000</v>
      </c>
      <c r="C62" s="1"/>
      <c r="D62" s="4">
        <v>44460</v>
      </c>
      <c r="E62" s="147">
        <v>30</v>
      </c>
      <c r="F62" s="4">
        <f t="shared" si="12"/>
        <v>44490</v>
      </c>
      <c r="G62" s="147">
        <f t="shared" si="15"/>
        <v>71</v>
      </c>
      <c r="H62" s="4"/>
      <c r="I62" s="4"/>
      <c r="J62" s="4"/>
      <c r="K62" s="62">
        <f>B62</f>
        <v>54450000</v>
      </c>
      <c r="L62" s="4"/>
    </row>
    <row r="63" spans="1:12">
      <c r="A63" s="387" t="s">
        <v>23</v>
      </c>
      <c r="B63" s="116">
        <v>17500010</v>
      </c>
      <c r="C63" s="1"/>
      <c r="D63" s="4">
        <v>44443</v>
      </c>
      <c r="E63" s="147">
        <v>30</v>
      </c>
      <c r="F63" s="4">
        <f t="shared" si="12"/>
        <v>44473</v>
      </c>
      <c r="G63" s="147">
        <f t="shared" ref="G63:G64" si="16">$A$4-F63</f>
        <v>88</v>
      </c>
      <c r="H63" s="4"/>
      <c r="I63" s="4"/>
      <c r="J63" s="4"/>
      <c r="K63" s="62">
        <f>B63</f>
        <v>17500010</v>
      </c>
      <c r="L63" s="4"/>
    </row>
    <row r="64" spans="1:12">
      <c r="A64" s="387"/>
      <c r="B64" s="116">
        <v>17500010</v>
      </c>
      <c r="C64" s="1"/>
      <c r="D64" s="4">
        <v>44443</v>
      </c>
      <c r="E64" s="147">
        <v>30</v>
      </c>
      <c r="F64" s="4">
        <f t="shared" si="12"/>
        <v>44473</v>
      </c>
      <c r="G64" s="147">
        <f t="shared" si="16"/>
        <v>88</v>
      </c>
      <c r="H64" s="4"/>
      <c r="I64" s="4"/>
      <c r="J64" s="4"/>
      <c r="K64" s="62">
        <f>B64</f>
        <v>17500010</v>
      </c>
      <c r="L64" s="4"/>
    </row>
    <row r="65" spans="1:12">
      <c r="A65" s="136" t="s">
        <v>26</v>
      </c>
      <c r="B65" s="116">
        <v>15480000</v>
      </c>
      <c r="C65" s="1"/>
      <c r="D65" s="1"/>
      <c r="E65" s="147"/>
      <c r="F65" s="4"/>
      <c r="G65" s="4"/>
      <c r="H65" s="4"/>
      <c r="I65" s="62">
        <f>B65</f>
        <v>15480000</v>
      </c>
      <c r="J65" s="4"/>
      <c r="K65" s="4"/>
      <c r="L65" s="4"/>
    </row>
    <row r="66" spans="1:12">
      <c r="A66" s="386" t="s">
        <v>27</v>
      </c>
      <c r="B66" s="116">
        <v>10125000</v>
      </c>
      <c r="C66" s="1"/>
      <c r="D66" s="4">
        <v>44532</v>
      </c>
      <c r="E66" s="147">
        <v>30</v>
      </c>
      <c r="F66" s="4">
        <f t="shared" ref="F66:F97" si="17">D66+E66</f>
        <v>44562</v>
      </c>
      <c r="G66" s="147">
        <f t="shared" ref="G66:G79" si="18">$A$4-F66</f>
        <v>-1</v>
      </c>
      <c r="H66" s="62">
        <f t="shared" ref="H66:H79" si="19">B66</f>
        <v>10125000</v>
      </c>
      <c r="I66" s="4"/>
      <c r="J66" s="4"/>
      <c r="K66" s="4"/>
      <c r="L66" s="4"/>
    </row>
    <row r="67" spans="1:12">
      <c r="A67" s="386"/>
      <c r="B67" s="116">
        <v>50150000</v>
      </c>
      <c r="C67" s="1"/>
      <c r="D67" s="4">
        <v>44532</v>
      </c>
      <c r="E67" s="147">
        <v>30</v>
      </c>
      <c r="F67" s="4">
        <f t="shared" si="17"/>
        <v>44562</v>
      </c>
      <c r="G67" s="147">
        <f t="shared" si="18"/>
        <v>-1</v>
      </c>
      <c r="H67" s="62">
        <f t="shared" si="19"/>
        <v>50150000</v>
      </c>
      <c r="I67" s="4"/>
      <c r="J67" s="4"/>
      <c r="K67" s="4"/>
      <c r="L67" s="4"/>
    </row>
    <row r="68" spans="1:12">
      <c r="A68" s="386"/>
      <c r="B68" s="116">
        <v>21675000</v>
      </c>
      <c r="C68" s="1"/>
      <c r="D68" s="4">
        <v>44537</v>
      </c>
      <c r="E68" s="147">
        <v>30</v>
      </c>
      <c r="F68" s="4">
        <f t="shared" si="17"/>
        <v>44567</v>
      </c>
      <c r="G68" s="147">
        <f t="shared" si="18"/>
        <v>-6</v>
      </c>
      <c r="H68" s="62">
        <f t="shared" si="19"/>
        <v>21675000</v>
      </c>
      <c r="I68" s="4"/>
      <c r="J68" s="4"/>
      <c r="K68" s="4"/>
      <c r="L68" s="4"/>
    </row>
    <row r="69" spans="1:12">
      <c r="A69" s="386"/>
      <c r="B69" s="116">
        <v>14150000</v>
      </c>
      <c r="C69" s="1"/>
      <c r="D69" s="4">
        <v>44537</v>
      </c>
      <c r="E69" s="147">
        <v>30</v>
      </c>
      <c r="F69" s="4">
        <f t="shared" si="17"/>
        <v>44567</v>
      </c>
      <c r="G69" s="147">
        <f t="shared" si="18"/>
        <v>-6</v>
      </c>
      <c r="H69" s="62">
        <f t="shared" si="19"/>
        <v>14150000</v>
      </c>
      <c r="I69" s="4"/>
      <c r="J69" s="4"/>
      <c r="K69" s="4"/>
      <c r="L69" s="4"/>
    </row>
    <row r="70" spans="1:12">
      <c r="A70" s="386"/>
      <c r="B70" s="116">
        <v>31900000</v>
      </c>
      <c r="C70" s="1"/>
      <c r="D70" s="4">
        <v>44543</v>
      </c>
      <c r="E70" s="147">
        <v>30</v>
      </c>
      <c r="F70" s="4">
        <f t="shared" si="17"/>
        <v>44573</v>
      </c>
      <c r="G70" s="147">
        <f t="shared" si="18"/>
        <v>-12</v>
      </c>
      <c r="H70" s="62">
        <f t="shared" si="19"/>
        <v>31900000</v>
      </c>
      <c r="I70" s="4"/>
      <c r="J70" s="4"/>
      <c r="K70" s="4"/>
      <c r="L70" s="4"/>
    </row>
    <row r="71" spans="1:12">
      <c r="A71" s="386"/>
      <c r="B71" s="116">
        <v>51420000</v>
      </c>
      <c r="C71" s="1"/>
      <c r="D71" s="4">
        <v>44537</v>
      </c>
      <c r="E71" s="147">
        <v>30</v>
      </c>
      <c r="F71" s="4">
        <f t="shared" si="17"/>
        <v>44567</v>
      </c>
      <c r="G71" s="147">
        <f t="shared" si="18"/>
        <v>-6</v>
      </c>
      <c r="H71" s="62">
        <f t="shared" si="19"/>
        <v>51420000</v>
      </c>
      <c r="I71" s="4"/>
      <c r="J71" s="4"/>
      <c r="K71" s="4"/>
      <c r="L71" s="4"/>
    </row>
    <row r="72" spans="1:12">
      <c r="A72" s="386"/>
      <c r="B72" s="116">
        <v>21725000</v>
      </c>
      <c r="C72" s="1"/>
      <c r="D72" s="4">
        <v>44537</v>
      </c>
      <c r="E72" s="147">
        <v>30</v>
      </c>
      <c r="F72" s="4">
        <f t="shared" si="17"/>
        <v>44567</v>
      </c>
      <c r="G72" s="147">
        <f t="shared" si="18"/>
        <v>-6</v>
      </c>
      <c r="H72" s="62">
        <f t="shared" si="19"/>
        <v>21725000</v>
      </c>
      <c r="I72" s="4"/>
      <c r="J72" s="4"/>
      <c r="K72" s="4"/>
      <c r="L72" s="4"/>
    </row>
    <row r="73" spans="1:12">
      <c r="A73" s="386"/>
      <c r="B73" s="116">
        <v>39710000</v>
      </c>
      <c r="C73" s="1"/>
      <c r="D73" s="4">
        <v>44551</v>
      </c>
      <c r="E73" s="147">
        <v>30</v>
      </c>
      <c r="F73" s="4">
        <f t="shared" si="17"/>
        <v>44581</v>
      </c>
      <c r="G73" s="147">
        <f t="shared" si="18"/>
        <v>-20</v>
      </c>
      <c r="H73" s="62">
        <f t="shared" si="19"/>
        <v>39710000</v>
      </c>
      <c r="I73" s="4"/>
      <c r="J73" s="4"/>
      <c r="K73" s="4"/>
      <c r="L73" s="4"/>
    </row>
    <row r="74" spans="1:12">
      <c r="A74" s="386"/>
      <c r="B74" s="116">
        <v>65950000</v>
      </c>
      <c r="C74" s="1"/>
      <c r="D74" s="4">
        <v>44558</v>
      </c>
      <c r="E74" s="147">
        <v>30</v>
      </c>
      <c r="F74" s="4">
        <f t="shared" si="17"/>
        <v>44588</v>
      </c>
      <c r="G74" s="147">
        <f t="shared" si="18"/>
        <v>-27</v>
      </c>
      <c r="H74" s="62">
        <f t="shared" si="19"/>
        <v>65950000</v>
      </c>
      <c r="I74" s="4"/>
      <c r="J74" s="4"/>
      <c r="K74" s="4"/>
      <c r="L74" s="4"/>
    </row>
    <row r="75" spans="1:12">
      <c r="A75" s="386"/>
      <c r="B75" s="116">
        <v>16980000</v>
      </c>
      <c r="C75" s="1"/>
      <c r="D75" s="4">
        <v>44552</v>
      </c>
      <c r="E75" s="147">
        <v>30</v>
      </c>
      <c r="F75" s="4">
        <f t="shared" si="17"/>
        <v>44582</v>
      </c>
      <c r="G75" s="147">
        <f t="shared" si="18"/>
        <v>-21</v>
      </c>
      <c r="H75" s="62">
        <f t="shared" si="19"/>
        <v>16980000</v>
      </c>
      <c r="I75" s="4"/>
      <c r="J75" s="4"/>
      <c r="K75" s="4"/>
      <c r="L75" s="4"/>
    </row>
    <row r="76" spans="1:12">
      <c r="A76" s="386"/>
      <c r="B76" s="116">
        <v>28300000</v>
      </c>
      <c r="C76" s="1"/>
      <c r="D76" s="4">
        <v>44552</v>
      </c>
      <c r="E76" s="147">
        <v>30</v>
      </c>
      <c r="F76" s="4">
        <f t="shared" si="17"/>
        <v>44582</v>
      </c>
      <c r="G76" s="147">
        <f t="shared" si="18"/>
        <v>-21</v>
      </c>
      <c r="H76" s="62">
        <f t="shared" si="19"/>
        <v>28300000</v>
      </c>
      <c r="I76" s="4"/>
      <c r="J76" s="4"/>
      <c r="K76" s="4"/>
      <c r="L76" s="4"/>
    </row>
    <row r="77" spans="1:12">
      <c r="A77" s="386"/>
      <c r="B77" s="116">
        <v>14150000</v>
      </c>
      <c r="C77" s="1"/>
      <c r="D77" s="4">
        <v>44551</v>
      </c>
      <c r="E77" s="147">
        <v>30</v>
      </c>
      <c r="F77" s="4">
        <f t="shared" si="17"/>
        <v>44581</v>
      </c>
      <c r="G77" s="147">
        <f t="shared" si="18"/>
        <v>-20</v>
      </c>
      <c r="H77" s="62">
        <f t="shared" si="19"/>
        <v>14150000</v>
      </c>
      <c r="I77" s="4"/>
      <c r="J77" s="4"/>
      <c r="K77" s="4"/>
      <c r="L77" s="4"/>
    </row>
    <row r="78" spans="1:12">
      <c r="A78" s="386"/>
      <c r="B78" s="116">
        <v>65250000</v>
      </c>
      <c r="C78" s="1"/>
      <c r="D78" s="4">
        <v>44543</v>
      </c>
      <c r="E78" s="147">
        <v>30</v>
      </c>
      <c r="F78" s="4">
        <f t="shared" si="17"/>
        <v>44573</v>
      </c>
      <c r="G78" s="147">
        <f t="shared" si="18"/>
        <v>-12</v>
      </c>
      <c r="H78" s="62">
        <f t="shared" si="19"/>
        <v>65250000</v>
      </c>
      <c r="I78" s="4"/>
      <c r="J78" s="4"/>
      <c r="K78" s="4"/>
      <c r="L78" s="4"/>
    </row>
    <row r="79" spans="1:12">
      <c r="A79" s="386"/>
      <c r="B79" s="116">
        <v>72350000</v>
      </c>
      <c r="C79" s="1"/>
      <c r="D79" s="4">
        <v>44560</v>
      </c>
      <c r="E79" s="147">
        <v>30</v>
      </c>
      <c r="F79" s="4">
        <f t="shared" si="17"/>
        <v>44590</v>
      </c>
      <c r="G79" s="147">
        <f t="shared" si="18"/>
        <v>-29</v>
      </c>
      <c r="H79" s="62">
        <f t="shared" si="19"/>
        <v>72350000</v>
      </c>
      <c r="I79" s="4"/>
      <c r="J79" s="4"/>
      <c r="K79" s="4"/>
      <c r="L79" s="4"/>
    </row>
    <row r="80" spans="1:12">
      <c r="A80" s="386" t="s">
        <v>28</v>
      </c>
      <c r="B80" s="116">
        <v>12390000</v>
      </c>
      <c r="C80" s="1"/>
      <c r="D80" s="4">
        <v>44410</v>
      </c>
      <c r="E80" s="147">
        <v>30</v>
      </c>
      <c r="F80" s="4">
        <f t="shared" si="17"/>
        <v>44440</v>
      </c>
      <c r="G80" s="147">
        <f t="shared" ref="G80:G84" si="20">$A$4-F80</f>
        <v>121</v>
      </c>
      <c r="H80" s="4"/>
      <c r="I80" s="4"/>
      <c r="J80" s="4"/>
      <c r="K80" s="4"/>
      <c r="L80" s="62">
        <f>B80</f>
        <v>12390000</v>
      </c>
    </row>
    <row r="81" spans="1:13">
      <c r="A81" s="386"/>
      <c r="B81" s="116">
        <v>12390000</v>
      </c>
      <c r="C81" s="1"/>
      <c r="D81" s="4">
        <v>44427</v>
      </c>
      <c r="E81" s="147">
        <v>30</v>
      </c>
      <c r="F81" s="4">
        <f t="shared" si="17"/>
        <v>44457</v>
      </c>
      <c r="G81" s="147">
        <f t="shared" si="20"/>
        <v>104</v>
      </c>
      <c r="H81" s="4"/>
      <c r="I81" s="4"/>
      <c r="J81" s="4"/>
      <c r="K81" s="4"/>
      <c r="L81" s="62">
        <f>B81</f>
        <v>12390000</v>
      </c>
    </row>
    <row r="82" spans="1:13">
      <c r="A82" s="386"/>
      <c r="B82" s="116">
        <v>12390000</v>
      </c>
      <c r="C82" s="1"/>
      <c r="D82" s="4">
        <v>44433</v>
      </c>
      <c r="E82" s="147">
        <v>30</v>
      </c>
      <c r="F82" s="4">
        <f t="shared" si="17"/>
        <v>44463</v>
      </c>
      <c r="G82" s="147">
        <f t="shared" si="20"/>
        <v>98</v>
      </c>
      <c r="H82" s="4"/>
      <c r="I82" s="4"/>
      <c r="J82" s="4"/>
      <c r="K82" s="4"/>
      <c r="L82" s="62">
        <f>B82</f>
        <v>12390000</v>
      </c>
    </row>
    <row r="83" spans="1:13">
      <c r="A83" s="386"/>
      <c r="B83" s="116">
        <v>12390000</v>
      </c>
      <c r="C83" s="1"/>
      <c r="D83" s="4">
        <v>44447</v>
      </c>
      <c r="E83" s="147">
        <v>30</v>
      </c>
      <c r="F83" s="4">
        <f t="shared" si="17"/>
        <v>44477</v>
      </c>
      <c r="G83" s="147">
        <f t="shared" si="20"/>
        <v>84</v>
      </c>
      <c r="H83" s="4"/>
      <c r="I83" s="4"/>
      <c r="J83" s="4"/>
      <c r="K83" s="62">
        <f>B83</f>
        <v>12390000</v>
      </c>
      <c r="L83" s="4"/>
    </row>
    <row r="84" spans="1:13">
      <c r="A84" s="386"/>
      <c r="B84" s="116">
        <v>12390000</v>
      </c>
      <c r="C84" s="1"/>
      <c r="D84" s="4">
        <v>44457</v>
      </c>
      <c r="E84" s="147">
        <v>30</v>
      </c>
      <c r="F84" s="4">
        <f t="shared" si="17"/>
        <v>44487</v>
      </c>
      <c r="G84" s="147">
        <f t="shared" si="20"/>
        <v>74</v>
      </c>
      <c r="H84" s="4"/>
      <c r="I84" s="4"/>
      <c r="J84" s="4"/>
      <c r="K84" s="62">
        <f>B84</f>
        <v>12390000</v>
      </c>
      <c r="L84" s="4"/>
    </row>
    <row r="85" spans="1:13">
      <c r="A85" s="386" t="s">
        <v>29</v>
      </c>
      <c r="B85" s="116">
        <v>9350000</v>
      </c>
      <c r="C85" s="1"/>
      <c r="D85" s="4">
        <v>44412</v>
      </c>
      <c r="E85" s="147">
        <v>30</v>
      </c>
      <c r="F85" s="4">
        <f t="shared" si="17"/>
        <v>44442</v>
      </c>
      <c r="G85" s="147">
        <f t="shared" ref="G85:G91" si="21">$A$4-F85</f>
        <v>119</v>
      </c>
      <c r="H85" s="4"/>
      <c r="I85" s="4"/>
      <c r="J85" s="4"/>
      <c r="K85" s="4"/>
      <c r="L85" s="62">
        <f>B85</f>
        <v>9350000</v>
      </c>
    </row>
    <row r="86" spans="1:13">
      <c r="A86" s="386"/>
      <c r="B86" s="116">
        <v>6800000</v>
      </c>
      <c r="C86" s="1"/>
      <c r="D86" s="4">
        <v>44412</v>
      </c>
      <c r="E86" s="147">
        <v>30</v>
      </c>
      <c r="F86" s="4">
        <f t="shared" si="17"/>
        <v>44442</v>
      </c>
      <c r="G86" s="147">
        <f t="shared" si="21"/>
        <v>119</v>
      </c>
      <c r="H86" s="4"/>
      <c r="I86" s="4"/>
      <c r="J86" s="4"/>
      <c r="K86" s="4"/>
      <c r="L86" s="62">
        <f>B86</f>
        <v>6800000</v>
      </c>
    </row>
    <row r="87" spans="1:13">
      <c r="A87" s="386"/>
      <c r="B87" s="116">
        <v>9350000</v>
      </c>
      <c r="C87" s="1"/>
      <c r="D87" s="4">
        <v>44504</v>
      </c>
      <c r="E87" s="147">
        <v>30</v>
      </c>
      <c r="F87" s="4">
        <f t="shared" si="17"/>
        <v>44534</v>
      </c>
      <c r="G87" s="147">
        <f t="shared" si="21"/>
        <v>27</v>
      </c>
      <c r="H87" s="4"/>
      <c r="I87" s="62">
        <f>B87</f>
        <v>9350000</v>
      </c>
      <c r="J87" s="4"/>
      <c r="K87" s="4"/>
      <c r="L87" s="4"/>
    </row>
    <row r="88" spans="1:13">
      <c r="A88" s="386"/>
      <c r="B88" s="116">
        <v>9350000</v>
      </c>
      <c r="C88" s="1"/>
      <c r="D88" s="4">
        <v>44432</v>
      </c>
      <c r="E88" s="147">
        <v>30</v>
      </c>
      <c r="F88" s="4">
        <f t="shared" si="17"/>
        <v>44462</v>
      </c>
      <c r="G88" s="147">
        <f t="shared" si="21"/>
        <v>99</v>
      </c>
      <c r="H88" s="4"/>
      <c r="I88" s="4"/>
      <c r="J88" s="4"/>
      <c r="K88" s="4"/>
      <c r="L88" s="62">
        <f>B88</f>
        <v>9350000</v>
      </c>
    </row>
    <row r="89" spans="1:13">
      <c r="A89" s="386"/>
      <c r="B89" s="116">
        <v>9350000</v>
      </c>
      <c r="C89" s="1"/>
      <c r="D89" s="4">
        <v>44439</v>
      </c>
      <c r="E89" s="147">
        <v>30</v>
      </c>
      <c r="F89" s="4">
        <f t="shared" si="17"/>
        <v>44469</v>
      </c>
      <c r="G89" s="147">
        <f t="shared" si="21"/>
        <v>92</v>
      </c>
      <c r="H89" s="4"/>
      <c r="I89" s="4"/>
      <c r="J89" s="4"/>
      <c r="K89" s="4"/>
      <c r="L89" s="62">
        <f>B89</f>
        <v>9350000</v>
      </c>
    </row>
    <row r="90" spans="1:13">
      <c r="A90" s="386"/>
      <c r="B90" s="116">
        <v>9350000</v>
      </c>
      <c r="C90" s="1"/>
      <c r="D90" s="4">
        <v>44537</v>
      </c>
      <c r="E90" s="147">
        <v>30</v>
      </c>
      <c r="F90" s="4">
        <f t="shared" si="17"/>
        <v>44567</v>
      </c>
      <c r="G90" s="147">
        <f t="shared" si="21"/>
        <v>-6</v>
      </c>
      <c r="H90" s="62">
        <f>B90</f>
        <v>9350000</v>
      </c>
      <c r="I90" s="4"/>
      <c r="J90" s="4"/>
      <c r="K90" s="4"/>
      <c r="L90" s="4"/>
    </row>
    <row r="91" spans="1:13">
      <c r="A91" s="386"/>
      <c r="B91" s="116">
        <v>6700000</v>
      </c>
      <c r="C91" s="1"/>
      <c r="D91" s="4">
        <v>44475</v>
      </c>
      <c r="E91" s="147">
        <v>30</v>
      </c>
      <c r="F91" s="4">
        <f t="shared" si="17"/>
        <v>44505</v>
      </c>
      <c r="G91" s="147">
        <f t="shared" si="21"/>
        <v>56</v>
      </c>
      <c r="H91" s="4"/>
      <c r="I91" s="4"/>
      <c r="J91" s="62">
        <f>B91</f>
        <v>6700000</v>
      </c>
      <c r="K91" s="4"/>
      <c r="L91" s="4"/>
    </row>
    <row r="92" spans="1:13">
      <c r="A92" s="386"/>
      <c r="B92" s="237">
        <f>759090*0</f>
        <v>0</v>
      </c>
      <c r="C92" s="7"/>
      <c r="D92" s="238">
        <v>44504</v>
      </c>
      <c r="E92" s="239">
        <v>30</v>
      </c>
      <c r="F92" s="238">
        <f t="shared" si="17"/>
        <v>44534</v>
      </c>
      <c r="G92" s="239">
        <f t="shared" ref="G92:G93" si="22">$A$4-F92</f>
        <v>27</v>
      </c>
      <c r="H92" s="240"/>
      <c r="I92" s="241">
        <f>B92</f>
        <v>0</v>
      </c>
      <c r="J92" s="240"/>
      <c r="K92" s="240"/>
      <c r="L92" s="240"/>
      <c r="M92" t="s">
        <v>487</v>
      </c>
    </row>
    <row r="93" spans="1:13">
      <c r="A93" s="136" t="s">
        <v>32</v>
      </c>
      <c r="B93" s="116">
        <v>12964500</v>
      </c>
      <c r="C93" s="1"/>
      <c r="D93" s="4">
        <v>44504</v>
      </c>
      <c r="E93" s="147">
        <v>30</v>
      </c>
      <c r="F93" s="4">
        <f t="shared" si="17"/>
        <v>44534</v>
      </c>
      <c r="G93" s="147">
        <f t="shared" si="22"/>
        <v>27</v>
      </c>
      <c r="H93" s="4"/>
      <c r="I93" s="62">
        <f>B93</f>
        <v>12964500</v>
      </c>
      <c r="J93" s="4"/>
      <c r="K93" s="4"/>
      <c r="L93" s="4"/>
    </row>
    <row r="94" spans="1:13">
      <c r="A94" s="386" t="s">
        <v>34</v>
      </c>
      <c r="B94" s="116">
        <v>102000575</v>
      </c>
      <c r="C94" s="1"/>
      <c r="D94" s="4">
        <v>44496</v>
      </c>
      <c r="E94" s="147">
        <v>30</v>
      </c>
      <c r="F94" s="4">
        <f t="shared" si="17"/>
        <v>44526</v>
      </c>
      <c r="G94" s="147">
        <f t="shared" ref="G94:G95" si="23">$A$4-F94</f>
        <v>35</v>
      </c>
      <c r="H94" s="4"/>
      <c r="I94" s="4"/>
      <c r="J94" s="62">
        <f>B94</f>
        <v>102000575</v>
      </c>
      <c r="K94" s="4"/>
      <c r="L94" s="4"/>
    </row>
    <row r="95" spans="1:13">
      <c r="A95" s="386"/>
      <c r="B95" s="116">
        <v>62500012</v>
      </c>
      <c r="C95" s="1"/>
      <c r="D95" s="4">
        <v>44525</v>
      </c>
      <c r="E95" s="147">
        <v>30</v>
      </c>
      <c r="F95" s="4">
        <f t="shared" si="17"/>
        <v>44555</v>
      </c>
      <c r="G95" s="147">
        <f t="shared" si="23"/>
        <v>6</v>
      </c>
      <c r="H95" s="4"/>
      <c r="I95" s="62">
        <f>B95</f>
        <v>62500012</v>
      </c>
      <c r="J95" s="4"/>
      <c r="K95" s="4"/>
      <c r="L95" s="4"/>
    </row>
    <row r="96" spans="1:13">
      <c r="A96" s="386" t="s">
        <v>35</v>
      </c>
      <c r="B96" s="116">
        <v>115500</v>
      </c>
      <c r="C96" s="138"/>
      <c r="D96" s="4">
        <v>44409</v>
      </c>
      <c r="E96" s="147">
        <v>30</v>
      </c>
      <c r="F96" s="4">
        <f t="shared" si="17"/>
        <v>44439</v>
      </c>
      <c r="G96" s="147">
        <f t="shared" ref="G96:G159" si="24">$A$4-F96</f>
        <v>122</v>
      </c>
      <c r="H96" s="4"/>
      <c r="I96" s="4"/>
      <c r="J96" s="4"/>
      <c r="K96" s="4"/>
      <c r="L96" s="62">
        <f t="shared" ref="L96:L122" si="25">B96</f>
        <v>115500</v>
      </c>
    </row>
    <row r="97" spans="1:12">
      <c r="A97" s="386"/>
      <c r="B97" s="116">
        <v>935000</v>
      </c>
      <c r="C97" s="1"/>
      <c r="D97" s="4">
        <v>44409</v>
      </c>
      <c r="E97" s="147">
        <v>30</v>
      </c>
      <c r="F97" s="4">
        <f t="shared" si="17"/>
        <v>44439</v>
      </c>
      <c r="G97" s="147">
        <f t="shared" si="24"/>
        <v>122</v>
      </c>
      <c r="H97" s="4"/>
      <c r="I97" s="4"/>
      <c r="J97" s="4"/>
      <c r="K97" s="4"/>
      <c r="L97" s="62">
        <f t="shared" si="25"/>
        <v>935000</v>
      </c>
    </row>
    <row r="98" spans="1:12">
      <c r="A98" s="386"/>
      <c r="B98" s="116">
        <v>46750</v>
      </c>
      <c r="C98" s="1"/>
      <c r="D98" s="4">
        <v>44409</v>
      </c>
      <c r="E98" s="147">
        <v>30</v>
      </c>
      <c r="F98" s="4">
        <f t="shared" ref="F98:F129" si="26">D98+E98</f>
        <v>44439</v>
      </c>
      <c r="G98" s="147">
        <f t="shared" si="24"/>
        <v>122</v>
      </c>
      <c r="H98" s="4"/>
      <c r="I98" s="4"/>
      <c r="J98" s="4"/>
      <c r="K98" s="4"/>
      <c r="L98" s="62">
        <f t="shared" si="25"/>
        <v>46750</v>
      </c>
    </row>
    <row r="99" spans="1:12">
      <c r="A99" s="386"/>
      <c r="B99" s="116">
        <v>104500</v>
      </c>
      <c r="C99" s="1"/>
      <c r="D99" s="4">
        <v>44409</v>
      </c>
      <c r="E99" s="147">
        <v>30</v>
      </c>
      <c r="F99" s="4">
        <f t="shared" si="26"/>
        <v>44439</v>
      </c>
      <c r="G99" s="147">
        <f t="shared" si="24"/>
        <v>122</v>
      </c>
      <c r="H99" s="4"/>
      <c r="I99" s="4"/>
      <c r="J99" s="4"/>
      <c r="K99" s="4"/>
      <c r="L99" s="62">
        <f t="shared" si="25"/>
        <v>104500</v>
      </c>
    </row>
    <row r="100" spans="1:12">
      <c r="A100" s="386"/>
      <c r="B100" s="116">
        <v>2178000</v>
      </c>
      <c r="C100" s="1"/>
      <c r="D100" s="4">
        <v>44409</v>
      </c>
      <c r="E100" s="147">
        <v>30</v>
      </c>
      <c r="F100" s="4">
        <f t="shared" si="26"/>
        <v>44439</v>
      </c>
      <c r="G100" s="147">
        <f t="shared" si="24"/>
        <v>122</v>
      </c>
      <c r="H100" s="4"/>
      <c r="I100" s="4"/>
      <c r="J100" s="4"/>
      <c r="K100" s="4"/>
      <c r="L100" s="62">
        <f t="shared" si="25"/>
        <v>2178000</v>
      </c>
    </row>
    <row r="101" spans="1:12">
      <c r="A101" s="386"/>
      <c r="B101" s="116">
        <v>137500</v>
      </c>
      <c r="C101" s="1"/>
      <c r="D101" s="4">
        <v>44409</v>
      </c>
      <c r="E101" s="147">
        <v>30</v>
      </c>
      <c r="F101" s="4">
        <f t="shared" si="26"/>
        <v>44439</v>
      </c>
      <c r="G101" s="147">
        <f t="shared" si="24"/>
        <v>122</v>
      </c>
      <c r="H101" s="4"/>
      <c r="I101" s="4"/>
      <c r="J101" s="4"/>
      <c r="K101" s="4"/>
      <c r="L101" s="62">
        <f t="shared" si="25"/>
        <v>137500</v>
      </c>
    </row>
    <row r="102" spans="1:12">
      <c r="A102" s="386"/>
      <c r="B102" s="116">
        <v>114070</v>
      </c>
      <c r="C102" s="1"/>
      <c r="D102" s="4">
        <v>44409</v>
      </c>
      <c r="E102" s="147">
        <v>30</v>
      </c>
      <c r="F102" s="4">
        <f t="shared" si="26"/>
        <v>44439</v>
      </c>
      <c r="G102" s="147">
        <f t="shared" si="24"/>
        <v>122</v>
      </c>
      <c r="H102" s="4"/>
      <c r="I102" s="4"/>
      <c r="J102" s="4"/>
      <c r="K102" s="4"/>
      <c r="L102" s="62">
        <f t="shared" si="25"/>
        <v>114070</v>
      </c>
    </row>
    <row r="103" spans="1:12">
      <c r="A103" s="386"/>
      <c r="B103" s="116">
        <v>165000</v>
      </c>
      <c r="C103" s="1"/>
      <c r="D103" s="4">
        <v>44409</v>
      </c>
      <c r="E103" s="147">
        <v>30</v>
      </c>
      <c r="F103" s="4">
        <f t="shared" si="26"/>
        <v>44439</v>
      </c>
      <c r="G103" s="147">
        <f t="shared" si="24"/>
        <v>122</v>
      </c>
      <c r="H103" s="4"/>
      <c r="I103" s="4"/>
      <c r="J103" s="4"/>
      <c r="K103" s="4"/>
      <c r="L103" s="62">
        <f t="shared" si="25"/>
        <v>165000</v>
      </c>
    </row>
    <row r="104" spans="1:12">
      <c r="A104" s="386"/>
      <c r="B104" s="116">
        <v>407000</v>
      </c>
      <c r="C104" s="1"/>
      <c r="D104" s="4">
        <v>44409</v>
      </c>
      <c r="E104" s="147">
        <v>30</v>
      </c>
      <c r="F104" s="4">
        <f t="shared" si="26"/>
        <v>44439</v>
      </c>
      <c r="G104" s="147">
        <f t="shared" si="24"/>
        <v>122</v>
      </c>
      <c r="H104" s="4"/>
      <c r="I104" s="4"/>
      <c r="J104" s="4"/>
      <c r="K104" s="4"/>
      <c r="L104" s="62">
        <f t="shared" si="25"/>
        <v>407000</v>
      </c>
    </row>
    <row r="105" spans="1:12">
      <c r="A105" s="386"/>
      <c r="B105" s="116">
        <v>533500</v>
      </c>
      <c r="C105" s="1"/>
      <c r="D105" s="4">
        <v>44409</v>
      </c>
      <c r="E105" s="147">
        <v>30</v>
      </c>
      <c r="F105" s="4">
        <f t="shared" si="26"/>
        <v>44439</v>
      </c>
      <c r="G105" s="147">
        <f t="shared" si="24"/>
        <v>122</v>
      </c>
      <c r="H105" s="4"/>
      <c r="I105" s="4"/>
      <c r="J105" s="4"/>
      <c r="K105" s="4"/>
      <c r="L105" s="62">
        <f t="shared" si="25"/>
        <v>533500</v>
      </c>
    </row>
    <row r="106" spans="1:12">
      <c r="A106" s="386"/>
      <c r="B106" s="116">
        <v>951500</v>
      </c>
      <c r="C106" s="1"/>
      <c r="D106" s="4">
        <v>44409</v>
      </c>
      <c r="E106" s="147">
        <v>30</v>
      </c>
      <c r="F106" s="4">
        <f t="shared" si="26"/>
        <v>44439</v>
      </c>
      <c r="G106" s="147">
        <f t="shared" si="24"/>
        <v>122</v>
      </c>
      <c r="H106" s="4"/>
      <c r="I106" s="4"/>
      <c r="J106" s="4"/>
      <c r="K106" s="4"/>
      <c r="L106" s="62">
        <f t="shared" si="25"/>
        <v>951500</v>
      </c>
    </row>
    <row r="107" spans="1:12">
      <c r="A107" s="386"/>
      <c r="B107" s="116">
        <v>1199000</v>
      </c>
      <c r="C107" s="1"/>
      <c r="D107" s="4">
        <v>44409</v>
      </c>
      <c r="E107" s="147">
        <v>30</v>
      </c>
      <c r="F107" s="4">
        <f t="shared" si="26"/>
        <v>44439</v>
      </c>
      <c r="G107" s="147">
        <f t="shared" si="24"/>
        <v>122</v>
      </c>
      <c r="H107" s="4"/>
      <c r="I107" s="4"/>
      <c r="J107" s="4"/>
      <c r="K107" s="4"/>
      <c r="L107" s="62">
        <f t="shared" si="25"/>
        <v>1199000</v>
      </c>
    </row>
    <row r="108" spans="1:12">
      <c r="A108" s="386"/>
      <c r="B108" s="116">
        <v>129800</v>
      </c>
      <c r="C108" s="1"/>
      <c r="D108" s="4">
        <v>44409</v>
      </c>
      <c r="E108" s="147">
        <v>30</v>
      </c>
      <c r="F108" s="4">
        <f t="shared" si="26"/>
        <v>44439</v>
      </c>
      <c r="G108" s="147">
        <f t="shared" si="24"/>
        <v>122</v>
      </c>
      <c r="H108" s="4"/>
      <c r="I108" s="4"/>
      <c r="J108" s="4"/>
      <c r="K108" s="4"/>
      <c r="L108" s="62">
        <f t="shared" si="25"/>
        <v>129800</v>
      </c>
    </row>
    <row r="109" spans="1:12">
      <c r="A109" s="386"/>
      <c r="B109" s="116">
        <v>592900</v>
      </c>
      <c r="C109" s="1"/>
      <c r="D109" s="4">
        <v>44409</v>
      </c>
      <c r="E109" s="147">
        <v>30</v>
      </c>
      <c r="F109" s="4">
        <f t="shared" si="26"/>
        <v>44439</v>
      </c>
      <c r="G109" s="147">
        <f t="shared" si="24"/>
        <v>122</v>
      </c>
      <c r="H109" s="4"/>
      <c r="I109" s="4"/>
      <c r="J109" s="4"/>
      <c r="K109" s="4"/>
      <c r="L109" s="62">
        <f t="shared" si="25"/>
        <v>592900</v>
      </c>
    </row>
    <row r="110" spans="1:12">
      <c r="A110" s="386"/>
      <c r="B110" s="116">
        <v>506000</v>
      </c>
      <c r="C110" s="1"/>
      <c r="D110" s="4">
        <v>44409</v>
      </c>
      <c r="E110" s="147">
        <v>30</v>
      </c>
      <c r="F110" s="4">
        <f t="shared" si="26"/>
        <v>44439</v>
      </c>
      <c r="G110" s="147">
        <f t="shared" si="24"/>
        <v>122</v>
      </c>
      <c r="H110" s="4"/>
      <c r="I110" s="4"/>
      <c r="J110" s="4"/>
      <c r="K110" s="4"/>
      <c r="L110" s="62">
        <f t="shared" si="25"/>
        <v>506000</v>
      </c>
    </row>
    <row r="111" spans="1:12">
      <c r="A111" s="386"/>
      <c r="B111" s="116">
        <v>634700</v>
      </c>
      <c r="C111" s="1"/>
      <c r="D111" s="4">
        <v>44409</v>
      </c>
      <c r="E111" s="147">
        <v>30</v>
      </c>
      <c r="F111" s="4">
        <f t="shared" si="26"/>
        <v>44439</v>
      </c>
      <c r="G111" s="147">
        <f t="shared" si="24"/>
        <v>122</v>
      </c>
      <c r="H111" s="4"/>
      <c r="I111" s="4"/>
      <c r="J111" s="4"/>
      <c r="K111" s="4"/>
      <c r="L111" s="62">
        <f t="shared" si="25"/>
        <v>634700</v>
      </c>
    </row>
    <row r="112" spans="1:12">
      <c r="A112" s="386"/>
      <c r="B112" s="116">
        <v>365200</v>
      </c>
      <c r="C112" s="1"/>
      <c r="D112" s="4">
        <v>44409</v>
      </c>
      <c r="E112" s="147">
        <v>30</v>
      </c>
      <c r="F112" s="4">
        <f t="shared" si="26"/>
        <v>44439</v>
      </c>
      <c r="G112" s="147">
        <f t="shared" si="24"/>
        <v>122</v>
      </c>
      <c r="H112" s="4"/>
      <c r="I112" s="4"/>
      <c r="J112" s="4"/>
      <c r="K112" s="4"/>
      <c r="L112" s="62">
        <f t="shared" si="25"/>
        <v>365200</v>
      </c>
    </row>
    <row r="113" spans="1:12">
      <c r="A113" s="386"/>
      <c r="B113" s="116">
        <v>462000</v>
      </c>
      <c r="C113" s="1"/>
      <c r="D113" s="4">
        <v>44409</v>
      </c>
      <c r="E113" s="147">
        <v>30</v>
      </c>
      <c r="F113" s="4">
        <f t="shared" si="26"/>
        <v>44439</v>
      </c>
      <c r="G113" s="147">
        <f t="shared" si="24"/>
        <v>122</v>
      </c>
      <c r="H113" s="4"/>
      <c r="I113" s="4"/>
      <c r="J113" s="4"/>
      <c r="K113" s="4"/>
      <c r="L113" s="62">
        <f t="shared" si="25"/>
        <v>462000</v>
      </c>
    </row>
    <row r="114" spans="1:12">
      <c r="A114" s="386"/>
      <c r="B114" s="116">
        <v>3516150</v>
      </c>
      <c r="C114" s="1"/>
      <c r="D114" s="4">
        <v>44409</v>
      </c>
      <c r="E114" s="147">
        <v>30</v>
      </c>
      <c r="F114" s="4">
        <f t="shared" si="26"/>
        <v>44439</v>
      </c>
      <c r="G114" s="147">
        <f t="shared" si="24"/>
        <v>122</v>
      </c>
      <c r="H114" s="4"/>
      <c r="I114" s="4"/>
      <c r="J114" s="4"/>
      <c r="K114" s="4"/>
      <c r="L114" s="62">
        <f t="shared" si="25"/>
        <v>3516150</v>
      </c>
    </row>
    <row r="115" spans="1:12">
      <c r="A115" s="386"/>
      <c r="B115" s="116">
        <v>1119800</v>
      </c>
      <c r="C115" s="1"/>
      <c r="D115" s="4">
        <v>44409</v>
      </c>
      <c r="E115" s="147">
        <v>30</v>
      </c>
      <c r="F115" s="4">
        <f t="shared" si="26"/>
        <v>44439</v>
      </c>
      <c r="G115" s="147">
        <f t="shared" si="24"/>
        <v>122</v>
      </c>
      <c r="H115" s="4"/>
      <c r="I115" s="4"/>
      <c r="J115" s="4"/>
      <c r="K115" s="4"/>
      <c r="L115" s="62">
        <f t="shared" si="25"/>
        <v>1119800</v>
      </c>
    </row>
    <row r="116" spans="1:12">
      <c r="A116" s="386"/>
      <c r="B116" s="116">
        <v>1512500</v>
      </c>
      <c r="C116" s="1"/>
      <c r="D116" s="4">
        <v>44410</v>
      </c>
      <c r="E116" s="147">
        <v>30</v>
      </c>
      <c r="F116" s="4">
        <f t="shared" si="26"/>
        <v>44440</v>
      </c>
      <c r="G116" s="147">
        <f t="shared" si="24"/>
        <v>121</v>
      </c>
      <c r="H116" s="4"/>
      <c r="I116" s="4"/>
      <c r="J116" s="4"/>
      <c r="K116" s="4"/>
      <c r="L116" s="62">
        <f t="shared" si="25"/>
        <v>1512500</v>
      </c>
    </row>
    <row r="117" spans="1:12">
      <c r="A117" s="386"/>
      <c r="B117" s="116">
        <v>1490500</v>
      </c>
      <c r="C117" s="1"/>
      <c r="D117" s="4">
        <v>44440</v>
      </c>
      <c r="E117" s="147">
        <v>30</v>
      </c>
      <c r="F117" s="4">
        <f t="shared" si="26"/>
        <v>44470</v>
      </c>
      <c r="G117" s="147">
        <f t="shared" si="24"/>
        <v>91</v>
      </c>
      <c r="H117" s="4"/>
      <c r="I117" s="4"/>
      <c r="J117" s="4"/>
      <c r="K117" s="4"/>
      <c r="L117" s="62">
        <f t="shared" si="25"/>
        <v>1490500</v>
      </c>
    </row>
    <row r="118" spans="1:12">
      <c r="A118" s="386"/>
      <c r="B118" s="116">
        <v>1578500</v>
      </c>
      <c r="C118" s="1"/>
      <c r="D118" s="4">
        <v>44440</v>
      </c>
      <c r="E118" s="147">
        <v>30</v>
      </c>
      <c r="F118" s="4">
        <f t="shared" si="26"/>
        <v>44470</v>
      </c>
      <c r="G118" s="147">
        <f t="shared" si="24"/>
        <v>91</v>
      </c>
      <c r="H118" s="4"/>
      <c r="I118" s="4"/>
      <c r="J118" s="4"/>
      <c r="K118" s="4"/>
      <c r="L118" s="62">
        <f t="shared" si="25"/>
        <v>1578500</v>
      </c>
    </row>
    <row r="119" spans="1:12">
      <c r="A119" s="386"/>
      <c r="B119" s="116">
        <v>478500</v>
      </c>
      <c r="C119" s="1"/>
      <c r="D119" s="4">
        <v>44440</v>
      </c>
      <c r="E119" s="147">
        <v>30</v>
      </c>
      <c r="F119" s="4">
        <f t="shared" si="26"/>
        <v>44470</v>
      </c>
      <c r="G119" s="147">
        <f t="shared" si="24"/>
        <v>91</v>
      </c>
      <c r="H119" s="4"/>
      <c r="I119" s="4"/>
      <c r="J119" s="4"/>
      <c r="K119" s="4"/>
      <c r="L119" s="62">
        <f t="shared" si="25"/>
        <v>478500</v>
      </c>
    </row>
    <row r="120" spans="1:12">
      <c r="A120" s="386"/>
      <c r="B120" s="116">
        <v>226600</v>
      </c>
      <c r="C120" s="1"/>
      <c r="D120" s="4">
        <v>44440</v>
      </c>
      <c r="E120" s="147">
        <v>30</v>
      </c>
      <c r="F120" s="4">
        <f t="shared" si="26"/>
        <v>44470</v>
      </c>
      <c r="G120" s="147">
        <f t="shared" si="24"/>
        <v>91</v>
      </c>
      <c r="H120" s="4"/>
      <c r="I120" s="4"/>
      <c r="J120" s="4"/>
      <c r="K120" s="4"/>
      <c r="L120" s="62">
        <f t="shared" si="25"/>
        <v>226600</v>
      </c>
    </row>
    <row r="121" spans="1:12">
      <c r="A121" s="386"/>
      <c r="B121" s="116">
        <v>225500</v>
      </c>
      <c r="C121" s="1"/>
      <c r="D121" s="4">
        <v>44440</v>
      </c>
      <c r="E121" s="147">
        <v>30</v>
      </c>
      <c r="F121" s="4">
        <f t="shared" si="26"/>
        <v>44470</v>
      </c>
      <c r="G121" s="147">
        <f t="shared" si="24"/>
        <v>91</v>
      </c>
      <c r="H121" s="4"/>
      <c r="I121" s="4"/>
      <c r="J121" s="4"/>
      <c r="K121" s="4"/>
      <c r="L121" s="62">
        <f t="shared" si="25"/>
        <v>225500</v>
      </c>
    </row>
    <row r="122" spans="1:12">
      <c r="A122" s="386"/>
      <c r="B122" s="116">
        <v>941050</v>
      </c>
      <c r="C122" s="1"/>
      <c r="D122" s="4">
        <v>44440</v>
      </c>
      <c r="E122" s="147">
        <v>30</v>
      </c>
      <c r="F122" s="4">
        <f t="shared" si="26"/>
        <v>44470</v>
      </c>
      <c r="G122" s="147">
        <f t="shared" si="24"/>
        <v>91</v>
      </c>
      <c r="H122" s="4"/>
      <c r="I122" s="4"/>
      <c r="J122" s="4"/>
      <c r="K122" s="4"/>
      <c r="L122" s="62">
        <f t="shared" si="25"/>
        <v>941050</v>
      </c>
    </row>
    <row r="123" spans="1:12">
      <c r="A123" s="386"/>
      <c r="B123" s="116">
        <v>176000</v>
      </c>
      <c r="C123" s="1"/>
      <c r="D123" s="4">
        <v>44447</v>
      </c>
      <c r="E123" s="147">
        <v>30</v>
      </c>
      <c r="F123" s="4">
        <f t="shared" si="26"/>
        <v>44477</v>
      </c>
      <c r="G123" s="147">
        <f t="shared" si="24"/>
        <v>84</v>
      </c>
      <c r="H123" s="4"/>
      <c r="I123" s="4"/>
      <c r="J123" s="4"/>
      <c r="K123" s="62">
        <f t="shared" ref="K123:K129" si="27">B123</f>
        <v>176000</v>
      </c>
      <c r="L123" s="4"/>
    </row>
    <row r="124" spans="1:12">
      <c r="A124" s="386"/>
      <c r="B124" s="116">
        <v>2178000</v>
      </c>
      <c r="C124" s="1"/>
      <c r="D124" s="4">
        <v>44450</v>
      </c>
      <c r="E124" s="147">
        <v>30</v>
      </c>
      <c r="F124" s="4">
        <f t="shared" si="26"/>
        <v>44480</v>
      </c>
      <c r="G124" s="147">
        <f t="shared" si="24"/>
        <v>81</v>
      </c>
      <c r="H124" s="4"/>
      <c r="I124" s="4"/>
      <c r="J124" s="4"/>
      <c r="K124" s="62">
        <f t="shared" si="27"/>
        <v>2178000</v>
      </c>
      <c r="L124" s="4"/>
    </row>
    <row r="125" spans="1:12">
      <c r="A125" s="386"/>
      <c r="B125" s="116">
        <v>461450</v>
      </c>
      <c r="C125" s="1"/>
      <c r="D125" s="4">
        <v>44454</v>
      </c>
      <c r="E125" s="147">
        <v>30</v>
      </c>
      <c r="F125" s="4">
        <f t="shared" si="26"/>
        <v>44484</v>
      </c>
      <c r="G125" s="147">
        <f t="shared" si="24"/>
        <v>77</v>
      </c>
      <c r="H125" s="4"/>
      <c r="I125" s="4"/>
      <c r="J125" s="4"/>
      <c r="K125" s="62">
        <f t="shared" si="27"/>
        <v>461450</v>
      </c>
      <c r="L125" s="4"/>
    </row>
    <row r="126" spans="1:12">
      <c r="A126" s="386"/>
      <c r="B126" s="116">
        <v>4301000</v>
      </c>
      <c r="C126" s="1"/>
      <c r="D126" s="4">
        <v>44455</v>
      </c>
      <c r="E126" s="147">
        <v>30</v>
      </c>
      <c r="F126" s="4">
        <f t="shared" si="26"/>
        <v>44485</v>
      </c>
      <c r="G126" s="147">
        <f t="shared" si="24"/>
        <v>76</v>
      </c>
      <c r="H126" s="4"/>
      <c r="I126" s="4"/>
      <c r="J126" s="4"/>
      <c r="K126" s="62">
        <f t="shared" si="27"/>
        <v>4301000</v>
      </c>
      <c r="L126" s="4"/>
    </row>
    <row r="127" spans="1:12">
      <c r="A127" s="386"/>
      <c r="B127" s="116">
        <v>4301000</v>
      </c>
      <c r="C127" s="1"/>
      <c r="D127" s="4">
        <v>44459</v>
      </c>
      <c r="E127" s="147">
        <v>30</v>
      </c>
      <c r="F127" s="4">
        <f t="shared" si="26"/>
        <v>44489</v>
      </c>
      <c r="G127" s="147">
        <f t="shared" si="24"/>
        <v>72</v>
      </c>
      <c r="H127" s="4"/>
      <c r="I127" s="4"/>
      <c r="J127" s="4"/>
      <c r="K127" s="62">
        <f t="shared" si="27"/>
        <v>4301000</v>
      </c>
      <c r="L127" s="4"/>
    </row>
    <row r="128" spans="1:12">
      <c r="A128" s="386"/>
      <c r="B128" s="116">
        <v>715000</v>
      </c>
      <c r="C128" s="1"/>
      <c r="D128" s="4">
        <v>44466</v>
      </c>
      <c r="E128" s="147">
        <v>30</v>
      </c>
      <c r="F128" s="4">
        <f t="shared" si="26"/>
        <v>44496</v>
      </c>
      <c r="G128" s="147">
        <f t="shared" si="24"/>
        <v>65</v>
      </c>
      <c r="H128" s="4"/>
      <c r="I128" s="4"/>
      <c r="J128" s="4"/>
      <c r="K128" s="62">
        <f t="shared" si="27"/>
        <v>715000</v>
      </c>
      <c r="L128" s="4"/>
    </row>
    <row r="129" spans="1:12">
      <c r="A129" s="386"/>
      <c r="B129" s="116">
        <v>162800</v>
      </c>
      <c r="C129" s="1"/>
      <c r="D129" s="4">
        <v>44467</v>
      </c>
      <c r="E129" s="147">
        <v>30</v>
      </c>
      <c r="F129" s="4">
        <f t="shared" si="26"/>
        <v>44497</v>
      </c>
      <c r="G129" s="147">
        <f t="shared" si="24"/>
        <v>64</v>
      </c>
      <c r="H129" s="4"/>
      <c r="I129" s="4"/>
      <c r="J129" s="4"/>
      <c r="K129" s="62">
        <f t="shared" si="27"/>
        <v>162800</v>
      </c>
      <c r="L129" s="4"/>
    </row>
    <row r="130" spans="1:12">
      <c r="A130" s="386"/>
      <c r="B130" s="116">
        <v>3950320</v>
      </c>
      <c r="C130" s="1"/>
      <c r="D130" s="4">
        <v>44504</v>
      </c>
      <c r="E130" s="147">
        <v>30</v>
      </c>
      <c r="F130" s="4">
        <f t="shared" ref="F130:F161" si="28">D130+E130</f>
        <v>44534</v>
      </c>
      <c r="G130" s="147">
        <f t="shared" si="24"/>
        <v>27</v>
      </c>
      <c r="H130" s="4"/>
      <c r="I130" s="62">
        <f>B130</f>
        <v>3950320</v>
      </c>
      <c r="J130" s="4"/>
      <c r="K130" s="4"/>
      <c r="L130" s="4"/>
    </row>
    <row r="131" spans="1:12">
      <c r="A131" s="386"/>
      <c r="B131" s="116">
        <v>3415500</v>
      </c>
      <c r="C131" s="1"/>
      <c r="D131" s="4">
        <v>44504</v>
      </c>
      <c r="E131" s="147">
        <v>30</v>
      </c>
      <c r="F131" s="4">
        <f t="shared" si="28"/>
        <v>44534</v>
      </c>
      <c r="G131" s="147">
        <f t="shared" si="24"/>
        <v>27</v>
      </c>
      <c r="H131" s="4"/>
      <c r="I131" s="62">
        <f>B131</f>
        <v>3415500</v>
      </c>
      <c r="J131" s="4"/>
      <c r="K131" s="4"/>
      <c r="L131" s="4"/>
    </row>
    <row r="132" spans="1:12">
      <c r="A132" s="386"/>
      <c r="B132" s="116">
        <v>1189100</v>
      </c>
      <c r="C132" s="1"/>
      <c r="D132" s="4">
        <v>44504</v>
      </c>
      <c r="E132" s="147">
        <v>30</v>
      </c>
      <c r="F132" s="4">
        <f t="shared" si="28"/>
        <v>44534</v>
      </c>
      <c r="G132" s="147">
        <f t="shared" si="24"/>
        <v>27</v>
      </c>
      <c r="H132" s="4"/>
      <c r="I132" s="62">
        <f>B132</f>
        <v>1189100</v>
      </c>
      <c r="J132" s="4"/>
      <c r="K132" s="4"/>
      <c r="L132" s="4"/>
    </row>
    <row r="133" spans="1:12">
      <c r="A133" s="386"/>
      <c r="B133" s="116">
        <v>330000</v>
      </c>
      <c r="C133" s="1"/>
      <c r="D133" s="4">
        <v>44504</v>
      </c>
      <c r="E133" s="147">
        <v>30</v>
      </c>
      <c r="F133" s="4">
        <f t="shared" si="28"/>
        <v>44534</v>
      </c>
      <c r="G133" s="147">
        <f t="shared" si="24"/>
        <v>27</v>
      </c>
      <c r="H133" s="4"/>
      <c r="I133" s="62">
        <f>B133</f>
        <v>330000</v>
      </c>
      <c r="J133" s="4"/>
      <c r="K133" s="4"/>
      <c r="L133" s="4"/>
    </row>
    <row r="134" spans="1:12">
      <c r="A134" s="386"/>
      <c r="B134" s="116">
        <v>474650</v>
      </c>
      <c r="C134" s="1"/>
      <c r="D134" s="4">
        <v>44504</v>
      </c>
      <c r="E134" s="147">
        <v>30</v>
      </c>
      <c r="F134" s="4">
        <f t="shared" si="28"/>
        <v>44534</v>
      </c>
      <c r="G134" s="147">
        <f t="shared" si="24"/>
        <v>27</v>
      </c>
      <c r="H134" s="4"/>
      <c r="I134" s="62">
        <f>B134</f>
        <v>474650</v>
      </c>
      <c r="J134" s="4"/>
      <c r="K134" s="4"/>
      <c r="L134" s="4"/>
    </row>
    <row r="135" spans="1:12">
      <c r="A135" s="386"/>
      <c r="B135" s="116">
        <v>495000</v>
      </c>
      <c r="C135" s="1"/>
      <c r="D135" s="4">
        <v>44531</v>
      </c>
      <c r="E135" s="147">
        <v>30</v>
      </c>
      <c r="F135" s="4">
        <f t="shared" si="28"/>
        <v>44561</v>
      </c>
      <c r="G135" s="147">
        <f t="shared" si="24"/>
        <v>0</v>
      </c>
      <c r="H135" s="62">
        <f>B135</f>
        <v>495000</v>
      </c>
      <c r="I135" s="4"/>
      <c r="J135" s="4"/>
      <c r="K135" s="4"/>
      <c r="L135" s="4"/>
    </row>
    <row r="136" spans="1:12">
      <c r="A136" s="386"/>
      <c r="B136" s="116">
        <v>580250</v>
      </c>
      <c r="C136" s="1"/>
      <c r="D136" s="4">
        <v>44531</v>
      </c>
      <c r="E136" s="147">
        <v>30</v>
      </c>
      <c r="F136" s="4">
        <f t="shared" si="28"/>
        <v>44561</v>
      </c>
      <c r="G136" s="147">
        <f t="shared" si="24"/>
        <v>0</v>
      </c>
      <c r="H136" s="62">
        <f>B136</f>
        <v>580250</v>
      </c>
      <c r="I136" s="4"/>
      <c r="J136" s="4"/>
      <c r="K136" s="4"/>
      <c r="L136" s="4"/>
    </row>
    <row r="137" spans="1:12">
      <c r="A137" s="386"/>
      <c r="B137" s="116">
        <v>691487.5</v>
      </c>
      <c r="C137" s="1"/>
      <c r="D137" s="4">
        <v>44531</v>
      </c>
      <c r="E137" s="147">
        <v>30</v>
      </c>
      <c r="F137" s="4">
        <f t="shared" si="28"/>
        <v>44561</v>
      </c>
      <c r="G137" s="147">
        <f t="shared" si="24"/>
        <v>0</v>
      </c>
      <c r="H137" s="62">
        <f>B137</f>
        <v>691487.5</v>
      </c>
      <c r="I137" s="4"/>
      <c r="J137" s="4"/>
      <c r="K137" s="4"/>
      <c r="L137" s="4"/>
    </row>
    <row r="138" spans="1:12">
      <c r="A138" s="386"/>
      <c r="B138" s="116">
        <v>434500</v>
      </c>
      <c r="C138" s="1"/>
      <c r="D138" s="4">
        <v>44531</v>
      </c>
      <c r="E138" s="147">
        <v>30</v>
      </c>
      <c r="F138" s="4">
        <f t="shared" si="28"/>
        <v>44561</v>
      </c>
      <c r="G138" s="147">
        <f t="shared" si="24"/>
        <v>0</v>
      </c>
      <c r="H138" s="62">
        <f>B138</f>
        <v>434500</v>
      </c>
      <c r="I138" s="4"/>
      <c r="J138" s="4"/>
      <c r="K138" s="4"/>
      <c r="L138" s="4"/>
    </row>
    <row r="139" spans="1:12">
      <c r="A139" s="386"/>
      <c r="B139" s="116">
        <v>82500</v>
      </c>
      <c r="C139" s="1"/>
      <c r="D139" s="4">
        <v>44531</v>
      </c>
      <c r="E139" s="147">
        <v>30</v>
      </c>
      <c r="F139" s="4">
        <f t="shared" si="28"/>
        <v>44561</v>
      </c>
      <c r="G139" s="147">
        <f t="shared" si="24"/>
        <v>0</v>
      </c>
      <c r="H139" s="62">
        <f>B139</f>
        <v>82500</v>
      </c>
      <c r="I139" s="4"/>
      <c r="J139" s="4"/>
      <c r="K139" s="4"/>
      <c r="L139" s="4"/>
    </row>
    <row r="140" spans="1:12">
      <c r="A140" s="386"/>
      <c r="B140" s="116">
        <v>682000</v>
      </c>
      <c r="C140" s="1"/>
      <c r="D140" s="4">
        <v>44449</v>
      </c>
      <c r="E140" s="147">
        <v>30</v>
      </c>
      <c r="F140" s="4">
        <f t="shared" si="28"/>
        <v>44479</v>
      </c>
      <c r="G140" s="147">
        <f t="shared" si="24"/>
        <v>82</v>
      </c>
      <c r="H140" s="4"/>
      <c r="I140" s="4"/>
      <c r="J140" s="4"/>
      <c r="K140" s="62">
        <f>B140</f>
        <v>682000</v>
      </c>
      <c r="L140" s="4"/>
    </row>
    <row r="141" spans="1:12">
      <c r="A141" s="386"/>
      <c r="B141" s="116">
        <v>55000</v>
      </c>
      <c r="C141" s="1"/>
      <c r="D141" s="4">
        <v>44455</v>
      </c>
      <c r="E141" s="147">
        <v>30</v>
      </c>
      <c r="F141" s="4">
        <f t="shared" si="28"/>
        <v>44485</v>
      </c>
      <c r="G141" s="147">
        <f t="shared" si="24"/>
        <v>76</v>
      </c>
      <c r="H141" s="4"/>
      <c r="I141" s="4"/>
      <c r="J141" s="4"/>
      <c r="K141" s="62">
        <f>B141</f>
        <v>55000</v>
      </c>
      <c r="L141" s="4"/>
    </row>
    <row r="142" spans="1:12">
      <c r="A142" s="386"/>
      <c r="B142" s="116">
        <v>332750</v>
      </c>
      <c r="C142" s="1"/>
      <c r="D142" s="4">
        <v>44460</v>
      </c>
      <c r="E142" s="147">
        <v>30</v>
      </c>
      <c r="F142" s="4">
        <f t="shared" si="28"/>
        <v>44490</v>
      </c>
      <c r="G142" s="147">
        <f t="shared" si="24"/>
        <v>71</v>
      </c>
      <c r="H142" s="4"/>
      <c r="I142" s="4"/>
      <c r="J142" s="4"/>
      <c r="K142" s="62">
        <f>B142</f>
        <v>332750</v>
      </c>
      <c r="L142" s="4"/>
    </row>
    <row r="143" spans="1:12">
      <c r="A143" s="386"/>
      <c r="B143" s="116">
        <v>285000</v>
      </c>
      <c r="C143" s="1"/>
      <c r="D143" s="4">
        <v>44462</v>
      </c>
      <c r="E143" s="147">
        <v>30</v>
      </c>
      <c r="F143" s="4">
        <f t="shared" si="28"/>
        <v>44492</v>
      </c>
      <c r="G143" s="147">
        <f t="shared" si="24"/>
        <v>69</v>
      </c>
      <c r="H143" s="4"/>
      <c r="I143" s="4"/>
      <c r="J143" s="4"/>
      <c r="K143" s="62">
        <f>B143</f>
        <v>285000</v>
      </c>
      <c r="L143" s="4"/>
    </row>
    <row r="144" spans="1:12">
      <c r="A144" s="386"/>
      <c r="B144" s="116">
        <v>310000</v>
      </c>
      <c r="C144" s="1"/>
      <c r="D144" s="4">
        <v>44467</v>
      </c>
      <c r="E144" s="147">
        <v>30</v>
      </c>
      <c r="F144" s="4">
        <f t="shared" si="28"/>
        <v>44497</v>
      </c>
      <c r="G144" s="147">
        <f t="shared" si="24"/>
        <v>64</v>
      </c>
      <c r="H144" s="4"/>
      <c r="I144" s="4"/>
      <c r="J144" s="4"/>
      <c r="K144" s="62">
        <f>B144</f>
        <v>310000</v>
      </c>
      <c r="L144" s="4"/>
    </row>
    <row r="145" spans="1:12">
      <c r="A145" s="386"/>
      <c r="B145" s="116">
        <v>28500</v>
      </c>
      <c r="C145" s="1"/>
      <c r="D145" s="4">
        <v>44504</v>
      </c>
      <c r="E145" s="147">
        <v>30</v>
      </c>
      <c r="F145" s="4">
        <f t="shared" si="28"/>
        <v>44534</v>
      </c>
      <c r="G145" s="147">
        <f t="shared" si="24"/>
        <v>27</v>
      </c>
      <c r="H145" s="4"/>
      <c r="I145" s="62">
        <f>B145</f>
        <v>28500</v>
      </c>
      <c r="J145" s="4"/>
      <c r="K145" s="4"/>
      <c r="L145" s="4"/>
    </row>
    <row r="146" spans="1:12">
      <c r="A146" s="386"/>
      <c r="B146" s="116">
        <v>31000</v>
      </c>
      <c r="C146" s="1"/>
      <c r="D146" s="4">
        <v>44504</v>
      </c>
      <c r="E146" s="147">
        <v>30</v>
      </c>
      <c r="F146" s="4">
        <f t="shared" si="28"/>
        <v>44534</v>
      </c>
      <c r="G146" s="147">
        <f t="shared" si="24"/>
        <v>27</v>
      </c>
      <c r="H146" s="4"/>
      <c r="I146" s="62">
        <f>B146</f>
        <v>31000</v>
      </c>
      <c r="J146" s="4"/>
      <c r="K146" s="4"/>
      <c r="L146" s="4"/>
    </row>
    <row r="147" spans="1:12">
      <c r="A147" s="386"/>
      <c r="B147" s="116">
        <v>247500</v>
      </c>
      <c r="C147" s="1"/>
      <c r="D147" s="4">
        <v>44322</v>
      </c>
      <c r="E147" s="147">
        <v>30</v>
      </c>
      <c r="F147" s="4">
        <f t="shared" si="28"/>
        <v>44352</v>
      </c>
      <c r="G147" s="147">
        <f t="shared" si="24"/>
        <v>209</v>
      </c>
      <c r="H147" s="4"/>
      <c r="I147" s="4"/>
      <c r="J147" s="4"/>
      <c r="K147" s="4"/>
      <c r="L147" s="62">
        <f t="shared" ref="L147:L160" si="29">B147</f>
        <v>247500</v>
      </c>
    </row>
    <row r="148" spans="1:12">
      <c r="A148" s="386"/>
      <c r="B148" s="116">
        <v>22500</v>
      </c>
      <c r="C148" s="1"/>
      <c r="D148" s="4">
        <v>44378</v>
      </c>
      <c r="E148" s="147">
        <v>30</v>
      </c>
      <c r="F148" s="4">
        <f t="shared" si="28"/>
        <v>44408</v>
      </c>
      <c r="G148" s="147">
        <f t="shared" si="24"/>
        <v>153</v>
      </c>
      <c r="H148" s="4"/>
      <c r="I148" s="4"/>
      <c r="J148" s="4"/>
      <c r="K148" s="4"/>
      <c r="L148" s="62">
        <f t="shared" si="29"/>
        <v>22500</v>
      </c>
    </row>
    <row r="149" spans="1:12">
      <c r="A149" s="386"/>
      <c r="B149" s="116">
        <v>575000</v>
      </c>
      <c r="C149" s="1"/>
      <c r="D149" s="4">
        <v>44321</v>
      </c>
      <c r="E149" s="147">
        <v>30</v>
      </c>
      <c r="F149" s="4">
        <f t="shared" si="28"/>
        <v>44351</v>
      </c>
      <c r="G149" s="147">
        <f t="shared" si="24"/>
        <v>210</v>
      </c>
      <c r="H149" s="4"/>
      <c r="I149" s="4"/>
      <c r="J149" s="4"/>
      <c r="K149" s="4"/>
      <c r="L149" s="62">
        <f t="shared" si="29"/>
        <v>575000</v>
      </c>
    </row>
    <row r="150" spans="1:12">
      <c r="A150" s="386"/>
      <c r="B150" s="116">
        <v>57500</v>
      </c>
      <c r="C150" s="1"/>
      <c r="D150" s="4">
        <v>44378</v>
      </c>
      <c r="E150" s="147">
        <v>30</v>
      </c>
      <c r="F150" s="4">
        <f t="shared" si="28"/>
        <v>44408</v>
      </c>
      <c r="G150" s="147">
        <f t="shared" si="24"/>
        <v>153</v>
      </c>
      <c r="H150" s="4"/>
      <c r="I150" s="4"/>
      <c r="J150" s="4"/>
      <c r="K150" s="4"/>
      <c r="L150" s="62">
        <f t="shared" si="29"/>
        <v>57500</v>
      </c>
    </row>
    <row r="151" spans="1:12">
      <c r="A151" s="386"/>
      <c r="B151" s="116">
        <v>67500</v>
      </c>
      <c r="C151" s="1"/>
      <c r="D151" s="4">
        <v>44322</v>
      </c>
      <c r="E151" s="147">
        <v>30</v>
      </c>
      <c r="F151" s="4">
        <f t="shared" si="28"/>
        <v>44352</v>
      </c>
      <c r="G151" s="147">
        <f t="shared" si="24"/>
        <v>209</v>
      </c>
      <c r="H151" s="4"/>
      <c r="I151" s="4"/>
      <c r="J151" s="4"/>
      <c r="K151" s="4"/>
      <c r="L151" s="62">
        <f t="shared" si="29"/>
        <v>67500</v>
      </c>
    </row>
    <row r="152" spans="1:12">
      <c r="A152" s="386"/>
      <c r="B152" s="116">
        <v>6750</v>
      </c>
      <c r="C152" s="1"/>
      <c r="D152" s="4">
        <v>44378</v>
      </c>
      <c r="E152" s="147">
        <v>30</v>
      </c>
      <c r="F152" s="4">
        <f t="shared" si="28"/>
        <v>44408</v>
      </c>
      <c r="G152" s="147">
        <f t="shared" si="24"/>
        <v>153</v>
      </c>
      <c r="H152" s="4"/>
      <c r="I152" s="4"/>
      <c r="J152" s="4"/>
      <c r="K152" s="4"/>
      <c r="L152" s="62">
        <f t="shared" si="29"/>
        <v>6750</v>
      </c>
    </row>
    <row r="153" spans="1:12">
      <c r="A153" s="386"/>
      <c r="B153" s="116">
        <v>235000</v>
      </c>
      <c r="C153" s="1"/>
      <c r="D153" s="4">
        <v>44354</v>
      </c>
      <c r="E153" s="147">
        <v>30</v>
      </c>
      <c r="F153" s="4">
        <f t="shared" si="28"/>
        <v>44384</v>
      </c>
      <c r="G153" s="147">
        <f t="shared" si="24"/>
        <v>177</v>
      </c>
      <c r="H153" s="4"/>
      <c r="I153" s="4"/>
      <c r="J153" s="4"/>
      <c r="K153" s="4"/>
      <c r="L153" s="62">
        <f t="shared" si="29"/>
        <v>235000</v>
      </c>
    </row>
    <row r="154" spans="1:12">
      <c r="A154" s="386"/>
      <c r="B154" s="116">
        <v>23500</v>
      </c>
      <c r="C154" s="1"/>
      <c r="D154" s="4">
        <v>44378</v>
      </c>
      <c r="E154" s="147">
        <v>30</v>
      </c>
      <c r="F154" s="4">
        <f t="shared" si="28"/>
        <v>44408</v>
      </c>
      <c r="G154" s="147">
        <f t="shared" si="24"/>
        <v>153</v>
      </c>
      <c r="H154" s="4"/>
      <c r="I154" s="4"/>
      <c r="J154" s="4"/>
      <c r="K154" s="4"/>
      <c r="L154" s="62">
        <f t="shared" si="29"/>
        <v>23500</v>
      </c>
    </row>
    <row r="155" spans="1:12">
      <c r="A155" s="386"/>
      <c r="B155" s="116">
        <v>400000</v>
      </c>
      <c r="C155" s="1"/>
      <c r="D155" s="4">
        <v>44354</v>
      </c>
      <c r="E155" s="147">
        <v>30</v>
      </c>
      <c r="F155" s="4">
        <f t="shared" si="28"/>
        <v>44384</v>
      </c>
      <c r="G155" s="147">
        <f t="shared" si="24"/>
        <v>177</v>
      </c>
      <c r="H155" s="4"/>
      <c r="I155" s="4"/>
      <c r="J155" s="4"/>
      <c r="K155" s="4"/>
      <c r="L155" s="62">
        <f t="shared" si="29"/>
        <v>400000</v>
      </c>
    </row>
    <row r="156" spans="1:12">
      <c r="A156" s="386"/>
      <c r="B156" s="116">
        <v>40000</v>
      </c>
      <c r="C156" s="1"/>
      <c r="D156" s="4">
        <v>44378</v>
      </c>
      <c r="E156" s="147">
        <v>30</v>
      </c>
      <c r="F156" s="4">
        <f t="shared" si="28"/>
        <v>44408</v>
      </c>
      <c r="G156" s="147">
        <f t="shared" si="24"/>
        <v>153</v>
      </c>
      <c r="H156" s="4"/>
      <c r="I156" s="4"/>
      <c r="J156" s="4"/>
      <c r="K156" s="4"/>
      <c r="L156" s="62">
        <f t="shared" si="29"/>
        <v>40000</v>
      </c>
    </row>
    <row r="157" spans="1:12">
      <c r="A157" s="386"/>
      <c r="B157" s="116">
        <v>805000</v>
      </c>
      <c r="C157" s="1"/>
      <c r="D157" s="4">
        <v>44349</v>
      </c>
      <c r="E157" s="147">
        <v>30</v>
      </c>
      <c r="F157" s="4">
        <f t="shared" si="28"/>
        <v>44379</v>
      </c>
      <c r="G157" s="147">
        <f t="shared" si="24"/>
        <v>182</v>
      </c>
      <c r="H157" s="4"/>
      <c r="I157" s="4"/>
      <c r="J157" s="4"/>
      <c r="K157" s="4"/>
      <c r="L157" s="62">
        <f t="shared" si="29"/>
        <v>805000</v>
      </c>
    </row>
    <row r="158" spans="1:12">
      <c r="A158" s="386"/>
      <c r="B158" s="116">
        <v>100000</v>
      </c>
      <c r="C158" s="1"/>
      <c r="D158" s="4">
        <v>44351</v>
      </c>
      <c r="E158" s="147">
        <v>30</v>
      </c>
      <c r="F158" s="4">
        <f t="shared" si="28"/>
        <v>44381</v>
      </c>
      <c r="G158" s="147">
        <f t="shared" si="24"/>
        <v>180</v>
      </c>
      <c r="H158" s="4"/>
      <c r="I158" s="4"/>
      <c r="J158" s="4"/>
      <c r="K158" s="4"/>
      <c r="L158" s="62">
        <f t="shared" si="29"/>
        <v>100000</v>
      </c>
    </row>
    <row r="159" spans="1:12">
      <c r="A159" s="386"/>
      <c r="B159" s="116">
        <v>90500</v>
      </c>
      <c r="C159" s="1"/>
      <c r="D159" s="4">
        <v>44378</v>
      </c>
      <c r="E159" s="147">
        <v>30</v>
      </c>
      <c r="F159" s="4">
        <f t="shared" si="28"/>
        <v>44408</v>
      </c>
      <c r="G159" s="147">
        <f t="shared" si="24"/>
        <v>153</v>
      </c>
      <c r="H159" s="4"/>
      <c r="I159" s="4"/>
      <c r="J159" s="4"/>
      <c r="K159" s="4"/>
      <c r="L159" s="62">
        <f t="shared" si="29"/>
        <v>90500</v>
      </c>
    </row>
    <row r="160" spans="1:12">
      <c r="A160" s="386"/>
      <c r="B160" s="116">
        <f xml:space="preserve"> 79727763-SUM(B96:B159)</f>
        <v>30727185.5</v>
      </c>
      <c r="C160" s="1"/>
      <c r="D160" s="4">
        <v>44378</v>
      </c>
      <c r="E160" s="147">
        <v>30</v>
      </c>
      <c r="F160" s="4">
        <f t="shared" si="28"/>
        <v>44408</v>
      </c>
      <c r="G160" s="147">
        <f t="shared" ref="G160" si="30">$A$4-F160</f>
        <v>153</v>
      </c>
      <c r="H160" s="4"/>
      <c r="I160" s="4"/>
      <c r="J160" s="4"/>
      <c r="K160" s="4"/>
      <c r="L160" s="62">
        <f t="shared" si="29"/>
        <v>30727185.5</v>
      </c>
    </row>
    <row r="161" spans="1:12">
      <c r="A161" s="386" t="s">
        <v>61</v>
      </c>
      <c r="B161" s="116">
        <v>10290000</v>
      </c>
      <c r="C161" s="1"/>
      <c r="D161" s="4">
        <v>44529</v>
      </c>
      <c r="E161" s="147">
        <v>30</v>
      </c>
      <c r="F161" s="4">
        <f t="shared" si="28"/>
        <v>44559</v>
      </c>
      <c r="G161" s="147">
        <f t="shared" ref="G161:G164" si="31">$A$4-F161</f>
        <v>2</v>
      </c>
      <c r="H161" s="4"/>
      <c r="I161" s="62">
        <f>B161</f>
        <v>10290000</v>
      </c>
      <c r="J161" s="4"/>
      <c r="K161" s="4"/>
      <c r="L161" s="4"/>
    </row>
    <row r="162" spans="1:12">
      <c r="A162" s="386"/>
      <c r="B162" s="116">
        <v>10390000</v>
      </c>
      <c r="C162" s="1"/>
      <c r="D162" s="4">
        <v>44554</v>
      </c>
      <c r="E162" s="147">
        <v>30</v>
      </c>
      <c r="F162" s="4">
        <f t="shared" ref="F162:F193" si="32">D162+E162</f>
        <v>44584</v>
      </c>
      <c r="G162" s="147">
        <f t="shared" si="31"/>
        <v>-23</v>
      </c>
      <c r="H162" s="62">
        <f>B162</f>
        <v>10390000</v>
      </c>
      <c r="I162" s="4"/>
      <c r="J162" s="4"/>
      <c r="K162" s="4"/>
      <c r="L162" s="4"/>
    </row>
    <row r="163" spans="1:12">
      <c r="A163" s="386"/>
      <c r="B163" s="116">
        <v>10390000</v>
      </c>
      <c r="C163" s="1"/>
      <c r="D163" s="4">
        <v>44559</v>
      </c>
      <c r="E163" s="147">
        <v>30</v>
      </c>
      <c r="F163" s="4">
        <f t="shared" si="32"/>
        <v>44589</v>
      </c>
      <c r="G163" s="147">
        <f t="shared" si="31"/>
        <v>-28</v>
      </c>
      <c r="H163" s="62">
        <f>B163</f>
        <v>10390000</v>
      </c>
      <c r="I163" s="4"/>
      <c r="J163" s="4"/>
      <c r="K163" s="4"/>
      <c r="L163" s="4"/>
    </row>
    <row r="164" spans="1:12">
      <c r="A164" s="386"/>
      <c r="B164" s="116">
        <v>1875000</v>
      </c>
      <c r="C164" s="1"/>
      <c r="D164" s="4">
        <v>44560</v>
      </c>
      <c r="E164" s="147">
        <v>30</v>
      </c>
      <c r="F164" s="4">
        <f t="shared" si="32"/>
        <v>44590</v>
      </c>
      <c r="G164" s="147">
        <f t="shared" si="31"/>
        <v>-29</v>
      </c>
      <c r="H164" s="62">
        <f>B164</f>
        <v>1875000</v>
      </c>
      <c r="I164" s="4"/>
      <c r="J164" s="4"/>
      <c r="K164" s="4"/>
      <c r="L164" s="4"/>
    </row>
    <row r="165" spans="1:12">
      <c r="A165" s="386" t="s">
        <v>221</v>
      </c>
      <c r="B165" s="116">
        <v>10338368</v>
      </c>
      <c r="C165" s="1"/>
      <c r="D165" s="4">
        <v>44377</v>
      </c>
      <c r="E165" s="147">
        <v>30</v>
      </c>
      <c r="F165" s="4">
        <f t="shared" si="32"/>
        <v>44407</v>
      </c>
      <c r="G165" s="147">
        <f t="shared" ref="G165:G177" si="33">$A$4-F165</f>
        <v>154</v>
      </c>
      <c r="H165" s="4"/>
      <c r="I165" s="4"/>
      <c r="J165" s="4"/>
      <c r="K165" s="4"/>
      <c r="L165" s="62">
        <f>B165</f>
        <v>10338368</v>
      </c>
    </row>
    <row r="166" spans="1:12">
      <c r="A166" s="386"/>
      <c r="B166" s="116">
        <v>9439472</v>
      </c>
      <c r="C166" s="1"/>
      <c r="D166" s="4">
        <v>44374</v>
      </c>
      <c r="E166" s="147">
        <v>30</v>
      </c>
      <c r="F166" s="4">
        <f t="shared" si="32"/>
        <v>44404</v>
      </c>
      <c r="G166" s="147">
        <f t="shared" si="33"/>
        <v>157</v>
      </c>
      <c r="H166" s="4"/>
      <c r="I166" s="4"/>
      <c r="J166" s="4"/>
      <c r="K166" s="4"/>
      <c r="L166" s="62">
        <f>B166</f>
        <v>9439472</v>
      </c>
    </row>
    <row r="167" spans="1:12">
      <c r="A167" s="386"/>
      <c r="B167" s="116">
        <v>29189264</v>
      </c>
      <c r="C167" s="1"/>
      <c r="D167" s="4">
        <v>44396</v>
      </c>
      <c r="E167" s="147">
        <v>30</v>
      </c>
      <c r="F167" s="4">
        <f t="shared" si="32"/>
        <v>44426</v>
      </c>
      <c r="G167" s="147">
        <f t="shared" si="33"/>
        <v>135</v>
      </c>
      <c r="H167" s="4"/>
      <c r="I167" s="4"/>
      <c r="J167" s="4"/>
      <c r="K167" s="4"/>
      <c r="L167" s="62">
        <f>B167</f>
        <v>29189264</v>
      </c>
    </row>
    <row r="168" spans="1:12">
      <c r="A168" s="386"/>
      <c r="B168" s="116">
        <v>9755600</v>
      </c>
      <c r="C168" s="1"/>
      <c r="D168" s="4">
        <v>44451</v>
      </c>
      <c r="E168" s="147">
        <v>30</v>
      </c>
      <c r="F168" s="4">
        <f t="shared" si="32"/>
        <v>44481</v>
      </c>
      <c r="G168" s="147">
        <f t="shared" si="33"/>
        <v>80</v>
      </c>
      <c r="H168" s="4"/>
      <c r="I168" s="4"/>
      <c r="J168" s="4"/>
      <c r="K168" s="62">
        <f>B168</f>
        <v>9755600</v>
      </c>
      <c r="L168" s="4"/>
    </row>
    <row r="169" spans="1:12">
      <c r="A169" s="386"/>
      <c r="B169" s="116">
        <v>7190000</v>
      </c>
      <c r="C169" s="1"/>
      <c r="D169" s="4">
        <v>44494</v>
      </c>
      <c r="E169" s="147">
        <v>30</v>
      </c>
      <c r="F169" s="4">
        <f t="shared" si="32"/>
        <v>44524</v>
      </c>
      <c r="G169" s="147">
        <f t="shared" si="33"/>
        <v>37</v>
      </c>
      <c r="H169" s="4"/>
      <c r="I169" s="4"/>
      <c r="J169" s="62">
        <f>B169</f>
        <v>7190000</v>
      </c>
      <c r="K169" s="4"/>
      <c r="L169" s="4"/>
    </row>
    <row r="170" spans="1:12">
      <c r="A170" s="386"/>
      <c r="B170" s="116">
        <v>27271472</v>
      </c>
      <c r="C170" s="1"/>
      <c r="D170" s="4">
        <v>44398</v>
      </c>
      <c r="E170" s="147">
        <v>30</v>
      </c>
      <c r="F170" s="4">
        <f t="shared" si="32"/>
        <v>44428</v>
      </c>
      <c r="G170" s="147">
        <f t="shared" si="33"/>
        <v>133</v>
      </c>
      <c r="H170" s="4"/>
      <c r="I170" s="4"/>
      <c r="J170" s="4"/>
      <c r="K170" s="4"/>
      <c r="L170" s="62">
        <f>B170</f>
        <v>27271472</v>
      </c>
    </row>
    <row r="171" spans="1:12">
      <c r="A171" s="386"/>
      <c r="B171" s="116">
        <v>14702000</v>
      </c>
      <c r="C171" s="1"/>
      <c r="D171" s="4">
        <v>44496</v>
      </c>
      <c r="E171" s="147">
        <v>30</v>
      </c>
      <c r="F171" s="4">
        <f t="shared" si="32"/>
        <v>44526</v>
      </c>
      <c r="G171" s="147">
        <f t="shared" si="33"/>
        <v>35</v>
      </c>
      <c r="H171" s="4"/>
      <c r="I171" s="4"/>
      <c r="J171" s="62">
        <f>B171</f>
        <v>14702000</v>
      </c>
      <c r="K171" s="4"/>
      <c r="L171" s="4"/>
    </row>
    <row r="172" spans="1:12">
      <c r="A172" s="386"/>
      <c r="B172" s="116">
        <v>32562368</v>
      </c>
      <c r="C172" s="1"/>
      <c r="D172" s="4">
        <v>44509</v>
      </c>
      <c r="E172" s="147">
        <v>30</v>
      </c>
      <c r="F172" s="4">
        <f t="shared" si="32"/>
        <v>44539</v>
      </c>
      <c r="G172" s="147">
        <f t="shared" si="33"/>
        <v>22</v>
      </c>
      <c r="H172" s="4"/>
      <c r="I172" s="62">
        <f>B172</f>
        <v>32562368</v>
      </c>
      <c r="J172" s="4"/>
      <c r="K172" s="4"/>
      <c r="L172" s="4"/>
    </row>
    <row r="173" spans="1:12">
      <c r="A173" s="386"/>
      <c r="B173" s="116">
        <v>32778368</v>
      </c>
      <c r="C173" s="1"/>
      <c r="D173" s="4">
        <v>44513</v>
      </c>
      <c r="E173" s="147">
        <v>30</v>
      </c>
      <c r="F173" s="4">
        <f t="shared" si="32"/>
        <v>44543</v>
      </c>
      <c r="G173" s="147">
        <f t="shared" si="33"/>
        <v>18</v>
      </c>
      <c r="H173" s="4"/>
      <c r="I173" s="62">
        <f>B173</f>
        <v>32778368</v>
      </c>
      <c r="J173" s="4"/>
      <c r="K173" s="4"/>
      <c r="L173" s="4"/>
    </row>
    <row r="174" spans="1:12">
      <c r="A174" s="386"/>
      <c r="B174" s="116">
        <v>32600720</v>
      </c>
      <c r="C174" s="1"/>
      <c r="D174" s="4">
        <v>44545</v>
      </c>
      <c r="E174" s="147">
        <v>30</v>
      </c>
      <c r="F174" s="4">
        <f t="shared" si="32"/>
        <v>44575</v>
      </c>
      <c r="G174" s="147">
        <f t="shared" si="33"/>
        <v>-14</v>
      </c>
      <c r="H174" s="62">
        <f>B174</f>
        <v>32600720</v>
      </c>
      <c r="I174" s="4"/>
      <c r="J174" s="4"/>
      <c r="K174" s="4"/>
      <c r="L174" s="4"/>
    </row>
    <row r="175" spans="1:12">
      <c r="A175" s="386"/>
      <c r="B175" s="116">
        <v>23226368</v>
      </c>
      <c r="C175" s="1"/>
      <c r="D175" s="4">
        <v>44372</v>
      </c>
      <c r="E175" s="147">
        <v>30</v>
      </c>
      <c r="F175" s="4">
        <f t="shared" si="32"/>
        <v>44402</v>
      </c>
      <c r="G175" s="147">
        <f t="shared" si="33"/>
        <v>159</v>
      </c>
      <c r="H175" s="4"/>
      <c r="I175" s="4"/>
      <c r="J175" s="4"/>
      <c r="K175" s="4"/>
      <c r="L175" s="62">
        <f>B175</f>
        <v>23226368</v>
      </c>
    </row>
    <row r="176" spans="1:12">
      <c r="A176" s="386"/>
      <c r="B176" s="116">
        <v>44422736</v>
      </c>
      <c r="C176" s="1"/>
      <c r="D176" s="4">
        <v>44520</v>
      </c>
      <c r="E176" s="147">
        <v>30</v>
      </c>
      <c r="F176" s="4">
        <f t="shared" si="32"/>
        <v>44550</v>
      </c>
      <c r="G176" s="147">
        <f t="shared" si="33"/>
        <v>11</v>
      </c>
      <c r="H176" s="4"/>
      <c r="I176" s="62">
        <f>B176</f>
        <v>44422736</v>
      </c>
      <c r="J176" s="4"/>
      <c r="K176" s="4"/>
      <c r="L176" s="4"/>
    </row>
    <row r="177" spans="1:12">
      <c r="A177" s="386"/>
      <c r="B177" s="116">
        <v>107990000</v>
      </c>
      <c r="C177" s="1"/>
      <c r="D177" s="4">
        <v>44546</v>
      </c>
      <c r="E177" s="147">
        <v>30</v>
      </c>
      <c r="F177" s="4">
        <f t="shared" si="32"/>
        <v>44576</v>
      </c>
      <c r="G177" s="147">
        <f t="shared" si="33"/>
        <v>-15</v>
      </c>
      <c r="H177" s="62">
        <f>B177</f>
        <v>107990000</v>
      </c>
      <c r="I177" s="4"/>
      <c r="J177" s="4"/>
      <c r="K177" s="4"/>
      <c r="L177" s="4"/>
    </row>
    <row r="178" spans="1:12">
      <c r="A178" s="386" t="s">
        <v>90</v>
      </c>
      <c r="B178" s="116">
        <v>31000000</v>
      </c>
      <c r="C178" s="1"/>
      <c r="D178" s="4">
        <v>44508</v>
      </c>
      <c r="E178" s="147">
        <v>30</v>
      </c>
      <c r="F178" s="4">
        <f t="shared" si="32"/>
        <v>44538</v>
      </c>
      <c r="G178" s="147">
        <f t="shared" ref="G178:G183" si="34">$A$4-F178</f>
        <v>23</v>
      </c>
      <c r="H178" s="4"/>
      <c r="I178" s="62">
        <f>B178</f>
        <v>31000000</v>
      </c>
      <c r="J178" s="4"/>
      <c r="K178" s="4"/>
      <c r="L178" s="4"/>
    </row>
    <row r="179" spans="1:12">
      <c r="A179" s="386"/>
      <c r="B179" s="116">
        <v>40000000</v>
      </c>
      <c r="C179" s="1"/>
      <c r="D179" s="4">
        <v>44531</v>
      </c>
      <c r="E179" s="147">
        <v>30</v>
      </c>
      <c r="F179" s="4">
        <f t="shared" si="32"/>
        <v>44561</v>
      </c>
      <c r="G179" s="147">
        <f t="shared" si="34"/>
        <v>0</v>
      </c>
      <c r="H179" s="62">
        <f>B179</f>
        <v>40000000</v>
      </c>
      <c r="I179" s="4"/>
      <c r="J179" s="4"/>
      <c r="K179" s="4"/>
      <c r="L179" s="4"/>
    </row>
    <row r="180" spans="1:12">
      <c r="A180" s="386"/>
      <c r="B180" s="116">
        <v>25000000</v>
      </c>
      <c r="C180" s="1"/>
      <c r="D180" s="4">
        <v>44546</v>
      </c>
      <c r="E180" s="147">
        <v>30</v>
      </c>
      <c r="F180" s="4">
        <f t="shared" si="32"/>
        <v>44576</v>
      </c>
      <c r="G180" s="147">
        <f t="shared" si="34"/>
        <v>-15</v>
      </c>
      <c r="H180" s="62">
        <f>B180</f>
        <v>25000000</v>
      </c>
      <c r="I180" s="4"/>
      <c r="J180" s="4"/>
      <c r="K180" s="4"/>
      <c r="L180" s="4"/>
    </row>
    <row r="181" spans="1:12">
      <c r="A181" s="386"/>
      <c r="B181" s="116">
        <v>22800000</v>
      </c>
      <c r="C181" s="1"/>
      <c r="D181" s="4">
        <v>44518</v>
      </c>
      <c r="E181" s="147">
        <v>30</v>
      </c>
      <c r="F181" s="4">
        <f t="shared" si="32"/>
        <v>44548</v>
      </c>
      <c r="G181" s="147">
        <f t="shared" si="34"/>
        <v>13</v>
      </c>
      <c r="H181" s="4"/>
      <c r="I181" s="62">
        <f>B181</f>
        <v>22800000</v>
      </c>
      <c r="J181" s="4"/>
      <c r="K181" s="4"/>
      <c r="L181" s="4"/>
    </row>
    <row r="182" spans="1:12">
      <c r="A182" s="386"/>
      <c r="B182" s="116">
        <v>16800000</v>
      </c>
      <c r="C182" s="1"/>
      <c r="D182" s="4">
        <v>44546</v>
      </c>
      <c r="E182" s="147">
        <v>30</v>
      </c>
      <c r="F182" s="4">
        <f t="shared" si="32"/>
        <v>44576</v>
      </c>
      <c r="G182" s="147">
        <f t="shared" si="34"/>
        <v>-15</v>
      </c>
      <c r="H182" s="62">
        <f>B182</f>
        <v>16800000</v>
      </c>
      <c r="I182" s="4"/>
      <c r="J182" s="4"/>
      <c r="K182" s="4"/>
      <c r="L182" s="4"/>
    </row>
    <row r="183" spans="1:12">
      <c r="A183" s="386"/>
      <c r="B183" s="116">
        <v>32500000</v>
      </c>
      <c r="C183" s="1"/>
      <c r="D183" s="4">
        <v>44559</v>
      </c>
      <c r="E183" s="147">
        <v>30</v>
      </c>
      <c r="F183" s="4">
        <f t="shared" si="32"/>
        <v>44589</v>
      </c>
      <c r="G183" s="147">
        <f t="shared" si="34"/>
        <v>-28</v>
      </c>
      <c r="H183" s="62">
        <f>B183</f>
        <v>32500000</v>
      </c>
      <c r="I183" s="4"/>
      <c r="J183" s="4"/>
      <c r="K183" s="4"/>
      <c r="L183" s="4"/>
    </row>
    <row r="184" spans="1:12">
      <c r="A184" s="386" t="s">
        <v>87</v>
      </c>
      <c r="B184" s="116">
        <v>12394000</v>
      </c>
      <c r="C184" s="1"/>
      <c r="D184" s="4">
        <v>44529</v>
      </c>
      <c r="E184" s="147">
        <v>30</v>
      </c>
      <c r="F184" s="4">
        <f t="shared" si="32"/>
        <v>44559</v>
      </c>
      <c r="G184" s="147">
        <f t="shared" ref="G184:G186" si="35">$A$4-F184</f>
        <v>2</v>
      </c>
      <c r="H184" s="4"/>
      <c r="I184" s="62">
        <f>B184</f>
        <v>12394000</v>
      </c>
      <c r="J184" s="4"/>
      <c r="K184" s="4"/>
      <c r="L184" s="4"/>
    </row>
    <row r="185" spans="1:12">
      <c r="A185" s="386"/>
      <c r="B185" s="116">
        <v>16000000</v>
      </c>
      <c r="C185" s="1"/>
      <c r="D185" s="4">
        <v>44541</v>
      </c>
      <c r="E185" s="147">
        <v>30</v>
      </c>
      <c r="F185" s="4">
        <f t="shared" si="32"/>
        <v>44571</v>
      </c>
      <c r="G185" s="147">
        <f t="shared" si="35"/>
        <v>-10</v>
      </c>
      <c r="H185" s="62">
        <f>B185</f>
        <v>16000000</v>
      </c>
      <c r="I185" s="4"/>
      <c r="J185" s="4"/>
      <c r="K185" s="4"/>
      <c r="L185" s="4"/>
    </row>
    <row r="186" spans="1:12">
      <c r="A186" s="386"/>
      <c r="B186" s="116">
        <v>11990000</v>
      </c>
      <c r="C186" s="1"/>
      <c r="D186" s="4">
        <v>44560</v>
      </c>
      <c r="E186" s="147">
        <v>30</v>
      </c>
      <c r="F186" s="4">
        <f t="shared" si="32"/>
        <v>44590</v>
      </c>
      <c r="G186" s="147">
        <f t="shared" si="35"/>
        <v>-29</v>
      </c>
      <c r="H186" s="62">
        <f>B186</f>
        <v>11990000</v>
      </c>
      <c r="I186" s="4"/>
      <c r="J186" s="4"/>
      <c r="K186" s="4"/>
      <c r="L186" s="4"/>
    </row>
    <row r="187" spans="1:12">
      <c r="A187" s="386" t="s">
        <v>37</v>
      </c>
      <c r="B187" s="116">
        <v>102998447</v>
      </c>
      <c r="C187" s="1"/>
      <c r="D187" s="4">
        <v>44529</v>
      </c>
      <c r="E187" s="147">
        <v>30</v>
      </c>
      <c r="F187" s="4">
        <f t="shared" si="32"/>
        <v>44559</v>
      </c>
      <c r="G187" s="147">
        <f t="shared" ref="G187:G194" si="36">$A$4-F187</f>
        <v>2</v>
      </c>
      <c r="H187" s="4"/>
      <c r="I187" s="62">
        <f>B187</f>
        <v>102998447</v>
      </c>
      <c r="J187" s="4"/>
      <c r="K187" s="4"/>
      <c r="L187" s="4"/>
    </row>
    <row r="188" spans="1:12">
      <c r="A188" s="386"/>
      <c r="B188" s="116">
        <v>9538808</v>
      </c>
      <c r="C188" s="1"/>
      <c r="D188" s="4">
        <v>44529</v>
      </c>
      <c r="E188" s="147">
        <v>30</v>
      </c>
      <c r="F188" s="4">
        <f t="shared" si="32"/>
        <v>44559</v>
      </c>
      <c r="G188" s="147">
        <f t="shared" si="36"/>
        <v>2</v>
      </c>
      <c r="H188" s="4"/>
      <c r="I188" s="62">
        <f>B188</f>
        <v>9538808</v>
      </c>
      <c r="J188" s="4"/>
      <c r="K188" s="4"/>
      <c r="L188" s="4"/>
    </row>
    <row r="189" spans="1:12">
      <c r="A189" s="386"/>
      <c r="B189" s="116">
        <v>3177407</v>
      </c>
      <c r="C189" s="1"/>
      <c r="D189" s="4">
        <v>44532</v>
      </c>
      <c r="E189" s="147">
        <v>30</v>
      </c>
      <c r="F189" s="4">
        <f t="shared" si="32"/>
        <v>44562</v>
      </c>
      <c r="G189" s="147">
        <f t="shared" si="36"/>
        <v>-1</v>
      </c>
      <c r="H189" s="62">
        <f t="shared" ref="H189:H194" si="37">B189</f>
        <v>3177407</v>
      </c>
      <c r="I189" s="4"/>
      <c r="J189" s="4"/>
      <c r="K189" s="4"/>
      <c r="L189" s="4"/>
    </row>
    <row r="190" spans="1:12">
      <c r="A190" s="386"/>
      <c r="B190" s="116">
        <v>24335711</v>
      </c>
      <c r="C190" s="1"/>
      <c r="D190" s="4">
        <v>44532</v>
      </c>
      <c r="E190" s="147">
        <v>30</v>
      </c>
      <c r="F190" s="4">
        <f t="shared" si="32"/>
        <v>44562</v>
      </c>
      <c r="G190" s="147">
        <f t="shared" si="36"/>
        <v>-1</v>
      </c>
      <c r="H190" s="62">
        <f t="shared" si="37"/>
        <v>24335711</v>
      </c>
      <c r="I190" s="4"/>
      <c r="J190" s="4"/>
      <c r="K190" s="4"/>
      <c r="L190" s="4"/>
    </row>
    <row r="191" spans="1:12">
      <c r="A191" s="386"/>
      <c r="B191" s="116">
        <v>84121848</v>
      </c>
      <c r="C191" s="1"/>
      <c r="D191" s="4">
        <v>44537</v>
      </c>
      <c r="E191" s="147">
        <v>30</v>
      </c>
      <c r="F191" s="4">
        <f t="shared" si="32"/>
        <v>44567</v>
      </c>
      <c r="G191" s="147">
        <f t="shared" si="36"/>
        <v>-6</v>
      </c>
      <c r="H191" s="62">
        <f t="shared" si="37"/>
        <v>84121848</v>
      </c>
      <c r="I191" s="4"/>
      <c r="J191" s="4"/>
      <c r="K191" s="4"/>
      <c r="L191" s="4"/>
    </row>
    <row r="192" spans="1:12">
      <c r="A192" s="386"/>
      <c r="B192" s="116">
        <v>199200748</v>
      </c>
      <c r="C192" s="1"/>
      <c r="D192" s="4">
        <v>44543</v>
      </c>
      <c r="E192" s="147">
        <v>30</v>
      </c>
      <c r="F192" s="4">
        <f t="shared" si="32"/>
        <v>44573</v>
      </c>
      <c r="G192" s="147">
        <f t="shared" si="36"/>
        <v>-12</v>
      </c>
      <c r="H192" s="62">
        <f t="shared" si="37"/>
        <v>199200748</v>
      </c>
      <c r="I192" s="4"/>
      <c r="J192" s="4"/>
      <c r="K192" s="4"/>
      <c r="L192" s="4"/>
    </row>
    <row r="193" spans="1:12">
      <c r="A193" s="386"/>
      <c r="B193" s="116">
        <v>41630694</v>
      </c>
      <c r="C193" s="1"/>
      <c r="D193" s="4">
        <v>44544</v>
      </c>
      <c r="E193" s="147">
        <v>30</v>
      </c>
      <c r="F193" s="4">
        <f t="shared" si="32"/>
        <v>44574</v>
      </c>
      <c r="G193" s="147">
        <f t="shared" si="36"/>
        <v>-13</v>
      </c>
      <c r="H193" s="62">
        <f t="shared" si="37"/>
        <v>41630694</v>
      </c>
      <c r="I193" s="4"/>
      <c r="J193" s="4"/>
      <c r="K193" s="4"/>
      <c r="L193" s="4"/>
    </row>
    <row r="194" spans="1:12">
      <c r="A194" s="386"/>
      <c r="B194" s="116">
        <v>53578966</v>
      </c>
      <c r="C194" s="1"/>
      <c r="D194" s="4">
        <v>44544</v>
      </c>
      <c r="E194" s="147">
        <v>30</v>
      </c>
      <c r="F194" s="4">
        <f t="shared" ref="F194:F225" si="38">D194+E194</f>
        <v>44574</v>
      </c>
      <c r="G194" s="147">
        <f t="shared" si="36"/>
        <v>-13</v>
      </c>
      <c r="H194" s="62">
        <f t="shared" si="37"/>
        <v>53578966</v>
      </c>
      <c r="I194" s="4"/>
      <c r="J194" s="4"/>
      <c r="K194" s="4"/>
      <c r="L194" s="4"/>
    </row>
    <row r="195" spans="1:12">
      <c r="A195" s="386" t="s">
        <v>39</v>
      </c>
      <c r="B195" s="116">
        <v>354062746</v>
      </c>
      <c r="C195" s="1"/>
      <c r="D195" s="4">
        <v>44519</v>
      </c>
      <c r="E195" s="147">
        <v>30</v>
      </c>
      <c r="F195" s="4">
        <f t="shared" si="38"/>
        <v>44549</v>
      </c>
      <c r="G195" s="147">
        <f t="shared" ref="G195:G199" si="39">$A$4-F195</f>
        <v>12</v>
      </c>
      <c r="H195" s="4"/>
      <c r="I195" s="62">
        <f t="shared" ref="I195:I204" si="40">B195</f>
        <v>354062746</v>
      </c>
      <c r="J195" s="4"/>
      <c r="K195" s="4"/>
      <c r="L195" s="4"/>
    </row>
    <row r="196" spans="1:12">
      <c r="A196" s="386"/>
      <c r="B196" s="116">
        <v>180198983</v>
      </c>
      <c r="C196" s="1"/>
      <c r="D196" s="4">
        <v>44520</v>
      </c>
      <c r="E196" s="147">
        <v>30</v>
      </c>
      <c r="F196" s="4">
        <f t="shared" si="38"/>
        <v>44550</v>
      </c>
      <c r="G196" s="147">
        <f t="shared" si="39"/>
        <v>11</v>
      </c>
      <c r="H196" s="4"/>
      <c r="I196" s="62">
        <f t="shared" si="40"/>
        <v>180198983</v>
      </c>
      <c r="J196" s="4"/>
      <c r="K196" s="4"/>
      <c r="L196" s="4"/>
    </row>
    <row r="197" spans="1:12">
      <c r="A197" s="386"/>
      <c r="B197" s="116">
        <v>335639132</v>
      </c>
      <c r="C197" s="1"/>
      <c r="D197" s="4">
        <v>44520</v>
      </c>
      <c r="E197" s="147">
        <v>30</v>
      </c>
      <c r="F197" s="4">
        <f t="shared" si="38"/>
        <v>44550</v>
      </c>
      <c r="G197" s="147">
        <f t="shared" si="39"/>
        <v>11</v>
      </c>
      <c r="H197" s="4"/>
      <c r="I197" s="62">
        <f t="shared" si="40"/>
        <v>335639132</v>
      </c>
      <c r="J197" s="4"/>
      <c r="K197" s="4"/>
      <c r="L197" s="4"/>
    </row>
    <row r="198" spans="1:12">
      <c r="A198" s="386"/>
      <c r="B198" s="116">
        <v>274664799</v>
      </c>
      <c r="C198" s="1"/>
      <c r="D198" s="4">
        <v>44522</v>
      </c>
      <c r="E198" s="147">
        <v>30</v>
      </c>
      <c r="F198" s="4">
        <f t="shared" si="38"/>
        <v>44552</v>
      </c>
      <c r="G198" s="147">
        <f t="shared" si="39"/>
        <v>9</v>
      </c>
      <c r="H198" s="4"/>
      <c r="I198" s="62">
        <f t="shared" si="40"/>
        <v>274664799</v>
      </c>
      <c r="J198" s="4"/>
      <c r="K198" s="4"/>
      <c r="L198" s="4"/>
    </row>
    <row r="199" spans="1:12">
      <c r="A199" s="386"/>
      <c r="B199" s="116">
        <v>115925127</v>
      </c>
      <c r="C199" s="1"/>
      <c r="D199" s="4">
        <v>44524</v>
      </c>
      <c r="E199" s="147">
        <v>30</v>
      </c>
      <c r="F199" s="4">
        <f t="shared" si="38"/>
        <v>44554</v>
      </c>
      <c r="G199" s="147">
        <f t="shared" si="39"/>
        <v>7</v>
      </c>
      <c r="H199" s="4"/>
      <c r="I199" s="62">
        <f t="shared" si="40"/>
        <v>115925127</v>
      </c>
      <c r="J199" s="4"/>
      <c r="K199" s="4"/>
      <c r="L199" s="4"/>
    </row>
    <row r="200" spans="1:12">
      <c r="A200" s="386" t="s">
        <v>40</v>
      </c>
      <c r="B200" s="116">
        <v>257578703</v>
      </c>
      <c r="C200" s="1"/>
      <c r="D200" s="4">
        <v>44513</v>
      </c>
      <c r="E200" s="147">
        <v>30</v>
      </c>
      <c r="F200" s="4">
        <f t="shared" si="38"/>
        <v>44543</v>
      </c>
      <c r="G200" s="147">
        <f t="shared" ref="G200:G207" si="41">$A$4-F200</f>
        <v>18</v>
      </c>
      <c r="H200" s="4"/>
      <c r="I200" s="62">
        <f t="shared" si="40"/>
        <v>257578703</v>
      </c>
      <c r="J200" s="4"/>
      <c r="K200" s="4"/>
      <c r="L200" s="4"/>
    </row>
    <row r="201" spans="1:12">
      <c r="A201" s="386"/>
      <c r="B201" s="116">
        <v>273768613</v>
      </c>
      <c r="C201" s="1"/>
      <c r="D201" s="4">
        <v>44517</v>
      </c>
      <c r="E201" s="147">
        <v>30</v>
      </c>
      <c r="F201" s="4">
        <f t="shared" si="38"/>
        <v>44547</v>
      </c>
      <c r="G201" s="147">
        <f t="shared" si="41"/>
        <v>14</v>
      </c>
      <c r="H201" s="4"/>
      <c r="I201" s="62">
        <f t="shared" si="40"/>
        <v>273768613</v>
      </c>
      <c r="J201" s="4"/>
      <c r="K201" s="4"/>
      <c r="L201" s="4"/>
    </row>
    <row r="202" spans="1:12">
      <c r="A202" s="386"/>
      <c r="B202" s="116">
        <v>82415629</v>
      </c>
      <c r="C202" s="1"/>
      <c r="D202" s="4">
        <v>44518</v>
      </c>
      <c r="E202" s="147">
        <v>30</v>
      </c>
      <c r="F202" s="4">
        <f t="shared" si="38"/>
        <v>44548</v>
      </c>
      <c r="G202" s="147">
        <f t="shared" si="41"/>
        <v>13</v>
      </c>
      <c r="H202" s="4"/>
      <c r="I202" s="62">
        <f t="shared" si="40"/>
        <v>82415629</v>
      </c>
      <c r="J202" s="4"/>
      <c r="K202" s="4"/>
      <c r="L202" s="4"/>
    </row>
    <row r="203" spans="1:12">
      <c r="A203" s="386"/>
      <c r="B203" s="116">
        <v>107142982</v>
      </c>
      <c r="C203" s="1"/>
      <c r="D203" s="4">
        <v>44519</v>
      </c>
      <c r="E203" s="147">
        <v>30</v>
      </c>
      <c r="F203" s="4">
        <f t="shared" si="38"/>
        <v>44549</v>
      </c>
      <c r="G203" s="147">
        <f t="shared" si="41"/>
        <v>12</v>
      </c>
      <c r="H203" s="4"/>
      <c r="I203" s="62">
        <f t="shared" si="40"/>
        <v>107142982</v>
      </c>
      <c r="J203" s="4"/>
      <c r="K203" s="4"/>
      <c r="L203" s="4"/>
    </row>
    <row r="204" spans="1:12">
      <c r="A204" s="386"/>
      <c r="B204" s="116">
        <v>130144519</v>
      </c>
      <c r="C204" s="1"/>
      <c r="D204" s="4">
        <v>44527</v>
      </c>
      <c r="E204" s="147">
        <v>30</v>
      </c>
      <c r="F204" s="4">
        <f t="shared" si="38"/>
        <v>44557</v>
      </c>
      <c r="G204" s="147">
        <f t="shared" si="41"/>
        <v>4</v>
      </c>
      <c r="H204" s="4"/>
      <c r="I204" s="62">
        <f t="shared" si="40"/>
        <v>130144519</v>
      </c>
      <c r="J204" s="4"/>
      <c r="K204" s="4"/>
      <c r="L204" s="4"/>
    </row>
    <row r="205" spans="1:12">
      <c r="A205" s="386"/>
      <c r="B205" s="116">
        <v>269012549</v>
      </c>
      <c r="C205" s="1"/>
      <c r="D205" s="4">
        <v>44531</v>
      </c>
      <c r="E205" s="147">
        <v>30</v>
      </c>
      <c r="F205" s="4">
        <f t="shared" si="38"/>
        <v>44561</v>
      </c>
      <c r="G205" s="147">
        <f t="shared" si="41"/>
        <v>0</v>
      </c>
      <c r="H205" s="62">
        <f>B205</f>
        <v>269012549</v>
      </c>
      <c r="I205" s="4"/>
      <c r="J205" s="4"/>
      <c r="K205" s="4"/>
      <c r="L205" s="4"/>
    </row>
    <row r="206" spans="1:12">
      <c r="A206" s="386"/>
      <c r="B206" s="116">
        <v>82516578</v>
      </c>
      <c r="C206" s="1"/>
      <c r="D206" s="4">
        <v>44532</v>
      </c>
      <c r="E206" s="147">
        <v>30</v>
      </c>
      <c r="F206" s="4">
        <f t="shared" si="38"/>
        <v>44562</v>
      </c>
      <c r="G206" s="147">
        <f t="shared" si="41"/>
        <v>-1</v>
      </c>
      <c r="H206" s="62">
        <f>B206</f>
        <v>82516578</v>
      </c>
      <c r="I206" s="4"/>
      <c r="J206" s="4"/>
      <c r="K206" s="4"/>
      <c r="L206" s="4"/>
    </row>
    <row r="207" spans="1:12">
      <c r="A207" s="386"/>
      <c r="B207" s="116">
        <v>129894936</v>
      </c>
      <c r="C207" s="1"/>
      <c r="D207" s="4">
        <v>44545</v>
      </c>
      <c r="E207" s="147">
        <v>30</v>
      </c>
      <c r="F207" s="4">
        <f t="shared" si="38"/>
        <v>44575</v>
      </c>
      <c r="G207" s="147">
        <f t="shared" si="41"/>
        <v>-14</v>
      </c>
      <c r="H207" s="62">
        <f>B207</f>
        <v>129894936</v>
      </c>
      <c r="I207" s="4"/>
      <c r="J207" s="4"/>
      <c r="K207" s="4"/>
      <c r="L207" s="4"/>
    </row>
    <row r="208" spans="1:12">
      <c r="A208" s="386" t="s">
        <v>43</v>
      </c>
      <c r="B208" s="116">
        <v>57058672</v>
      </c>
      <c r="C208" s="1"/>
      <c r="D208" s="4">
        <v>44517</v>
      </c>
      <c r="E208" s="147">
        <v>30</v>
      </c>
      <c r="F208" s="4">
        <f t="shared" si="38"/>
        <v>44547</v>
      </c>
      <c r="G208" s="147">
        <f t="shared" ref="G208:G210" si="42">$A$4-F208</f>
        <v>14</v>
      </c>
      <c r="H208" s="4"/>
      <c r="I208" s="62">
        <f t="shared" ref="I208:I216" si="43">B208</f>
        <v>57058672</v>
      </c>
      <c r="J208" s="4"/>
      <c r="K208" s="4"/>
      <c r="L208" s="4"/>
    </row>
    <row r="209" spans="1:12">
      <c r="A209" s="386"/>
      <c r="B209" s="116">
        <v>67137823</v>
      </c>
      <c r="C209" s="1"/>
      <c r="D209" s="4">
        <v>44518</v>
      </c>
      <c r="E209" s="147">
        <v>30</v>
      </c>
      <c r="F209" s="4">
        <f t="shared" si="38"/>
        <v>44548</v>
      </c>
      <c r="G209" s="147">
        <f t="shared" si="42"/>
        <v>13</v>
      </c>
      <c r="H209" s="4"/>
      <c r="I209" s="62">
        <f t="shared" si="43"/>
        <v>67137823</v>
      </c>
      <c r="J209" s="4"/>
      <c r="K209" s="4"/>
      <c r="L209" s="4"/>
    </row>
    <row r="210" spans="1:12">
      <c r="A210" s="386"/>
      <c r="B210" s="116">
        <v>10197428</v>
      </c>
      <c r="C210" s="1"/>
      <c r="D210" s="4">
        <v>44524</v>
      </c>
      <c r="E210" s="147">
        <v>30</v>
      </c>
      <c r="F210" s="4">
        <f t="shared" si="38"/>
        <v>44554</v>
      </c>
      <c r="G210" s="147">
        <f t="shared" si="42"/>
        <v>7</v>
      </c>
      <c r="H210" s="4"/>
      <c r="I210" s="62">
        <f t="shared" si="43"/>
        <v>10197428</v>
      </c>
      <c r="J210" s="4"/>
      <c r="K210" s="4"/>
      <c r="L210" s="4"/>
    </row>
    <row r="211" spans="1:12">
      <c r="A211" s="386" t="s">
        <v>222</v>
      </c>
      <c r="B211" s="116">
        <v>28200727</v>
      </c>
      <c r="C211" s="1"/>
      <c r="D211" s="4">
        <v>44524</v>
      </c>
      <c r="E211" s="147">
        <v>30</v>
      </c>
      <c r="F211" s="4">
        <f t="shared" si="38"/>
        <v>44554</v>
      </c>
      <c r="G211" s="147">
        <f t="shared" ref="G211:G228" si="44">$A$4-F211</f>
        <v>7</v>
      </c>
      <c r="H211" s="4"/>
      <c r="I211" s="62">
        <f t="shared" si="43"/>
        <v>28200727</v>
      </c>
      <c r="J211" s="4"/>
      <c r="K211" s="4"/>
      <c r="L211" s="4"/>
    </row>
    <row r="212" spans="1:12">
      <c r="A212" s="386"/>
      <c r="B212" s="116">
        <v>51778156</v>
      </c>
      <c r="C212" s="1"/>
      <c r="D212" s="4">
        <v>44527</v>
      </c>
      <c r="E212" s="147">
        <v>30</v>
      </c>
      <c r="F212" s="4">
        <f t="shared" si="38"/>
        <v>44557</v>
      </c>
      <c r="G212" s="147">
        <f t="shared" si="44"/>
        <v>4</v>
      </c>
      <c r="H212" s="4"/>
      <c r="I212" s="62">
        <f t="shared" si="43"/>
        <v>51778156</v>
      </c>
      <c r="J212" s="4"/>
      <c r="K212" s="4"/>
      <c r="L212" s="4"/>
    </row>
    <row r="213" spans="1:12">
      <c r="A213" s="386"/>
      <c r="B213" s="116">
        <v>127934587</v>
      </c>
      <c r="C213" s="1"/>
      <c r="D213" s="4">
        <v>44530</v>
      </c>
      <c r="E213" s="147">
        <v>30</v>
      </c>
      <c r="F213" s="4">
        <f t="shared" si="38"/>
        <v>44560</v>
      </c>
      <c r="G213" s="147">
        <f t="shared" si="44"/>
        <v>1</v>
      </c>
      <c r="H213" s="4"/>
      <c r="I213" s="62">
        <f t="shared" si="43"/>
        <v>127934587</v>
      </c>
      <c r="J213" s="4"/>
      <c r="K213" s="4"/>
      <c r="L213" s="4"/>
    </row>
    <row r="214" spans="1:12">
      <c r="A214" s="386"/>
      <c r="B214" s="116">
        <v>34393593</v>
      </c>
      <c r="C214" s="1"/>
      <c r="D214" s="4">
        <v>44530</v>
      </c>
      <c r="E214" s="147">
        <v>30</v>
      </c>
      <c r="F214" s="4">
        <f t="shared" si="38"/>
        <v>44560</v>
      </c>
      <c r="G214" s="147">
        <f t="shared" si="44"/>
        <v>1</v>
      </c>
      <c r="H214" s="4"/>
      <c r="I214" s="62">
        <f t="shared" si="43"/>
        <v>34393593</v>
      </c>
      <c r="J214" s="4"/>
      <c r="K214" s="4"/>
      <c r="L214" s="4"/>
    </row>
    <row r="215" spans="1:12">
      <c r="A215" s="386"/>
      <c r="B215" s="116">
        <v>77246941</v>
      </c>
      <c r="C215" s="1"/>
      <c r="D215" s="4">
        <v>44530</v>
      </c>
      <c r="E215" s="147">
        <v>30</v>
      </c>
      <c r="F215" s="4">
        <f t="shared" si="38"/>
        <v>44560</v>
      </c>
      <c r="G215" s="147">
        <f t="shared" si="44"/>
        <v>1</v>
      </c>
      <c r="H215" s="4"/>
      <c r="I215" s="62">
        <f t="shared" si="43"/>
        <v>77246941</v>
      </c>
      <c r="J215" s="4"/>
      <c r="K215" s="4"/>
      <c r="L215" s="4"/>
    </row>
    <row r="216" spans="1:12">
      <c r="A216" s="386"/>
      <c r="B216" s="116">
        <v>61423227</v>
      </c>
      <c r="C216" s="1"/>
      <c r="D216" s="4">
        <v>44530</v>
      </c>
      <c r="E216" s="147">
        <v>30</v>
      </c>
      <c r="F216" s="4">
        <f t="shared" si="38"/>
        <v>44560</v>
      </c>
      <c r="G216" s="147">
        <f t="shared" si="44"/>
        <v>1</v>
      </c>
      <c r="H216" s="4"/>
      <c r="I216" s="62">
        <f t="shared" si="43"/>
        <v>61423227</v>
      </c>
      <c r="J216" s="4"/>
      <c r="K216" s="4"/>
      <c r="L216" s="4"/>
    </row>
    <row r="217" spans="1:12">
      <c r="A217" s="386"/>
      <c r="B217" s="116">
        <v>59433156</v>
      </c>
      <c r="C217" s="1"/>
      <c r="D217" s="4">
        <v>44532</v>
      </c>
      <c r="E217" s="147">
        <v>30</v>
      </c>
      <c r="F217" s="4">
        <f t="shared" si="38"/>
        <v>44562</v>
      </c>
      <c r="G217" s="147">
        <f t="shared" si="44"/>
        <v>-1</v>
      </c>
      <c r="H217" s="62">
        <f t="shared" ref="H217:H228" si="45">B217</f>
        <v>59433156</v>
      </c>
      <c r="I217" s="4"/>
      <c r="J217" s="4"/>
      <c r="K217" s="4"/>
      <c r="L217" s="4"/>
    </row>
    <row r="218" spans="1:12">
      <c r="A218" s="386"/>
      <c r="B218" s="116">
        <v>43144104</v>
      </c>
      <c r="C218" s="1"/>
      <c r="D218" s="4">
        <v>44532</v>
      </c>
      <c r="E218" s="147">
        <v>30</v>
      </c>
      <c r="F218" s="4">
        <f t="shared" si="38"/>
        <v>44562</v>
      </c>
      <c r="G218" s="147">
        <f t="shared" si="44"/>
        <v>-1</v>
      </c>
      <c r="H218" s="62">
        <f t="shared" si="45"/>
        <v>43144104</v>
      </c>
      <c r="I218" s="4"/>
      <c r="J218" s="4"/>
      <c r="K218" s="4"/>
      <c r="L218" s="4"/>
    </row>
    <row r="219" spans="1:12">
      <c r="A219" s="386"/>
      <c r="B219" s="116">
        <v>4580280</v>
      </c>
      <c r="C219" s="1"/>
      <c r="D219" s="4">
        <v>44532</v>
      </c>
      <c r="E219" s="147">
        <v>30</v>
      </c>
      <c r="F219" s="4">
        <f t="shared" si="38"/>
        <v>44562</v>
      </c>
      <c r="G219" s="147">
        <f t="shared" si="44"/>
        <v>-1</v>
      </c>
      <c r="H219" s="62">
        <f t="shared" si="45"/>
        <v>4580280</v>
      </c>
      <c r="I219" s="4"/>
      <c r="J219" s="4"/>
      <c r="K219" s="4"/>
      <c r="L219" s="4"/>
    </row>
    <row r="220" spans="1:12">
      <c r="A220" s="386"/>
      <c r="B220" s="116">
        <v>37195446</v>
      </c>
      <c r="C220" s="1"/>
      <c r="D220" s="4">
        <v>44534</v>
      </c>
      <c r="E220" s="147">
        <v>30</v>
      </c>
      <c r="F220" s="4">
        <f t="shared" si="38"/>
        <v>44564</v>
      </c>
      <c r="G220" s="147">
        <f t="shared" si="44"/>
        <v>-3</v>
      </c>
      <c r="H220" s="62">
        <f t="shared" si="45"/>
        <v>37195446</v>
      </c>
      <c r="I220" s="4"/>
      <c r="J220" s="4"/>
      <c r="K220" s="4"/>
      <c r="L220" s="4"/>
    </row>
    <row r="221" spans="1:12">
      <c r="A221" s="386"/>
      <c r="B221" s="116">
        <v>19529069</v>
      </c>
      <c r="C221" s="1"/>
      <c r="D221" s="4">
        <v>44534</v>
      </c>
      <c r="E221" s="147">
        <v>30</v>
      </c>
      <c r="F221" s="4">
        <f t="shared" si="38"/>
        <v>44564</v>
      </c>
      <c r="G221" s="147">
        <f t="shared" si="44"/>
        <v>-3</v>
      </c>
      <c r="H221" s="62">
        <f t="shared" si="45"/>
        <v>19529069</v>
      </c>
      <c r="I221" s="4"/>
      <c r="J221" s="4"/>
      <c r="K221" s="4"/>
      <c r="L221" s="4"/>
    </row>
    <row r="222" spans="1:12">
      <c r="A222" s="386"/>
      <c r="B222" s="116">
        <v>56532597</v>
      </c>
      <c r="C222" s="1"/>
      <c r="D222" s="4">
        <v>44534</v>
      </c>
      <c r="E222" s="147">
        <v>30</v>
      </c>
      <c r="F222" s="4">
        <f t="shared" si="38"/>
        <v>44564</v>
      </c>
      <c r="G222" s="147">
        <f t="shared" si="44"/>
        <v>-3</v>
      </c>
      <c r="H222" s="62">
        <f t="shared" si="45"/>
        <v>56532597</v>
      </c>
      <c r="I222" s="4"/>
      <c r="J222" s="4"/>
      <c r="K222" s="4"/>
      <c r="L222" s="4"/>
    </row>
    <row r="223" spans="1:12">
      <c r="A223" s="386"/>
      <c r="B223" s="116">
        <v>46644010</v>
      </c>
      <c r="C223" s="1"/>
      <c r="D223" s="4">
        <v>44534</v>
      </c>
      <c r="E223" s="147">
        <v>30</v>
      </c>
      <c r="F223" s="4">
        <f t="shared" si="38"/>
        <v>44564</v>
      </c>
      <c r="G223" s="147">
        <f t="shared" si="44"/>
        <v>-3</v>
      </c>
      <c r="H223" s="62">
        <f t="shared" si="45"/>
        <v>46644010</v>
      </c>
      <c r="I223" s="4"/>
      <c r="J223" s="4"/>
      <c r="K223" s="4"/>
      <c r="L223" s="4"/>
    </row>
    <row r="224" spans="1:12">
      <c r="A224" s="386"/>
      <c r="B224" s="116">
        <v>26338921</v>
      </c>
      <c r="C224" s="1"/>
      <c r="D224" s="4">
        <v>44539</v>
      </c>
      <c r="E224" s="147">
        <v>30</v>
      </c>
      <c r="F224" s="4">
        <f t="shared" si="38"/>
        <v>44569</v>
      </c>
      <c r="G224" s="147">
        <f t="shared" si="44"/>
        <v>-8</v>
      </c>
      <c r="H224" s="62">
        <f t="shared" si="45"/>
        <v>26338921</v>
      </c>
      <c r="I224" s="4"/>
      <c r="J224" s="4"/>
      <c r="K224" s="4"/>
      <c r="L224" s="4"/>
    </row>
    <row r="225" spans="1:12">
      <c r="A225" s="386"/>
      <c r="B225" s="116">
        <v>26436421</v>
      </c>
      <c r="C225" s="1"/>
      <c r="D225" s="4">
        <v>44540</v>
      </c>
      <c r="E225" s="147">
        <v>30</v>
      </c>
      <c r="F225" s="4">
        <f t="shared" si="38"/>
        <v>44570</v>
      </c>
      <c r="G225" s="147">
        <f t="shared" si="44"/>
        <v>-9</v>
      </c>
      <c r="H225" s="62">
        <f t="shared" si="45"/>
        <v>26436421</v>
      </c>
      <c r="I225" s="4"/>
      <c r="J225" s="4"/>
      <c r="K225" s="4"/>
      <c r="L225" s="4"/>
    </row>
    <row r="226" spans="1:12">
      <c r="A226" s="386"/>
      <c r="B226" s="116">
        <v>18786311</v>
      </c>
      <c r="C226" s="1"/>
      <c r="D226" s="4">
        <v>44540</v>
      </c>
      <c r="E226" s="147">
        <v>30</v>
      </c>
      <c r="F226" s="4">
        <f t="shared" ref="F226:F228" si="46">D226+E226</f>
        <v>44570</v>
      </c>
      <c r="G226" s="147">
        <f t="shared" si="44"/>
        <v>-9</v>
      </c>
      <c r="H226" s="62">
        <f t="shared" si="45"/>
        <v>18786311</v>
      </c>
      <c r="I226" s="4"/>
      <c r="J226" s="4"/>
      <c r="K226" s="4"/>
      <c r="L226" s="4"/>
    </row>
    <row r="227" spans="1:12">
      <c r="A227" s="386"/>
      <c r="B227" s="116">
        <v>47782517</v>
      </c>
      <c r="C227" s="1"/>
      <c r="D227" s="4">
        <v>44540</v>
      </c>
      <c r="E227" s="147">
        <v>30</v>
      </c>
      <c r="F227" s="4">
        <f t="shared" si="46"/>
        <v>44570</v>
      </c>
      <c r="G227" s="147">
        <f t="shared" si="44"/>
        <v>-9</v>
      </c>
      <c r="H227" s="62">
        <f t="shared" si="45"/>
        <v>47782517</v>
      </c>
      <c r="I227" s="4"/>
      <c r="J227" s="4"/>
      <c r="K227" s="4"/>
      <c r="L227" s="4"/>
    </row>
    <row r="228" spans="1:12">
      <c r="A228" s="386"/>
      <c r="B228" s="116">
        <v>13588666</v>
      </c>
      <c r="C228" s="1"/>
      <c r="D228" s="4">
        <v>44544</v>
      </c>
      <c r="E228" s="147">
        <v>30</v>
      </c>
      <c r="F228" s="4">
        <f t="shared" si="46"/>
        <v>44574</v>
      </c>
      <c r="G228" s="147">
        <f t="shared" si="44"/>
        <v>-13</v>
      </c>
      <c r="H228" s="62">
        <f t="shared" si="45"/>
        <v>13588666</v>
      </c>
      <c r="I228" s="4"/>
      <c r="J228" s="4"/>
      <c r="K228" s="4"/>
      <c r="L228" s="4"/>
    </row>
    <row r="229" spans="1:12" s="146" customFormat="1">
      <c r="A229" s="143"/>
      <c r="B229" s="144"/>
      <c r="C229" s="145"/>
      <c r="D229" s="145"/>
      <c r="E229" s="148"/>
      <c r="F229" s="145"/>
      <c r="G229" s="145"/>
      <c r="H229" s="145"/>
      <c r="I229" s="145"/>
      <c r="J229" s="145"/>
      <c r="K229" s="145"/>
      <c r="L229" s="145"/>
    </row>
    <row r="230" spans="1:12">
      <c r="A230" s="136" t="s">
        <v>48</v>
      </c>
      <c r="B230" s="116">
        <v>18194000</v>
      </c>
      <c r="C230" s="1"/>
      <c r="D230" s="4">
        <v>44504</v>
      </c>
      <c r="E230" s="147">
        <v>30</v>
      </c>
      <c r="F230" s="4">
        <f t="shared" ref="F230:F261" si="47">D230+E230</f>
        <v>44534</v>
      </c>
      <c r="G230" s="147">
        <f>$A$4-F230</f>
        <v>27</v>
      </c>
      <c r="H230" s="4"/>
      <c r="I230" s="62">
        <f t="shared" ref="I230:I261" si="48">B230</f>
        <v>18194000</v>
      </c>
      <c r="J230" s="4"/>
      <c r="K230" s="4"/>
      <c r="L230" s="4"/>
    </row>
    <row r="231" spans="1:12">
      <c r="A231" s="136" t="s">
        <v>97</v>
      </c>
      <c r="B231" s="116">
        <v>54545</v>
      </c>
      <c r="C231" s="1"/>
      <c r="D231" s="4">
        <v>44504</v>
      </c>
      <c r="E231" s="147">
        <v>30</v>
      </c>
      <c r="F231" s="4">
        <f t="shared" si="47"/>
        <v>44534</v>
      </c>
      <c r="G231" s="147">
        <f t="shared" ref="G231:G284" si="49">$A$4-F231</f>
        <v>27</v>
      </c>
      <c r="H231" s="4"/>
      <c r="I231" s="62">
        <f t="shared" si="48"/>
        <v>54545</v>
      </c>
      <c r="J231" s="4"/>
      <c r="K231" s="4"/>
      <c r="L231" s="4"/>
    </row>
    <row r="232" spans="1:12">
      <c r="A232" s="136" t="s">
        <v>59</v>
      </c>
      <c r="B232" s="116">
        <v>9840600</v>
      </c>
      <c r="C232" s="1"/>
      <c r="D232" s="4">
        <v>44504</v>
      </c>
      <c r="E232" s="147">
        <v>30</v>
      </c>
      <c r="F232" s="4">
        <f t="shared" si="47"/>
        <v>44534</v>
      </c>
      <c r="G232" s="147">
        <f t="shared" si="49"/>
        <v>27</v>
      </c>
      <c r="H232" s="4"/>
      <c r="I232" s="62">
        <f t="shared" si="48"/>
        <v>9840600</v>
      </c>
      <c r="J232" s="4"/>
      <c r="K232" s="4"/>
      <c r="L232" s="4"/>
    </row>
    <row r="233" spans="1:12">
      <c r="A233" s="136" t="s">
        <v>60</v>
      </c>
      <c r="B233" s="116">
        <v>3300000</v>
      </c>
      <c r="C233" s="1"/>
      <c r="D233" s="4">
        <v>44504</v>
      </c>
      <c r="E233" s="147">
        <v>30</v>
      </c>
      <c r="F233" s="4">
        <f t="shared" si="47"/>
        <v>44534</v>
      </c>
      <c r="G233" s="147">
        <f t="shared" si="49"/>
        <v>27</v>
      </c>
      <c r="H233" s="4"/>
      <c r="I233" s="62">
        <f t="shared" si="48"/>
        <v>3300000</v>
      </c>
      <c r="J233" s="4"/>
      <c r="K233" s="4"/>
      <c r="L233" s="4"/>
    </row>
    <row r="234" spans="1:12">
      <c r="A234" s="136" t="s">
        <v>223</v>
      </c>
      <c r="B234" s="116">
        <v>5329500</v>
      </c>
      <c r="C234" s="1"/>
      <c r="D234" s="4">
        <v>44504</v>
      </c>
      <c r="E234" s="147">
        <v>30</v>
      </c>
      <c r="F234" s="4">
        <f t="shared" si="47"/>
        <v>44534</v>
      </c>
      <c r="G234" s="147">
        <f t="shared" si="49"/>
        <v>27</v>
      </c>
      <c r="H234" s="4"/>
      <c r="I234" s="62">
        <f t="shared" si="48"/>
        <v>5329500</v>
      </c>
      <c r="J234" s="4"/>
      <c r="K234" s="4"/>
      <c r="L234" s="4"/>
    </row>
    <row r="235" spans="1:12">
      <c r="A235" s="136" t="s">
        <v>63</v>
      </c>
      <c r="B235" s="116">
        <v>8639928</v>
      </c>
      <c r="C235" s="1"/>
      <c r="D235" s="4">
        <v>44504</v>
      </c>
      <c r="E235" s="147">
        <v>30</v>
      </c>
      <c r="F235" s="4">
        <f t="shared" si="47"/>
        <v>44534</v>
      </c>
      <c r="G235" s="147">
        <f t="shared" si="49"/>
        <v>27</v>
      </c>
      <c r="H235" s="4"/>
      <c r="I235" s="62">
        <f t="shared" si="48"/>
        <v>8639928</v>
      </c>
      <c r="J235" s="4"/>
      <c r="K235" s="4"/>
      <c r="L235" s="4"/>
    </row>
    <row r="236" spans="1:12">
      <c r="A236" s="136" t="s">
        <v>224</v>
      </c>
      <c r="B236" s="116">
        <v>365000</v>
      </c>
      <c r="C236" s="1"/>
      <c r="D236" s="4">
        <v>44504</v>
      </c>
      <c r="E236" s="147">
        <v>30</v>
      </c>
      <c r="F236" s="4">
        <f t="shared" si="47"/>
        <v>44534</v>
      </c>
      <c r="G236" s="147">
        <f t="shared" si="49"/>
        <v>27</v>
      </c>
      <c r="H236" s="4"/>
      <c r="I236" s="62">
        <f t="shared" si="48"/>
        <v>365000</v>
      </c>
      <c r="J236" s="4"/>
      <c r="K236" s="4"/>
      <c r="L236" s="4"/>
    </row>
    <row r="237" spans="1:12">
      <c r="A237" s="136" t="s">
        <v>52</v>
      </c>
      <c r="B237" s="116">
        <v>8914900</v>
      </c>
      <c r="C237" s="1"/>
      <c r="D237" s="4">
        <v>44504</v>
      </c>
      <c r="E237" s="147">
        <v>30</v>
      </c>
      <c r="F237" s="4">
        <f t="shared" si="47"/>
        <v>44534</v>
      </c>
      <c r="G237" s="147">
        <f t="shared" si="49"/>
        <v>27</v>
      </c>
      <c r="H237" s="4"/>
      <c r="I237" s="62">
        <f t="shared" si="48"/>
        <v>8914900</v>
      </c>
      <c r="J237" s="4"/>
      <c r="K237" s="4"/>
      <c r="L237" s="4"/>
    </row>
    <row r="238" spans="1:12">
      <c r="A238" s="136" t="s">
        <v>83</v>
      </c>
      <c r="B238" s="116">
        <v>18447000</v>
      </c>
      <c r="C238" s="1"/>
      <c r="D238" s="4">
        <v>44504</v>
      </c>
      <c r="E238" s="147">
        <v>30</v>
      </c>
      <c r="F238" s="4">
        <f t="shared" si="47"/>
        <v>44534</v>
      </c>
      <c r="G238" s="147">
        <f t="shared" si="49"/>
        <v>27</v>
      </c>
      <c r="H238" s="4"/>
      <c r="I238" s="62">
        <f t="shared" si="48"/>
        <v>18447000</v>
      </c>
      <c r="J238" s="4"/>
      <c r="K238" s="4"/>
      <c r="L238" s="4"/>
    </row>
    <row r="239" spans="1:12">
      <c r="A239" s="136" t="s">
        <v>225</v>
      </c>
      <c r="B239" s="116">
        <v>2350000</v>
      </c>
      <c r="C239" s="1"/>
      <c r="D239" s="4">
        <v>44504</v>
      </c>
      <c r="E239" s="147">
        <v>30</v>
      </c>
      <c r="F239" s="4">
        <f t="shared" si="47"/>
        <v>44534</v>
      </c>
      <c r="G239" s="147">
        <f t="shared" si="49"/>
        <v>27</v>
      </c>
      <c r="H239" s="4"/>
      <c r="I239" s="62">
        <f t="shared" si="48"/>
        <v>2350000</v>
      </c>
      <c r="J239" s="4"/>
      <c r="K239" s="4"/>
      <c r="L239" s="4"/>
    </row>
    <row r="240" spans="1:12">
      <c r="A240" s="136" t="s">
        <v>226</v>
      </c>
      <c r="B240" s="116">
        <v>7920000</v>
      </c>
      <c r="C240" s="1"/>
      <c r="D240" s="4">
        <v>44504</v>
      </c>
      <c r="E240" s="147">
        <v>30</v>
      </c>
      <c r="F240" s="4">
        <f t="shared" si="47"/>
        <v>44534</v>
      </c>
      <c r="G240" s="147">
        <f t="shared" si="49"/>
        <v>27</v>
      </c>
      <c r="H240" s="4"/>
      <c r="I240" s="62">
        <f t="shared" si="48"/>
        <v>7920000</v>
      </c>
      <c r="J240" s="4"/>
      <c r="K240" s="4"/>
      <c r="L240" s="4"/>
    </row>
    <row r="241" spans="1:12">
      <c r="A241" s="136" t="s">
        <v>56</v>
      </c>
      <c r="B241" s="116">
        <v>5220000</v>
      </c>
      <c r="C241" s="1"/>
      <c r="D241" s="4">
        <v>44504</v>
      </c>
      <c r="E241" s="147">
        <v>30</v>
      </c>
      <c r="F241" s="4">
        <f t="shared" si="47"/>
        <v>44534</v>
      </c>
      <c r="G241" s="147">
        <f t="shared" si="49"/>
        <v>27</v>
      </c>
      <c r="H241" s="4"/>
      <c r="I241" s="62">
        <f t="shared" si="48"/>
        <v>5220000</v>
      </c>
      <c r="J241" s="4"/>
      <c r="K241" s="4"/>
      <c r="L241" s="4"/>
    </row>
    <row r="242" spans="1:12">
      <c r="A242" s="136" t="s">
        <v>85</v>
      </c>
      <c r="B242" s="116">
        <v>1536000</v>
      </c>
      <c r="C242" s="1"/>
      <c r="D242" s="4">
        <v>44504</v>
      </c>
      <c r="E242" s="147">
        <v>30</v>
      </c>
      <c r="F242" s="4">
        <f t="shared" si="47"/>
        <v>44534</v>
      </c>
      <c r="G242" s="147">
        <f t="shared" si="49"/>
        <v>27</v>
      </c>
      <c r="H242" s="4"/>
      <c r="I242" s="62">
        <f t="shared" si="48"/>
        <v>1536000</v>
      </c>
      <c r="J242" s="4"/>
      <c r="K242" s="4"/>
      <c r="L242" s="4"/>
    </row>
    <row r="243" spans="1:12">
      <c r="A243" s="136" t="s">
        <v>70</v>
      </c>
      <c r="B243" s="116">
        <v>13475000</v>
      </c>
      <c r="C243" s="1"/>
      <c r="D243" s="4">
        <v>44504</v>
      </c>
      <c r="E243" s="147">
        <v>30</v>
      </c>
      <c r="F243" s="4">
        <f t="shared" si="47"/>
        <v>44534</v>
      </c>
      <c r="G243" s="147">
        <f t="shared" si="49"/>
        <v>27</v>
      </c>
      <c r="H243" s="4"/>
      <c r="I243" s="62">
        <f t="shared" si="48"/>
        <v>13475000</v>
      </c>
      <c r="J243" s="4"/>
      <c r="K243" s="4"/>
      <c r="L243" s="4"/>
    </row>
    <row r="244" spans="1:12">
      <c r="A244" s="136" t="s">
        <v>135</v>
      </c>
      <c r="B244" s="116">
        <v>18570943.66</v>
      </c>
      <c r="C244" s="1"/>
      <c r="D244" s="4">
        <v>44504</v>
      </c>
      <c r="E244" s="147">
        <v>30</v>
      </c>
      <c r="F244" s="4">
        <f t="shared" si="47"/>
        <v>44534</v>
      </c>
      <c r="G244" s="147">
        <f t="shared" si="49"/>
        <v>27</v>
      </c>
      <c r="H244" s="4"/>
      <c r="I244" s="62">
        <f t="shared" si="48"/>
        <v>18570943.66</v>
      </c>
      <c r="J244" s="4"/>
      <c r="K244" s="4"/>
      <c r="L244" s="4"/>
    </row>
    <row r="245" spans="1:12">
      <c r="A245" s="136" t="s">
        <v>227</v>
      </c>
      <c r="B245" s="116">
        <v>3960000</v>
      </c>
      <c r="C245" s="1"/>
      <c r="D245" s="4">
        <v>44504</v>
      </c>
      <c r="E245" s="147">
        <v>30</v>
      </c>
      <c r="F245" s="4">
        <f t="shared" si="47"/>
        <v>44534</v>
      </c>
      <c r="G245" s="147">
        <f t="shared" si="49"/>
        <v>27</v>
      </c>
      <c r="H245" s="4"/>
      <c r="I245" s="62">
        <f t="shared" si="48"/>
        <v>3960000</v>
      </c>
      <c r="J245" s="4"/>
      <c r="K245" s="4"/>
      <c r="L245" s="4"/>
    </row>
    <row r="246" spans="1:12">
      <c r="A246" s="136" t="s">
        <v>228</v>
      </c>
      <c r="B246" s="116">
        <v>2000000</v>
      </c>
      <c r="C246" s="1"/>
      <c r="D246" s="4">
        <v>44504</v>
      </c>
      <c r="E246" s="147">
        <v>30</v>
      </c>
      <c r="F246" s="4">
        <f t="shared" si="47"/>
        <v>44534</v>
      </c>
      <c r="G246" s="147">
        <f t="shared" si="49"/>
        <v>27</v>
      </c>
      <c r="H246" s="4"/>
      <c r="I246" s="62">
        <f t="shared" si="48"/>
        <v>2000000</v>
      </c>
      <c r="J246" s="4"/>
      <c r="K246" s="4"/>
      <c r="L246" s="4"/>
    </row>
    <row r="247" spans="1:12">
      <c r="A247" s="136" t="s">
        <v>92</v>
      </c>
      <c r="B247" s="116">
        <v>926000</v>
      </c>
      <c r="C247" s="1"/>
      <c r="D247" s="4">
        <v>44504</v>
      </c>
      <c r="E247" s="147">
        <v>30</v>
      </c>
      <c r="F247" s="4">
        <f t="shared" si="47"/>
        <v>44534</v>
      </c>
      <c r="G247" s="147">
        <f t="shared" si="49"/>
        <v>27</v>
      </c>
      <c r="H247" s="4"/>
      <c r="I247" s="62">
        <f t="shared" si="48"/>
        <v>926000</v>
      </c>
      <c r="J247" s="4"/>
      <c r="K247" s="4"/>
      <c r="L247" s="4"/>
    </row>
    <row r="248" spans="1:12">
      <c r="A248" s="136" t="s">
        <v>229</v>
      </c>
      <c r="B248" s="116">
        <v>1320000</v>
      </c>
      <c r="C248" s="1"/>
      <c r="D248" s="4">
        <v>44504</v>
      </c>
      <c r="E248" s="147">
        <v>30</v>
      </c>
      <c r="F248" s="4">
        <f t="shared" si="47"/>
        <v>44534</v>
      </c>
      <c r="G248" s="147">
        <f t="shared" si="49"/>
        <v>27</v>
      </c>
      <c r="H248" s="4"/>
      <c r="I248" s="62">
        <f t="shared" si="48"/>
        <v>1320000</v>
      </c>
      <c r="J248" s="4"/>
      <c r="K248" s="4"/>
      <c r="L248" s="4"/>
    </row>
    <row r="249" spans="1:12">
      <c r="A249" s="136" t="s">
        <v>230</v>
      </c>
      <c r="B249" s="116">
        <v>6160000</v>
      </c>
      <c r="C249" s="1"/>
      <c r="D249" s="4">
        <v>44504</v>
      </c>
      <c r="E249" s="147">
        <v>30</v>
      </c>
      <c r="F249" s="4">
        <f t="shared" si="47"/>
        <v>44534</v>
      </c>
      <c r="G249" s="147">
        <f t="shared" si="49"/>
        <v>27</v>
      </c>
      <c r="H249" s="4"/>
      <c r="I249" s="62">
        <f t="shared" si="48"/>
        <v>6160000</v>
      </c>
      <c r="J249" s="4"/>
      <c r="K249" s="4"/>
      <c r="L249" s="4"/>
    </row>
    <row r="250" spans="1:12">
      <c r="A250" s="136" t="s">
        <v>86</v>
      </c>
      <c r="B250" s="116">
        <v>1320000</v>
      </c>
      <c r="C250" s="1"/>
      <c r="D250" s="4">
        <v>44504</v>
      </c>
      <c r="E250" s="147">
        <v>30</v>
      </c>
      <c r="F250" s="4">
        <f t="shared" si="47"/>
        <v>44534</v>
      </c>
      <c r="G250" s="147">
        <f t="shared" si="49"/>
        <v>27</v>
      </c>
      <c r="H250" s="4"/>
      <c r="I250" s="62">
        <f t="shared" si="48"/>
        <v>1320000</v>
      </c>
      <c r="J250" s="4"/>
      <c r="K250" s="4"/>
      <c r="L250" s="4"/>
    </row>
    <row r="251" spans="1:12">
      <c r="A251" s="136" t="s">
        <v>231</v>
      </c>
      <c r="B251" s="116">
        <v>15116550</v>
      </c>
      <c r="C251" s="1"/>
      <c r="D251" s="4">
        <v>44504</v>
      </c>
      <c r="E251" s="147">
        <v>30</v>
      </c>
      <c r="F251" s="4">
        <f t="shared" si="47"/>
        <v>44534</v>
      </c>
      <c r="G251" s="147">
        <f t="shared" si="49"/>
        <v>27</v>
      </c>
      <c r="H251" s="4"/>
      <c r="I251" s="62">
        <f t="shared" si="48"/>
        <v>15116550</v>
      </c>
      <c r="J251" s="4"/>
      <c r="K251" s="4"/>
      <c r="L251" s="4"/>
    </row>
    <row r="252" spans="1:12">
      <c r="A252" s="136" t="s">
        <v>77</v>
      </c>
      <c r="B252" s="116">
        <v>228000</v>
      </c>
      <c r="C252" s="1"/>
      <c r="D252" s="4">
        <v>44504</v>
      </c>
      <c r="E252" s="147">
        <v>30</v>
      </c>
      <c r="F252" s="4">
        <f t="shared" si="47"/>
        <v>44534</v>
      </c>
      <c r="G252" s="147">
        <f t="shared" si="49"/>
        <v>27</v>
      </c>
      <c r="H252" s="4"/>
      <c r="I252" s="62">
        <f t="shared" si="48"/>
        <v>228000</v>
      </c>
      <c r="J252" s="4"/>
      <c r="K252" s="4"/>
      <c r="L252" s="4"/>
    </row>
    <row r="253" spans="1:12">
      <c r="A253" s="136" t="s">
        <v>232</v>
      </c>
      <c r="B253" s="116">
        <v>775000</v>
      </c>
      <c r="C253" s="1"/>
      <c r="D253" s="4">
        <v>44504</v>
      </c>
      <c r="E253" s="147">
        <v>30</v>
      </c>
      <c r="F253" s="4">
        <f t="shared" si="47"/>
        <v>44534</v>
      </c>
      <c r="G253" s="147">
        <f t="shared" si="49"/>
        <v>27</v>
      </c>
      <c r="H253" s="4"/>
      <c r="I253" s="62">
        <f t="shared" si="48"/>
        <v>775000</v>
      </c>
      <c r="J253" s="4"/>
      <c r="K253" s="4"/>
      <c r="L253" s="4"/>
    </row>
    <row r="254" spans="1:12">
      <c r="A254" s="136" t="s">
        <v>64</v>
      </c>
      <c r="B254" s="116">
        <v>2721000</v>
      </c>
      <c r="C254" s="1"/>
      <c r="D254" s="4">
        <v>44504</v>
      </c>
      <c r="E254" s="147">
        <v>30</v>
      </c>
      <c r="F254" s="4">
        <f t="shared" si="47"/>
        <v>44534</v>
      </c>
      <c r="G254" s="147">
        <f t="shared" si="49"/>
        <v>27</v>
      </c>
      <c r="H254" s="4"/>
      <c r="I254" s="62">
        <f t="shared" si="48"/>
        <v>2721000</v>
      </c>
      <c r="J254" s="4"/>
      <c r="K254" s="4"/>
      <c r="L254" s="4"/>
    </row>
    <row r="255" spans="1:12">
      <c r="A255" s="136" t="s">
        <v>76</v>
      </c>
      <c r="B255" s="116">
        <v>2630000</v>
      </c>
      <c r="C255" s="1"/>
      <c r="D255" s="4">
        <v>44504</v>
      </c>
      <c r="E255" s="147">
        <v>30</v>
      </c>
      <c r="F255" s="4">
        <f t="shared" si="47"/>
        <v>44534</v>
      </c>
      <c r="G255" s="147">
        <f t="shared" si="49"/>
        <v>27</v>
      </c>
      <c r="H255" s="4"/>
      <c r="I255" s="62">
        <f t="shared" si="48"/>
        <v>2630000</v>
      </c>
      <c r="J255" s="4"/>
      <c r="K255" s="4"/>
      <c r="L255" s="4"/>
    </row>
    <row r="256" spans="1:12">
      <c r="A256" s="136" t="s">
        <v>233</v>
      </c>
      <c r="B256" s="116">
        <v>4499000</v>
      </c>
      <c r="C256" s="1"/>
      <c r="D256" s="4">
        <v>44504</v>
      </c>
      <c r="E256" s="147">
        <v>30</v>
      </c>
      <c r="F256" s="4">
        <f t="shared" si="47"/>
        <v>44534</v>
      </c>
      <c r="G256" s="147">
        <f t="shared" si="49"/>
        <v>27</v>
      </c>
      <c r="H256" s="4"/>
      <c r="I256" s="62">
        <f t="shared" si="48"/>
        <v>4499000</v>
      </c>
      <c r="J256" s="4"/>
      <c r="K256" s="4"/>
      <c r="L256" s="4"/>
    </row>
    <row r="257" spans="1:12">
      <c r="A257" s="136" t="s">
        <v>82</v>
      </c>
      <c r="B257" s="116">
        <v>264000</v>
      </c>
      <c r="C257" s="1"/>
      <c r="D257" s="4">
        <v>44504</v>
      </c>
      <c r="E257" s="147">
        <v>30</v>
      </c>
      <c r="F257" s="4">
        <f t="shared" si="47"/>
        <v>44534</v>
      </c>
      <c r="G257" s="147">
        <f t="shared" si="49"/>
        <v>27</v>
      </c>
      <c r="H257" s="4"/>
      <c r="I257" s="62">
        <f t="shared" si="48"/>
        <v>264000</v>
      </c>
      <c r="J257" s="4"/>
      <c r="K257" s="4"/>
      <c r="L257" s="4"/>
    </row>
    <row r="258" spans="1:12">
      <c r="A258" s="136" t="s">
        <v>234</v>
      </c>
      <c r="B258" s="116">
        <v>5200000</v>
      </c>
      <c r="C258" s="1"/>
      <c r="D258" s="4">
        <v>44504</v>
      </c>
      <c r="E258" s="147">
        <v>30</v>
      </c>
      <c r="F258" s="4">
        <f t="shared" si="47"/>
        <v>44534</v>
      </c>
      <c r="G258" s="147">
        <f t="shared" si="49"/>
        <v>27</v>
      </c>
      <c r="H258" s="4"/>
      <c r="I258" s="62">
        <f t="shared" si="48"/>
        <v>5200000</v>
      </c>
      <c r="J258" s="4"/>
      <c r="K258" s="4"/>
      <c r="L258" s="4"/>
    </row>
    <row r="259" spans="1:12">
      <c r="A259" s="136" t="s">
        <v>47</v>
      </c>
      <c r="B259" s="116">
        <v>0.98</v>
      </c>
      <c r="C259" s="1"/>
      <c r="D259" s="4">
        <v>44504</v>
      </c>
      <c r="E259" s="147">
        <v>30</v>
      </c>
      <c r="F259" s="4">
        <f t="shared" si="47"/>
        <v>44534</v>
      </c>
      <c r="G259" s="147">
        <f t="shared" si="49"/>
        <v>27</v>
      </c>
      <c r="H259" s="4"/>
      <c r="I259" s="62">
        <f t="shared" si="48"/>
        <v>0.98</v>
      </c>
      <c r="J259" s="4"/>
      <c r="K259" s="4"/>
      <c r="L259" s="4"/>
    </row>
    <row r="260" spans="1:12">
      <c r="A260" s="136" t="s">
        <v>71</v>
      </c>
      <c r="B260" s="116">
        <v>3600000</v>
      </c>
      <c r="C260" s="1"/>
      <c r="D260" s="4">
        <v>44504</v>
      </c>
      <c r="E260" s="147">
        <v>30</v>
      </c>
      <c r="F260" s="4">
        <f t="shared" si="47"/>
        <v>44534</v>
      </c>
      <c r="G260" s="147">
        <f t="shared" si="49"/>
        <v>27</v>
      </c>
      <c r="H260" s="4"/>
      <c r="I260" s="62">
        <f t="shared" si="48"/>
        <v>3600000</v>
      </c>
      <c r="J260" s="4"/>
      <c r="K260" s="4"/>
      <c r="L260" s="4"/>
    </row>
    <row r="261" spans="1:12">
      <c r="A261" s="136" t="s">
        <v>235</v>
      </c>
      <c r="B261" s="116">
        <v>7300000</v>
      </c>
      <c r="C261" s="1"/>
      <c r="D261" s="4">
        <v>44504</v>
      </c>
      <c r="E261" s="147">
        <v>30</v>
      </c>
      <c r="F261" s="4">
        <f t="shared" si="47"/>
        <v>44534</v>
      </c>
      <c r="G261" s="147">
        <f t="shared" si="49"/>
        <v>27</v>
      </c>
      <c r="H261" s="4"/>
      <c r="I261" s="62">
        <f t="shared" si="48"/>
        <v>7300000</v>
      </c>
      <c r="J261" s="4"/>
      <c r="K261" s="4"/>
      <c r="L261" s="4"/>
    </row>
    <row r="262" spans="1:12">
      <c r="A262" s="136" t="s">
        <v>236</v>
      </c>
      <c r="B262" s="116">
        <v>2393600</v>
      </c>
      <c r="C262" s="1"/>
      <c r="D262" s="4">
        <v>44504</v>
      </c>
      <c r="E262" s="147">
        <v>30</v>
      </c>
      <c r="F262" s="4">
        <f t="shared" ref="F262:F284" si="50">D262+E262</f>
        <v>44534</v>
      </c>
      <c r="G262" s="147">
        <f t="shared" si="49"/>
        <v>27</v>
      </c>
      <c r="H262" s="4"/>
      <c r="I262" s="62">
        <f t="shared" ref="I262:I284" si="51">B262</f>
        <v>2393600</v>
      </c>
      <c r="J262" s="4"/>
      <c r="K262" s="4"/>
      <c r="L262" s="4"/>
    </row>
    <row r="263" spans="1:12">
      <c r="A263" s="136" t="s">
        <v>65</v>
      </c>
      <c r="B263" s="116">
        <v>11022000</v>
      </c>
      <c r="C263" s="1"/>
      <c r="D263" s="4">
        <v>44504</v>
      </c>
      <c r="E263" s="147">
        <v>30</v>
      </c>
      <c r="F263" s="4">
        <f t="shared" si="50"/>
        <v>44534</v>
      </c>
      <c r="G263" s="147">
        <f t="shared" si="49"/>
        <v>27</v>
      </c>
      <c r="H263" s="4"/>
      <c r="I263" s="62">
        <f t="shared" si="51"/>
        <v>11022000</v>
      </c>
      <c r="J263" s="4"/>
      <c r="K263" s="4"/>
      <c r="L263" s="4"/>
    </row>
    <row r="264" spans="1:12">
      <c r="A264" s="136" t="s">
        <v>237</v>
      </c>
      <c r="B264" s="116">
        <v>5200000</v>
      </c>
      <c r="C264" s="1"/>
      <c r="D264" s="4">
        <v>44504</v>
      </c>
      <c r="E264" s="147">
        <v>30</v>
      </c>
      <c r="F264" s="4">
        <f t="shared" si="50"/>
        <v>44534</v>
      </c>
      <c r="G264" s="147">
        <f t="shared" si="49"/>
        <v>27</v>
      </c>
      <c r="H264" s="4"/>
      <c r="I264" s="62">
        <f t="shared" si="51"/>
        <v>5200000</v>
      </c>
      <c r="J264" s="4"/>
      <c r="K264" s="4"/>
      <c r="L264" s="4"/>
    </row>
    <row r="265" spans="1:12">
      <c r="A265" s="136" t="s">
        <v>50</v>
      </c>
      <c r="B265" s="116">
        <v>3670000</v>
      </c>
      <c r="C265" s="1"/>
      <c r="D265" s="4">
        <v>44504</v>
      </c>
      <c r="E265" s="147">
        <v>30</v>
      </c>
      <c r="F265" s="4">
        <f t="shared" si="50"/>
        <v>44534</v>
      </c>
      <c r="G265" s="147">
        <f t="shared" si="49"/>
        <v>27</v>
      </c>
      <c r="H265" s="4"/>
      <c r="I265" s="62">
        <f t="shared" si="51"/>
        <v>3670000</v>
      </c>
      <c r="J265" s="4"/>
      <c r="K265" s="4"/>
      <c r="L265" s="4"/>
    </row>
    <row r="266" spans="1:12">
      <c r="A266" s="136" t="s">
        <v>49</v>
      </c>
      <c r="B266" s="116">
        <v>11719000</v>
      </c>
      <c r="C266" s="1"/>
      <c r="D266" s="4">
        <v>44504</v>
      </c>
      <c r="E266" s="147">
        <v>30</v>
      </c>
      <c r="F266" s="4">
        <f t="shared" si="50"/>
        <v>44534</v>
      </c>
      <c r="G266" s="147">
        <f t="shared" si="49"/>
        <v>27</v>
      </c>
      <c r="H266" s="4"/>
      <c r="I266" s="62">
        <f t="shared" si="51"/>
        <v>11719000</v>
      </c>
      <c r="J266" s="4"/>
      <c r="K266" s="4"/>
      <c r="L266" s="4"/>
    </row>
    <row r="267" spans="1:12">
      <c r="A267" s="136" t="s">
        <v>75</v>
      </c>
      <c r="B267" s="116">
        <v>2300000</v>
      </c>
      <c r="C267" s="1"/>
      <c r="D267" s="4">
        <v>44504</v>
      </c>
      <c r="E267" s="147">
        <v>30</v>
      </c>
      <c r="F267" s="4">
        <f t="shared" si="50"/>
        <v>44534</v>
      </c>
      <c r="G267" s="147">
        <f t="shared" si="49"/>
        <v>27</v>
      </c>
      <c r="H267" s="4"/>
      <c r="I267" s="62">
        <f t="shared" si="51"/>
        <v>2300000</v>
      </c>
      <c r="J267" s="4"/>
      <c r="K267" s="4"/>
      <c r="L267" s="4"/>
    </row>
    <row r="268" spans="1:12">
      <c r="A268" s="136" t="s">
        <v>73</v>
      </c>
      <c r="B268" s="116">
        <v>500</v>
      </c>
      <c r="C268" s="1"/>
      <c r="D268" s="4">
        <v>44504</v>
      </c>
      <c r="E268" s="147">
        <v>30</v>
      </c>
      <c r="F268" s="4">
        <f t="shared" si="50"/>
        <v>44534</v>
      </c>
      <c r="G268" s="147">
        <f t="shared" si="49"/>
        <v>27</v>
      </c>
      <c r="H268" s="4"/>
      <c r="I268" s="62">
        <f t="shared" si="51"/>
        <v>500</v>
      </c>
      <c r="J268" s="4"/>
      <c r="K268" s="4"/>
      <c r="L268" s="4"/>
    </row>
    <row r="269" spans="1:12">
      <c r="A269" s="136" t="s">
        <v>238</v>
      </c>
      <c r="B269" s="116">
        <v>5250000</v>
      </c>
      <c r="C269" s="1"/>
      <c r="D269" s="4">
        <v>44504</v>
      </c>
      <c r="E269" s="147">
        <v>30</v>
      </c>
      <c r="F269" s="4">
        <f t="shared" si="50"/>
        <v>44534</v>
      </c>
      <c r="G269" s="147">
        <f t="shared" si="49"/>
        <v>27</v>
      </c>
      <c r="H269" s="4"/>
      <c r="I269" s="62">
        <f t="shared" si="51"/>
        <v>5250000</v>
      </c>
      <c r="J269" s="4"/>
      <c r="K269" s="4"/>
      <c r="L269" s="4"/>
    </row>
    <row r="270" spans="1:12">
      <c r="A270" s="136" t="s">
        <v>239</v>
      </c>
      <c r="B270" s="116">
        <v>585000</v>
      </c>
      <c r="C270" s="1"/>
      <c r="D270" s="4">
        <v>44504</v>
      </c>
      <c r="E270" s="147">
        <v>30</v>
      </c>
      <c r="F270" s="4">
        <f t="shared" si="50"/>
        <v>44534</v>
      </c>
      <c r="G270" s="147">
        <f t="shared" si="49"/>
        <v>27</v>
      </c>
      <c r="H270" s="4"/>
      <c r="I270" s="62">
        <f t="shared" si="51"/>
        <v>585000</v>
      </c>
      <c r="J270" s="4"/>
      <c r="K270" s="4"/>
      <c r="L270" s="4"/>
    </row>
    <row r="271" spans="1:12">
      <c r="A271" s="136" t="s">
        <v>81</v>
      </c>
      <c r="B271" s="116">
        <v>9459395</v>
      </c>
      <c r="C271" s="1"/>
      <c r="D271" s="4">
        <v>44504</v>
      </c>
      <c r="E271" s="147">
        <v>30</v>
      </c>
      <c r="F271" s="4">
        <f t="shared" si="50"/>
        <v>44534</v>
      </c>
      <c r="G271" s="147">
        <f t="shared" si="49"/>
        <v>27</v>
      </c>
      <c r="H271" s="4"/>
      <c r="I271" s="62">
        <f t="shared" si="51"/>
        <v>9459395</v>
      </c>
      <c r="J271" s="4"/>
      <c r="K271" s="4"/>
      <c r="L271" s="4"/>
    </row>
    <row r="272" spans="1:12">
      <c r="A272" s="136" t="s">
        <v>240</v>
      </c>
      <c r="B272" s="116">
        <v>19081020</v>
      </c>
      <c r="C272" s="1"/>
      <c r="D272" s="4">
        <v>44504</v>
      </c>
      <c r="E272" s="147">
        <v>30</v>
      </c>
      <c r="F272" s="4">
        <f t="shared" si="50"/>
        <v>44534</v>
      </c>
      <c r="G272" s="147">
        <f t="shared" si="49"/>
        <v>27</v>
      </c>
      <c r="H272" s="4"/>
      <c r="I272" s="62">
        <f t="shared" si="51"/>
        <v>19081020</v>
      </c>
      <c r="J272" s="4"/>
      <c r="K272" s="4"/>
      <c r="L272" s="4"/>
    </row>
    <row r="273" spans="1:12">
      <c r="A273" s="136" t="s">
        <v>84</v>
      </c>
      <c r="B273" s="116">
        <v>11535480</v>
      </c>
      <c r="C273" s="1"/>
      <c r="D273" s="4">
        <v>44504</v>
      </c>
      <c r="E273" s="147">
        <v>30</v>
      </c>
      <c r="F273" s="4">
        <f t="shared" si="50"/>
        <v>44534</v>
      </c>
      <c r="G273" s="147">
        <f t="shared" si="49"/>
        <v>27</v>
      </c>
      <c r="H273" s="4"/>
      <c r="I273" s="62">
        <f t="shared" si="51"/>
        <v>11535480</v>
      </c>
      <c r="J273" s="4"/>
      <c r="K273" s="4"/>
      <c r="L273" s="4"/>
    </row>
    <row r="274" spans="1:12">
      <c r="A274" s="136" t="s">
        <v>241</v>
      </c>
      <c r="B274" s="116">
        <v>10943350</v>
      </c>
      <c r="C274" s="1"/>
      <c r="D274" s="4">
        <v>44504</v>
      </c>
      <c r="E274" s="147">
        <v>30</v>
      </c>
      <c r="F274" s="4">
        <f t="shared" si="50"/>
        <v>44534</v>
      </c>
      <c r="G274" s="147">
        <f t="shared" si="49"/>
        <v>27</v>
      </c>
      <c r="H274" s="4"/>
      <c r="I274" s="62">
        <f t="shared" si="51"/>
        <v>10943350</v>
      </c>
      <c r="J274" s="4"/>
      <c r="K274" s="4"/>
      <c r="L274" s="4"/>
    </row>
    <row r="275" spans="1:12">
      <c r="A275" s="136" t="s">
        <v>242</v>
      </c>
      <c r="B275" s="116">
        <v>12037579</v>
      </c>
      <c r="C275" s="1"/>
      <c r="D275" s="4">
        <v>44504</v>
      </c>
      <c r="E275" s="147">
        <v>30</v>
      </c>
      <c r="F275" s="4">
        <f t="shared" si="50"/>
        <v>44534</v>
      </c>
      <c r="G275" s="147">
        <f t="shared" si="49"/>
        <v>27</v>
      </c>
      <c r="H275" s="4"/>
      <c r="I275" s="62">
        <f t="shared" si="51"/>
        <v>12037579</v>
      </c>
      <c r="J275" s="4"/>
      <c r="K275" s="4"/>
      <c r="L275" s="4"/>
    </row>
    <row r="276" spans="1:12">
      <c r="A276" s="136" t="s">
        <v>46</v>
      </c>
      <c r="B276" s="116">
        <v>1</v>
      </c>
      <c r="C276" s="1"/>
      <c r="D276" s="4">
        <v>44504</v>
      </c>
      <c r="E276" s="147">
        <v>30</v>
      </c>
      <c r="F276" s="4">
        <f t="shared" si="50"/>
        <v>44534</v>
      </c>
      <c r="G276" s="147">
        <f t="shared" si="49"/>
        <v>27</v>
      </c>
      <c r="H276" s="4"/>
      <c r="I276" s="62">
        <f t="shared" si="51"/>
        <v>1</v>
      </c>
      <c r="J276" s="4"/>
      <c r="K276" s="4"/>
      <c r="L276" s="4"/>
    </row>
    <row r="277" spans="1:12">
      <c r="A277" s="136" t="s">
        <v>74</v>
      </c>
      <c r="B277" s="116">
        <v>60974</v>
      </c>
      <c r="C277" s="1"/>
      <c r="D277" s="4">
        <v>44504</v>
      </c>
      <c r="E277" s="147">
        <v>30</v>
      </c>
      <c r="F277" s="4">
        <f t="shared" si="50"/>
        <v>44534</v>
      </c>
      <c r="G277" s="147">
        <f t="shared" si="49"/>
        <v>27</v>
      </c>
      <c r="H277" s="4"/>
      <c r="I277" s="62">
        <f t="shared" si="51"/>
        <v>60974</v>
      </c>
      <c r="J277" s="4"/>
      <c r="K277" s="4"/>
      <c r="L277" s="4"/>
    </row>
    <row r="278" spans="1:12">
      <c r="A278" s="136" t="s">
        <v>58</v>
      </c>
      <c r="B278" s="116">
        <f>2+29</f>
        <v>31</v>
      </c>
      <c r="C278" s="1"/>
      <c r="D278" s="4">
        <v>44504</v>
      </c>
      <c r="E278" s="147">
        <v>30</v>
      </c>
      <c r="F278" s="4">
        <f t="shared" si="50"/>
        <v>44534</v>
      </c>
      <c r="G278" s="147">
        <f t="shared" si="49"/>
        <v>27</v>
      </c>
      <c r="H278" s="4"/>
      <c r="I278" s="62">
        <f t="shared" si="51"/>
        <v>31</v>
      </c>
      <c r="J278" s="4"/>
      <c r="K278" s="4"/>
      <c r="L278" s="4"/>
    </row>
    <row r="279" spans="1:12">
      <c r="A279" s="136" t="s">
        <v>94</v>
      </c>
      <c r="B279" s="116">
        <v>197600</v>
      </c>
      <c r="C279" s="1"/>
      <c r="D279" s="4">
        <v>44504</v>
      </c>
      <c r="E279" s="147">
        <v>30</v>
      </c>
      <c r="F279" s="4">
        <f t="shared" si="50"/>
        <v>44534</v>
      </c>
      <c r="G279" s="147">
        <f t="shared" si="49"/>
        <v>27</v>
      </c>
      <c r="H279" s="4"/>
      <c r="I279" s="62">
        <f t="shared" si="51"/>
        <v>197600</v>
      </c>
      <c r="J279" s="4"/>
      <c r="K279" s="4"/>
      <c r="L279" s="4"/>
    </row>
    <row r="280" spans="1:12">
      <c r="A280" s="136" t="s">
        <v>89</v>
      </c>
      <c r="B280" s="116">
        <v>595000</v>
      </c>
      <c r="C280" s="1"/>
      <c r="D280" s="4">
        <v>44504</v>
      </c>
      <c r="E280" s="147">
        <v>30</v>
      </c>
      <c r="F280" s="4">
        <f t="shared" si="50"/>
        <v>44534</v>
      </c>
      <c r="G280" s="147">
        <f t="shared" si="49"/>
        <v>27</v>
      </c>
      <c r="H280" s="4"/>
      <c r="I280" s="62">
        <f t="shared" si="51"/>
        <v>595000</v>
      </c>
      <c r="J280" s="4"/>
      <c r="K280" s="4"/>
      <c r="L280" s="4"/>
    </row>
    <row r="281" spans="1:12">
      <c r="A281" s="136" t="s">
        <v>91</v>
      </c>
      <c r="B281" s="116">
        <v>438598</v>
      </c>
      <c r="C281" s="1"/>
      <c r="D281" s="4">
        <v>44504</v>
      </c>
      <c r="E281" s="147">
        <v>30</v>
      </c>
      <c r="F281" s="4">
        <f t="shared" si="50"/>
        <v>44534</v>
      </c>
      <c r="G281" s="147">
        <f t="shared" si="49"/>
        <v>27</v>
      </c>
      <c r="H281" s="4"/>
      <c r="I281" s="62">
        <f t="shared" si="51"/>
        <v>438598</v>
      </c>
      <c r="J281" s="4"/>
      <c r="K281" s="4"/>
      <c r="L281" s="4"/>
    </row>
    <row r="282" spans="1:12">
      <c r="A282" s="136" t="s">
        <v>96</v>
      </c>
      <c r="B282" s="116">
        <v>82500</v>
      </c>
      <c r="C282" s="1"/>
      <c r="D282" s="4">
        <v>44504</v>
      </c>
      <c r="E282" s="147">
        <v>30</v>
      </c>
      <c r="F282" s="4">
        <f t="shared" si="50"/>
        <v>44534</v>
      </c>
      <c r="G282" s="147">
        <f t="shared" si="49"/>
        <v>27</v>
      </c>
      <c r="H282" s="4"/>
      <c r="I282" s="62">
        <f t="shared" si="51"/>
        <v>82500</v>
      </c>
      <c r="J282" s="4"/>
      <c r="K282" s="4"/>
      <c r="L282" s="4"/>
    </row>
    <row r="283" spans="1:12">
      <c r="A283" s="136" t="s">
        <v>99</v>
      </c>
      <c r="B283" s="116">
        <v>15200</v>
      </c>
      <c r="C283" s="1"/>
      <c r="D283" s="4">
        <v>44504</v>
      </c>
      <c r="E283" s="147">
        <v>30</v>
      </c>
      <c r="F283" s="4">
        <f t="shared" si="50"/>
        <v>44534</v>
      </c>
      <c r="G283" s="147">
        <f t="shared" si="49"/>
        <v>27</v>
      </c>
      <c r="H283" s="4"/>
      <c r="I283" s="62">
        <f t="shared" si="51"/>
        <v>15200</v>
      </c>
      <c r="J283" s="4"/>
      <c r="K283" s="4"/>
      <c r="L283" s="4"/>
    </row>
    <row r="284" spans="1:12">
      <c r="A284" s="136" t="s">
        <v>98</v>
      </c>
      <c r="B284" s="116">
        <v>30000</v>
      </c>
      <c r="C284" s="1"/>
      <c r="D284" s="4">
        <v>44504</v>
      </c>
      <c r="E284" s="147">
        <v>30</v>
      </c>
      <c r="F284" s="4">
        <f t="shared" si="50"/>
        <v>44534</v>
      </c>
      <c r="G284" s="147">
        <f t="shared" si="49"/>
        <v>27</v>
      </c>
      <c r="H284" s="4"/>
      <c r="I284" s="62">
        <f t="shared" si="51"/>
        <v>30000</v>
      </c>
      <c r="J284" s="4"/>
      <c r="K284" s="4"/>
      <c r="L284" s="4"/>
    </row>
    <row r="285" spans="1:12" s="146" customFormat="1">
      <c r="A285" s="143"/>
      <c r="B285" s="144"/>
      <c r="C285" s="145"/>
      <c r="D285" s="145"/>
      <c r="E285" s="148"/>
      <c r="F285" s="145"/>
      <c r="G285" s="145"/>
      <c r="H285" s="145"/>
      <c r="I285" s="145"/>
      <c r="J285" s="145"/>
      <c r="K285" s="145"/>
      <c r="L285" s="145"/>
    </row>
    <row r="286" spans="1:12">
      <c r="A286" s="133" t="s">
        <v>100</v>
      </c>
      <c r="B286" s="139">
        <v>130082564</v>
      </c>
      <c r="C286" s="1"/>
      <c r="D286" s="4">
        <v>44534</v>
      </c>
      <c r="E286" s="139">
        <v>30</v>
      </c>
      <c r="F286" s="140">
        <f t="shared" ref="F286:F317" si="52">D286+E286</f>
        <v>44564</v>
      </c>
      <c r="G286" s="149">
        <f>$A$4-F286</f>
        <v>-3</v>
      </c>
      <c r="H286" s="139">
        <f>B286</f>
        <v>130082564</v>
      </c>
      <c r="I286" s="140"/>
      <c r="J286" s="140"/>
      <c r="K286" s="140"/>
      <c r="L286" s="140"/>
    </row>
    <row r="287" spans="1:12">
      <c r="A287" s="133" t="s">
        <v>100</v>
      </c>
      <c r="B287" s="139">
        <v>32245494</v>
      </c>
      <c r="C287" s="1"/>
      <c r="D287" s="4">
        <v>44536</v>
      </c>
      <c r="E287" s="139">
        <v>30</v>
      </c>
      <c r="F287" s="140">
        <f t="shared" si="52"/>
        <v>44566</v>
      </c>
      <c r="G287" s="149">
        <f t="shared" ref="G287:G350" si="53">$A$4-F287</f>
        <v>-5</v>
      </c>
      <c r="H287" s="139">
        <f>B287</f>
        <v>32245494</v>
      </c>
      <c r="I287" s="140"/>
      <c r="J287" s="140"/>
      <c r="K287" s="140"/>
      <c r="L287" s="140"/>
    </row>
    <row r="288" spans="1:12">
      <c r="A288" s="133" t="s">
        <v>100</v>
      </c>
      <c r="B288" s="139">
        <v>20207081</v>
      </c>
      <c r="C288" s="1"/>
      <c r="D288" s="4">
        <v>44545</v>
      </c>
      <c r="E288" s="139">
        <v>30</v>
      </c>
      <c r="F288" s="140">
        <f t="shared" si="52"/>
        <v>44575</v>
      </c>
      <c r="G288" s="149">
        <f t="shared" si="53"/>
        <v>-14</v>
      </c>
      <c r="H288" s="139">
        <f>B288</f>
        <v>20207081</v>
      </c>
      <c r="I288" s="140"/>
      <c r="J288" s="140"/>
      <c r="K288" s="140"/>
      <c r="L288" s="140"/>
    </row>
    <row r="289" spans="1:12">
      <c r="A289" s="133" t="s">
        <v>100</v>
      </c>
      <c r="B289" s="139">
        <v>5195270</v>
      </c>
      <c r="C289" s="1"/>
      <c r="D289" s="4">
        <v>44557</v>
      </c>
      <c r="E289" s="139">
        <v>30</v>
      </c>
      <c r="F289" s="140">
        <f t="shared" si="52"/>
        <v>44587</v>
      </c>
      <c r="G289" s="149">
        <f t="shared" si="53"/>
        <v>-26</v>
      </c>
      <c r="H289" s="139">
        <f>B289</f>
        <v>5195270</v>
      </c>
      <c r="I289" s="140"/>
      <c r="J289" s="140"/>
      <c r="K289" s="140"/>
      <c r="L289" s="140"/>
    </row>
    <row r="290" spans="1:12">
      <c r="A290" s="133" t="s">
        <v>100</v>
      </c>
      <c r="B290" s="139">
        <v>17633969</v>
      </c>
      <c r="C290" s="1"/>
      <c r="D290" s="4">
        <v>44517</v>
      </c>
      <c r="E290" s="139">
        <v>30</v>
      </c>
      <c r="F290" s="140">
        <f t="shared" si="52"/>
        <v>44547</v>
      </c>
      <c r="G290" s="149">
        <f t="shared" si="53"/>
        <v>14</v>
      </c>
      <c r="H290" s="140"/>
      <c r="I290" s="139">
        <f>B290</f>
        <v>17633969</v>
      </c>
      <c r="J290" s="140"/>
      <c r="K290" s="140"/>
      <c r="L290" s="140"/>
    </row>
    <row r="291" spans="1:12">
      <c r="A291" s="133" t="s">
        <v>100</v>
      </c>
      <c r="B291" s="139">
        <v>12435670</v>
      </c>
      <c r="C291" s="1"/>
      <c r="D291" s="4">
        <v>44525</v>
      </c>
      <c r="E291" s="139">
        <v>30</v>
      </c>
      <c r="F291" s="140">
        <f t="shared" si="52"/>
        <v>44555</v>
      </c>
      <c r="G291" s="149">
        <f t="shared" si="53"/>
        <v>6</v>
      </c>
      <c r="H291" s="140"/>
      <c r="I291" s="139">
        <f>B291</f>
        <v>12435670</v>
      </c>
      <c r="J291" s="140"/>
      <c r="K291" s="140"/>
      <c r="L291" s="140"/>
    </row>
    <row r="292" spans="1:12">
      <c r="A292" s="133" t="s">
        <v>100</v>
      </c>
      <c r="B292" s="139">
        <v>8703271</v>
      </c>
      <c r="C292" s="1"/>
      <c r="D292" s="4">
        <v>44530</v>
      </c>
      <c r="E292" s="139">
        <v>30</v>
      </c>
      <c r="F292" s="140">
        <f t="shared" si="52"/>
        <v>44560</v>
      </c>
      <c r="G292" s="149">
        <f t="shared" si="53"/>
        <v>1</v>
      </c>
      <c r="H292" s="140"/>
      <c r="I292" s="139">
        <f>B292</f>
        <v>8703271</v>
      </c>
      <c r="J292" s="140"/>
      <c r="K292" s="140"/>
      <c r="L292" s="140"/>
    </row>
    <row r="293" spans="1:12">
      <c r="A293" s="133" t="s">
        <v>100</v>
      </c>
      <c r="B293" s="139">
        <v>261818912</v>
      </c>
      <c r="C293" s="1"/>
      <c r="D293" s="4">
        <v>44530</v>
      </c>
      <c r="E293" s="139">
        <v>30</v>
      </c>
      <c r="F293" s="140">
        <f t="shared" si="52"/>
        <v>44560</v>
      </c>
      <c r="G293" s="149">
        <f t="shared" si="53"/>
        <v>1</v>
      </c>
      <c r="H293" s="140"/>
      <c r="I293" s="139">
        <f>B293</f>
        <v>261818912</v>
      </c>
      <c r="J293" s="140"/>
      <c r="K293" s="140"/>
      <c r="L293" s="140"/>
    </row>
    <row r="294" spans="1:12">
      <c r="A294" s="133" t="s">
        <v>100</v>
      </c>
      <c r="B294" s="139">
        <v>255568485</v>
      </c>
      <c r="C294" s="1"/>
      <c r="D294" s="4">
        <v>44537</v>
      </c>
      <c r="E294" s="139">
        <v>30</v>
      </c>
      <c r="F294" s="140">
        <f t="shared" si="52"/>
        <v>44567</v>
      </c>
      <c r="G294" s="149">
        <f t="shared" si="53"/>
        <v>-6</v>
      </c>
      <c r="H294" s="139">
        <f>B294</f>
        <v>255568485</v>
      </c>
      <c r="I294" s="140"/>
      <c r="J294" s="140"/>
      <c r="K294" s="140"/>
      <c r="L294" s="140"/>
    </row>
    <row r="295" spans="1:12">
      <c r="A295" s="133" t="s">
        <v>100</v>
      </c>
      <c r="B295" s="139">
        <v>7145435</v>
      </c>
      <c r="C295" s="1"/>
      <c r="D295" s="4">
        <v>44530</v>
      </c>
      <c r="E295" s="139">
        <v>30</v>
      </c>
      <c r="F295" s="140">
        <f t="shared" si="52"/>
        <v>44560</v>
      </c>
      <c r="G295" s="149">
        <f t="shared" si="53"/>
        <v>1</v>
      </c>
      <c r="H295" s="140"/>
      <c r="I295" s="139">
        <f>B295</f>
        <v>7145435</v>
      </c>
      <c r="J295" s="140"/>
      <c r="K295" s="140"/>
      <c r="L295" s="140"/>
    </row>
    <row r="296" spans="1:12">
      <c r="A296" s="133" t="s">
        <v>100</v>
      </c>
      <c r="B296" s="139">
        <v>412545211</v>
      </c>
      <c r="C296" s="1"/>
      <c r="D296" s="4">
        <v>44530</v>
      </c>
      <c r="E296" s="139">
        <v>30</v>
      </c>
      <c r="F296" s="140">
        <f t="shared" si="52"/>
        <v>44560</v>
      </c>
      <c r="G296" s="149">
        <f t="shared" si="53"/>
        <v>1</v>
      </c>
      <c r="H296" s="140"/>
      <c r="I296" s="139">
        <f>B296</f>
        <v>412545211</v>
      </c>
      <c r="J296" s="140"/>
      <c r="K296" s="140"/>
      <c r="L296" s="140"/>
    </row>
    <row r="297" spans="1:12">
      <c r="A297" s="133" t="s">
        <v>100</v>
      </c>
      <c r="B297" s="139">
        <v>346237490</v>
      </c>
      <c r="C297" s="1"/>
      <c r="D297" s="4">
        <v>44541</v>
      </c>
      <c r="E297" s="139">
        <v>30</v>
      </c>
      <c r="F297" s="140">
        <f t="shared" si="52"/>
        <v>44571</v>
      </c>
      <c r="G297" s="149">
        <f t="shared" si="53"/>
        <v>-10</v>
      </c>
      <c r="H297" s="139">
        <f t="shared" ref="H297:H328" si="54">B297</f>
        <v>346237490</v>
      </c>
      <c r="I297" s="140"/>
      <c r="J297" s="140"/>
      <c r="K297" s="140"/>
      <c r="L297" s="140"/>
    </row>
    <row r="298" spans="1:12">
      <c r="A298" s="133" t="s">
        <v>100</v>
      </c>
      <c r="B298" s="139">
        <v>16408494</v>
      </c>
      <c r="C298" s="1"/>
      <c r="D298" s="4">
        <v>44543</v>
      </c>
      <c r="E298" s="139">
        <v>30</v>
      </c>
      <c r="F298" s="140">
        <f t="shared" si="52"/>
        <v>44573</v>
      </c>
      <c r="G298" s="149">
        <f t="shared" si="53"/>
        <v>-12</v>
      </c>
      <c r="H298" s="139">
        <f t="shared" si="54"/>
        <v>16408494</v>
      </c>
      <c r="I298" s="140"/>
      <c r="J298" s="140"/>
      <c r="K298" s="140"/>
      <c r="L298" s="140"/>
    </row>
    <row r="299" spans="1:12">
      <c r="A299" s="133" t="s">
        <v>100</v>
      </c>
      <c r="B299" s="139">
        <v>167146092</v>
      </c>
      <c r="C299" s="1"/>
      <c r="D299" s="4">
        <v>44544</v>
      </c>
      <c r="E299" s="139">
        <v>30</v>
      </c>
      <c r="F299" s="140">
        <f t="shared" si="52"/>
        <v>44574</v>
      </c>
      <c r="G299" s="149">
        <f t="shared" si="53"/>
        <v>-13</v>
      </c>
      <c r="H299" s="139">
        <f t="shared" si="54"/>
        <v>167146092</v>
      </c>
      <c r="I299" s="140"/>
      <c r="J299" s="140"/>
      <c r="K299" s="140"/>
      <c r="L299" s="140"/>
    </row>
    <row r="300" spans="1:12">
      <c r="A300" s="133" t="s">
        <v>100</v>
      </c>
      <c r="B300" s="139">
        <v>152030760</v>
      </c>
      <c r="C300" s="1"/>
      <c r="D300" s="4">
        <v>44547</v>
      </c>
      <c r="E300" s="139">
        <v>30</v>
      </c>
      <c r="F300" s="140">
        <f t="shared" si="52"/>
        <v>44577</v>
      </c>
      <c r="G300" s="149">
        <f t="shared" si="53"/>
        <v>-16</v>
      </c>
      <c r="H300" s="139">
        <f t="shared" si="54"/>
        <v>152030760</v>
      </c>
      <c r="I300" s="140"/>
      <c r="J300" s="140"/>
      <c r="K300" s="140"/>
      <c r="L300" s="140"/>
    </row>
    <row r="301" spans="1:12">
      <c r="A301" s="133" t="s">
        <v>100</v>
      </c>
      <c r="B301" s="139">
        <v>229133315</v>
      </c>
      <c r="C301" s="1"/>
      <c r="D301" s="4">
        <v>44545</v>
      </c>
      <c r="E301" s="139">
        <v>30</v>
      </c>
      <c r="F301" s="140">
        <f t="shared" si="52"/>
        <v>44575</v>
      </c>
      <c r="G301" s="149">
        <f t="shared" si="53"/>
        <v>-14</v>
      </c>
      <c r="H301" s="139">
        <f t="shared" si="54"/>
        <v>229133315</v>
      </c>
      <c r="I301" s="140"/>
      <c r="J301" s="140"/>
      <c r="K301" s="140"/>
      <c r="L301" s="140"/>
    </row>
    <row r="302" spans="1:12">
      <c r="A302" s="133" t="s">
        <v>100</v>
      </c>
      <c r="B302" s="139">
        <v>141957426</v>
      </c>
      <c r="C302" s="1"/>
      <c r="D302" s="4">
        <v>44547</v>
      </c>
      <c r="E302" s="139">
        <v>30</v>
      </c>
      <c r="F302" s="140">
        <f t="shared" si="52"/>
        <v>44577</v>
      </c>
      <c r="G302" s="149">
        <f t="shared" si="53"/>
        <v>-16</v>
      </c>
      <c r="H302" s="139">
        <f t="shared" si="54"/>
        <v>141957426</v>
      </c>
      <c r="I302" s="140"/>
      <c r="J302" s="140"/>
      <c r="K302" s="140"/>
      <c r="L302" s="140"/>
    </row>
    <row r="303" spans="1:12">
      <c r="A303" s="133" t="s">
        <v>100</v>
      </c>
      <c r="B303" s="139">
        <v>97983286</v>
      </c>
      <c r="C303" s="1"/>
      <c r="D303" s="4">
        <v>44531</v>
      </c>
      <c r="E303" s="139">
        <v>30</v>
      </c>
      <c r="F303" s="140">
        <f t="shared" si="52"/>
        <v>44561</v>
      </c>
      <c r="G303" s="149">
        <f t="shared" si="53"/>
        <v>0</v>
      </c>
      <c r="H303" s="139">
        <f t="shared" si="54"/>
        <v>97983286</v>
      </c>
      <c r="I303" s="140"/>
      <c r="J303" s="140"/>
      <c r="K303" s="140"/>
      <c r="L303" s="140"/>
    </row>
    <row r="304" spans="1:12">
      <c r="A304" s="133" t="s">
        <v>100</v>
      </c>
      <c r="B304" s="139">
        <v>360356009</v>
      </c>
      <c r="C304" s="1"/>
      <c r="D304" s="4">
        <v>44547</v>
      </c>
      <c r="E304" s="139">
        <v>30</v>
      </c>
      <c r="F304" s="140">
        <f t="shared" si="52"/>
        <v>44577</v>
      </c>
      <c r="G304" s="149">
        <f t="shared" si="53"/>
        <v>-16</v>
      </c>
      <c r="H304" s="139">
        <f t="shared" si="54"/>
        <v>360356009</v>
      </c>
      <c r="I304" s="140"/>
      <c r="J304" s="140"/>
      <c r="K304" s="140"/>
      <c r="L304" s="140"/>
    </row>
    <row r="305" spans="1:12">
      <c r="A305" s="133" t="s">
        <v>100</v>
      </c>
      <c r="B305" s="139">
        <v>19088493</v>
      </c>
      <c r="C305" s="1"/>
      <c r="D305" s="4">
        <v>44548</v>
      </c>
      <c r="E305" s="139">
        <v>30</v>
      </c>
      <c r="F305" s="140">
        <f t="shared" si="52"/>
        <v>44578</v>
      </c>
      <c r="G305" s="149">
        <f t="shared" si="53"/>
        <v>-17</v>
      </c>
      <c r="H305" s="139">
        <f t="shared" si="54"/>
        <v>19088493</v>
      </c>
      <c r="I305" s="140"/>
      <c r="J305" s="140"/>
      <c r="K305" s="140"/>
      <c r="L305" s="140"/>
    </row>
    <row r="306" spans="1:12">
      <c r="A306" s="133" t="s">
        <v>100</v>
      </c>
      <c r="B306" s="139">
        <v>13040347</v>
      </c>
      <c r="C306" s="1"/>
      <c r="D306" s="4">
        <v>44550</v>
      </c>
      <c r="E306" s="139">
        <v>30</v>
      </c>
      <c r="F306" s="140">
        <f t="shared" si="52"/>
        <v>44580</v>
      </c>
      <c r="G306" s="149">
        <f t="shared" si="53"/>
        <v>-19</v>
      </c>
      <c r="H306" s="139">
        <f t="shared" si="54"/>
        <v>13040347</v>
      </c>
      <c r="I306" s="140"/>
      <c r="J306" s="140"/>
      <c r="K306" s="140"/>
      <c r="L306" s="140"/>
    </row>
    <row r="307" spans="1:12">
      <c r="A307" s="133" t="s">
        <v>100</v>
      </c>
      <c r="B307" s="139">
        <v>242748290</v>
      </c>
      <c r="C307" s="1"/>
      <c r="D307" s="4">
        <v>44544</v>
      </c>
      <c r="E307" s="139">
        <v>30</v>
      </c>
      <c r="F307" s="140">
        <f t="shared" si="52"/>
        <v>44574</v>
      </c>
      <c r="G307" s="149">
        <f t="shared" si="53"/>
        <v>-13</v>
      </c>
      <c r="H307" s="139">
        <f t="shared" si="54"/>
        <v>242748290</v>
      </c>
      <c r="I307" s="140"/>
      <c r="J307" s="140"/>
      <c r="K307" s="140"/>
      <c r="L307" s="140"/>
    </row>
    <row r="308" spans="1:12">
      <c r="A308" s="133" t="s">
        <v>100</v>
      </c>
      <c r="B308" s="139">
        <v>289161547</v>
      </c>
      <c r="C308" s="1"/>
      <c r="D308" s="4">
        <v>44546</v>
      </c>
      <c r="E308" s="139">
        <v>30</v>
      </c>
      <c r="F308" s="140">
        <f t="shared" si="52"/>
        <v>44576</v>
      </c>
      <c r="G308" s="149">
        <f t="shared" si="53"/>
        <v>-15</v>
      </c>
      <c r="H308" s="139">
        <f t="shared" si="54"/>
        <v>289161547</v>
      </c>
      <c r="I308" s="140"/>
      <c r="J308" s="140"/>
      <c r="K308" s="140"/>
      <c r="L308" s="140"/>
    </row>
    <row r="309" spans="1:12">
      <c r="A309" s="133" t="s">
        <v>100</v>
      </c>
      <c r="B309" s="139">
        <v>171830476</v>
      </c>
      <c r="C309" s="1"/>
      <c r="D309" s="4">
        <v>44545</v>
      </c>
      <c r="E309" s="139">
        <v>30</v>
      </c>
      <c r="F309" s="140">
        <f t="shared" si="52"/>
        <v>44575</v>
      </c>
      <c r="G309" s="149">
        <f t="shared" si="53"/>
        <v>-14</v>
      </c>
      <c r="H309" s="139">
        <f t="shared" si="54"/>
        <v>171830476</v>
      </c>
      <c r="I309" s="140"/>
      <c r="J309" s="140"/>
      <c r="K309" s="140"/>
      <c r="L309" s="140"/>
    </row>
    <row r="310" spans="1:12">
      <c r="A310" s="133" t="s">
        <v>100</v>
      </c>
      <c r="B310" s="139">
        <v>170265597</v>
      </c>
      <c r="C310" s="1"/>
      <c r="D310" s="4">
        <v>44546</v>
      </c>
      <c r="E310" s="139">
        <v>30</v>
      </c>
      <c r="F310" s="140">
        <f t="shared" si="52"/>
        <v>44576</v>
      </c>
      <c r="G310" s="149">
        <f t="shared" si="53"/>
        <v>-15</v>
      </c>
      <c r="H310" s="139">
        <f t="shared" si="54"/>
        <v>170265597</v>
      </c>
      <c r="I310" s="140"/>
      <c r="J310" s="140"/>
      <c r="K310" s="140"/>
      <c r="L310" s="140"/>
    </row>
    <row r="311" spans="1:12">
      <c r="A311" s="133" t="s">
        <v>100</v>
      </c>
      <c r="B311" s="139">
        <v>189344037</v>
      </c>
      <c r="C311" s="1"/>
      <c r="D311" s="4">
        <v>44548</v>
      </c>
      <c r="E311" s="139">
        <v>30</v>
      </c>
      <c r="F311" s="140">
        <f t="shared" si="52"/>
        <v>44578</v>
      </c>
      <c r="G311" s="149">
        <f t="shared" si="53"/>
        <v>-17</v>
      </c>
      <c r="H311" s="139">
        <f t="shared" si="54"/>
        <v>189344037</v>
      </c>
      <c r="I311" s="140"/>
      <c r="J311" s="140"/>
      <c r="K311" s="140"/>
      <c r="L311" s="140"/>
    </row>
    <row r="312" spans="1:12">
      <c r="A312" s="133" t="s">
        <v>100</v>
      </c>
      <c r="B312" s="139">
        <v>108880291</v>
      </c>
      <c r="C312" s="1"/>
      <c r="D312" s="4">
        <v>44548</v>
      </c>
      <c r="E312" s="139">
        <v>30</v>
      </c>
      <c r="F312" s="140">
        <f t="shared" si="52"/>
        <v>44578</v>
      </c>
      <c r="G312" s="149">
        <f t="shared" si="53"/>
        <v>-17</v>
      </c>
      <c r="H312" s="139">
        <f t="shared" si="54"/>
        <v>108880291</v>
      </c>
      <c r="I312" s="140"/>
      <c r="J312" s="140"/>
      <c r="K312" s="140"/>
      <c r="L312" s="140"/>
    </row>
    <row r="313" spans="1:12">
      <c r="A313" s="133" t="s">
        <v>100</v>
      </c>
      <c r="B313" s="139">
        <v>18819518</v>
      </c>
      <c r="C313" s="1"/>
      <c r="D313" s="4">
        <v>44560</v>
      </c>
      <c r="E313" s="139">
        <v>30</v>
      </c>
      <c r="F313" s="140">
        <f t="shared" si="52"/>
        <v>44590</v>
      </c>
      <c r="G313" s="149">
        <f t="shared" si="53"/>
        <v>-29</v>
      </c>
      <c r="H313" s="139">
        <f t="shared" si="54"/>
        <v>18819518</v>
      </c>
      <c r="I313" s="140"/>
      <c r="J313" s="140"/>
      <c r="K313" s="140"/>
      <c r="L313" s="140"/>
    </row>
    <row r="314" spans="1:12">
      <c r="A314" s="133" t="s">
        <v>100</v>
      </c>
      <c r="B314" s="139">
        <v>170867719</v>
      </c>
      <c r="C314" s="1"/>
      <c r="D314" s="4">
        <v>44560</v>
      </c>
      <c r="E314" s="139">
        <v>30</v>
      </c>
      <c r="F314" s="140">
        <f t="shared" si="52"/>
        <v>44590</v>
      </c>
      <c r="G314" s="149">
        <f t="shared" si="53"/>
        <v>-29</v>
      </c>
      <c r="H314" s="139">
        <f t="shared" si="54"/>
        <v>170867719</v>
      </c>
      <c r="I314" s="140"/>
      <c r="J314" s="140"/>
      <c r="K314" s="140"/>
      <c r="L314" s="140"/>
    </row>
    <row r="315" spans="1:12">
      <c r="A315" s="133" t="s">
        <v>100</v>
      </c>
      <c r="B315" s="139">
        <v>317918457</v>
      </c>
      <c r="C315" s="1"/>
      <c r="D315" s="4">
        <v>44561</v>
      </c>
      <c r="E315" s="139">
        <v>30</v>
      </c>
      <c r="F315" s="140">
        <f t="shared" si="52"/>
        <v>44591</v>
      </c>
      <c r="G315" s="149">
        <f t="shared" si="53"/>
        <v>-30</v>
      </c>
      <c r="H315" s="139">
        <f t="shared" si="54"/>
        <v>317918457</v>
      </c>
      <c r="I315" s="140"/>
      <c r="J315" s="140"/>
      <c r="K315" s="140"/>
      <c r="L315" s="140"/>
    </row>
    <row r="316" spans="1:12">
      <c r="A316" s="133" t="s">
        <v>100</v>
      </c>
      <c r="B316" s="139">
        <v>88163659</v>
      </c>
      <c r="C316" s="1"/>
      <c r="D316" s="4">
        <v>44547</v>
      </c>
      <c r="E316" s="139">
        <v>30</v>
      </c>
      <c r="F316" s="140">
        <f t="shared" si="52"/>
        <v>44577</v>
      </c>
      <c r="G316" s="149">
        <f t="shared" si="53"/>
        <v>-16</v>
      </c>
      <c r="H316" s="139">
        <f t="shared" si="54"/>
        <v>88163659</v>
      </c>
      <c r="I316" s="140"/>
      <c r="J316" s="140"/>
      <c r="K316" s="140"/>
      <c r="L316" s="140"/>
    </row>
    <row r="317" spans="1:12">
      <c r="A317" s="133" t="s">
        <v>100</v>
      </c>
      <c r="B317" s="139">
        <v>86293439</v>
      </c>
      <c r="C317" s="1"/>
      <c r="D317" s="4">
        <v>44548</v>
      </c>
      <c r="E317" s="139">
        <v>30</v>
      </c>
      <c r="F317" s="140">
        <f t="shared" si="52"/>
        <v>44578</v>
      </c>
      <c r="G317" s="149">
        <f t="shared" si="53"/>
        <v>-17</v>
      </c>
      <c r="H317" s="139">
        <f t="shared" si="54"/>
        <v>86293439</v>
      </c>
      <c r="I317" s="140"/>
      <c r="J317" s="140"/>
      <c r="K317" s="140"/>
      <c r="L317" s="140"/>
    </row>
    <row r="318" spans="1:12">
      <c r="A318" s="133" t="s">
        <v>100</v>
      </c>
      <c r="B318" s="139">
        <v>26051806</v>
      </c>
      <c r="C318" s="1"/>
      <c r="D318" s="4">
        <v>44548</v>
      </c>
      <c r="E318" s="139">
        <v>30</v>
      </c>
      <c r="F318" s="140">
        <f t="shared" ref="F318:F349" si="55">D318+E318</f>
        <v>44578</v>
      </c>
      <c r="G318" s="149">
        <f t="shared" si="53"/>
        <v>-17</v>
      </c>
      <c r="H318" s="139">
        <f t="shared" si="54"/>
        <v>26051806</v>
      </c>
      <c r="I318" s="140"/>
      <c r="J318" s="140"/>
      <c r="K318" s="140"/>
      <c r="L318" s="140"/>
    </row>
    <row r="319" spans="1:12">
      <c r="A319" s="133" t="s">
        <v>100</v>
      </c>
      <c r="B319" s="139">
        <v>70523515</v>
      </c>
      <c r="C319" s="1"/>
      <c r="D319" s="4">
        <v>44548</v>
      </c>
      <c r="E319" s="139">
        <v>30</v>
      </c>
      <c r="F319" s="140">
        <f t="shared" si="55"/>
        <v>44578</v>
      </c>
      <c r="G319" s="149">
        <f t="shared" si="53"/>
        <v>-17</v>
      </c>
      <c r="H319" s="139">
        <f t="shared" si="54"/>
        <v>70523515</v>
      </c>
      <c r="I319" s="140"/>
      <c r="J319" s="140"/>
      <c r="K319" s="140"/>
      <c r="L319" s="140"/>
    </row>
    <row r="320" spans="1:12">
      <c r="A320" s="133" t="s">
        <v>100</v>
      </c>
      <c r="B320" s="139">
        <v>77910900</v>
      </c>
      <c r="C320" s="1"/>
      <c r="D320" s="4">
        <v>44548</v>
      </c>
      <c r="E320" s="139">
        <v>30</v>
      </c>
      <c r="F320" s="140">
        <f t="shared" si="55"/>
        <v>44578</v>
      </c>
      <c r="G320" s="149">
        <f t="shared" si="53"/>
        <v>-17</v>
      </c>
      <c r="H320" s="139">
        <f t="shared" si="54"/>
        <v>77910900</v>
      </c>
      <c r="I320" s="140"/>
      <c r="J320" s="140"/>
      <c r="K320" s="140"/>
      <c r="L320" s="140"/>
    </row>
    <row r="321" spans="1:12">
      <c r="A321" s="133" t="s">
        <v>100</v>
      </c>
      <c r="B321" s="139">
        <v>52094543</v>
      </c>
      <c r="C321" s="1"/>
      <c r="D321" s="4">
        <v>44548</v>
      </c>
      <c r="E321" s="139">
        <v>30</v>
      </c>
      <c r="F321" s="140">
        <f t="shared" si="55"/>
        <v>44578</v>
      </c>
      <c r="G321" s="149">
        <f t="shared" si="53"/>
        <v>-17</v>
      </c>
      <c r="H321" s="139">
        <f t="shared" si="54"/>
        <v>52094543</v>
      </c>
      <c r="I321" s="140"/>
      <c r="J321" s="140"/>
      <c r="K321" s="140"/>
      <c r="L321" s="140"/>
    </row>
    <row r="322" spans="1:12">
      <c r="A322" s="133" t="s">
        <v>100</v>
      </c>
      <c r="B322" s="139">
        <v>7799067</v>
      </c>
      <c r="C322" s="1"/>
      <c r="D322" s="4">
        <v>44550</v>
      </c>
      <c r="E322" s="139">
        <v>30</v>
      </c>
      <c r="F322" s="140">
        <f t="shared" si="55"/>
        <v>44580</v>
      </c>
      <c r="G322" s="149">
        <f t="shared" si="53"/>
        <v>-19</v>
      </c>
      <c r="H322" s="139">
        <f t="shared" si="54"/>
        <v>7799067</v>
      </c>
      <c r="I322" s="140"/>
      <c r="J322" s="140"/>
      <c r="K322" s="140"/>
      <c r="L322" s="140"/>
    </row>
    <row r="323" spans="1:12">
      <c r="A323" s="133" t="s">
        <v>100</v>
      </c>
      <c r="B323" s="139">
        <v>50988059</v>
      </c>
      <c r="C323" s="1"/>
      <c r="D323" s="4">
        <v>44550</v>
      </c>
      <c r="E323" s="139">
        <v>30</v>
      </c>
      <c r="F323" s="140">
        <f t="shared" si="55"/>
        <v>44580</v>
      </c>
      <c r="G323" s="149">
        <f t="shared" si="53"/>
        <v>-19</v>
      </c>
      <c r="H323" s="139">
        <f t="shared" si="54"/>
        <v>50988059</v>
      </c>
      <c r="I323" s="140"/>
      <c r="J323" s="140"/>
      <c r="K323" s="140"/>
      <c r="L323" s="140"/>
    </row>
    <row r="324" spans="1:12">
      <c r="A324" s="133" t="s">
        <v>100</v>
      </c>
      <c r="B324" s="139">
        <v>96379279</v>
      </c>
      <c r="C324" s="1"/>
      <c r="D324" s="4">
        <v>44553</v>
      </c>
      <c r="E324" s="139">
        <v>30</v>
      </c>
      <c r="F324" s="140">
        <f t="shared" si="55"/>
        <v>44583</v>
      </c>
      <c r="G324" s="149">
        <f t="shared" si="53"/>
        <v>-22</v>
      </c>
      <c r="H324" s="139">
        <f t="shared" si="54"/>
        <v>96379279</v>
      </c>
      <c r="I324" s="140"/>
      <c r="J324" s="140"/>
      <c r="K324" s="140"/>
      <c r="L324" s="140"/>
    </row>
    <row r="325" spans="1:12">
      <c r="A325" s="133" t="s">
        <v>100</v>
      </c>
      <c r="B325" s="139">
        <v>82507755</v>
      </c>
      <c r="C325" s="1"/>
      <c r="D325" s="4">
        <v>44553</v>
      </c>
      <c r="E325" s="139">
        <v>30</v>
      </c>
      <c r="F325" s="140">
        <f t="shared" si="55"/>
        <v>44583</v>
      </c>
      <c r="G325" s="149">
        <f t="shared" si="53"/>
        <v>-22</v>
      </c>
      <c r="H325" s="139">
        <f t="shared" si="54"/>
        <v>82507755</v>
      </c>
      <c r="I325" s="140"/>
      <c r="J325" s="140"/>
      <c r="K325" s="140"/>
      <c r="L325" s="140"/>
    </row>
    <row r="326" spans="1:12">
      <c r="A326" s="133" t="s">
        <v>100</v>
      </c>
      <c r="B326" s="139">
        <v>64724072</v>
      </c>
      <c r="C326" s="1"/>
      <c r="D326" s="4">
        <v>44553</v>
      </c>
      <c r="E326" s="139">
        <v>30</v>
      </c>
      <c r="F326" s="140">
        <f t="shared" si="55"/>
        <v>44583</v>
      </c>
      <c r="G326" s="149">
        <f t="shared" si="53"/>
        <v>-22</v>
      </c>
      <c r="H326" s="139">
        <f t="shared" si="54"/>
        <v>64724072</v>
      </c>
      <c r="I326" s="140"/>
      <c r="J326" s="140"/>
      <c r="K326" s="140"/>
      <c r="L326" s="140"/>
    </row>
    <row r="327" spans="1:12">
      <c r="A327" s="133" t="s">
        <v>100</v>
      </c>
      <c r="B327" s="139">
        <v>39355357</v>
      </c>
      <c r="C327" s="1"/>
      <c r="D327" s="4">
        <v>44553</v>
      </c>
      <c r="E327" s="139">
        <v>30</v>
      </c>
      <c r="F327" s="140">
        <f t="shared" si="55"/>
        <v>44583</v>
      </c>
      <c r="G327" s="149">
        <f t="shared" si="53"/>
        <v>-22</v>
      </c>
      <c r="H327" s="139">
        <f t="shared" si="54"/>
        <v>39355357</v>
      </c>
      <c r="I327" s="140"/>
      <c r="J327" s="140"/>
      <c r="K327" s="140"/>
      <c r="L327" s="140"/>
    </row>
    <row r="328" spans="1:12">
      <c r="A328" s="133" t="s">
        <v>100</v>
      </c>
      <c r="B328" s="139">
        <v>14509910</v>
      </c>
      <c r="C328" s="1"/>
      <c r="D328" s="4">
        <v>44553</v>
      </c>
      <c r="E328" s="139">
        <v>30</v>
      </c>
      <c r="F328" s="140">
        <f t="shared" si="55"/>
        <v>44583</v>
      </c>
      <c r="G328" s="149">
        <f t="shared" si="53"/>
        <v>-22</v>
      </c>
      <c r="H328" s="139">
        <f t="shared" si="54"/>
        <v>14509910</v>
      </c>
      <c r="I328" s="140"/>
      <c r="J328" s="140"/>
      <c r="K328" s="140"/>
      <c r="L328" s="140"/>
    </row>
    <row r="329" spans="1:12">
      <c r="A329" s="133" t="s">
        <v>100</v>
      </c>
      <c r="B329" s="139">
        <v>72702916</v>
      </c>
      <c r="C329" s="1"/>
      <c r="D329" s="4">
        <v>44553</v>
      </c>
      <c r="E329" s="139">
        <v>30</v>
      </c>
      <c r="F329" s="140">
        <f t="shared" si="55"/>
        <v>44583</v>
      </c>
      <c r="G329" s="149">
        <f t="shared" si="53"/>
        <v>-22</v>
      </c>
      <c r="H329" s="139">
        <f t="shared" ref="H329:H355" si="56">B329</f>
        <v>72702916</v>
      </c>
      <c r="I329" s="140"/>
      <c r="J329" s="140"/>
      <c r="K329" s="140"/>
      <c r="L329" s="140"/>
    </row>
    <row r="330" spans="1:12">
      <c r="A330" s="133" t="s">
        <v>100</v>
      </c>
      <c r="B330" s="139">
        <v>859526</v>
      </c>
      <c r="C330" s="1"/>
      <c r="D330" s="4">
        <v>44554</v>
      </c>
      <c r="E330" s="139">
        <v>30</v>
      </c>
      <c r="F330" s="140">
        <f t="shared" si="55"/>
        <v>44584</v>
      </c>
      <c r="G330" s="149">
        <f t="shared" si="53"/>
        <v>-23</v>
      </c>
      <c r="H330" s="139">
        <f t="shared" si="56"/>
        <v>859526</v>
      </c>
      <c r="I330" s="140"/>
      <c r="J330" s="140"/>
      <c r="K330" s="140"/>
      <c r="L330" s="140"/>
    </row>
    <row r="331" spans="1:12">
      <c r="A331" s="133" t="s">
        <v>100</v>
      </c>
      <c r="B331" s="139">
        <v>85219920</v>
      </c>
      <c r="C331" s="1"/>
      <c r="D331" s="4">
        <v>44554</v>
      </c>
      <c r="E331" s="139">
        <v>30</v>
      </c>
      <c r="F331" s="140">
        <f t="shared" si="55"/>
        <v>44584</v>
      </c>
      <c r="G331" s="149">
        <f t="shared" si="53"/>
        <v>-23</v>
      </c>
      <c r="H331" s="139">
        <f t="shared" si="56"/>
        <v>85219920</v>
      </c>
      <c r="I331" s="140"/>
      <c r="J331" s="140"/>
      <c r="K331" s="140"/>
      <c r="L331" s="140"/>
    </row>
    <row r="332" spans="1:12">
      <c r="A332" s="133" t="s">
        <v>100</v>
      </c>
      <c r="B332" s="139">
        <v>52172129</v>
      </c>
      <c r="C332" s="1"/>
      <c r="D332" s="4">
        <v>44554</v>
      </c>
      <c r="E332" s="139">
        <v>30</v>
      </c>
      <c r="F332" s="140">
        <f t="shared" si="55"/>
        <v>44584</v>
      </c>
      <c r="G332" s="149">
        <f t="shared" si="53"/>
        <v>-23</v>
      </c>
      <c r="H332" s="139">
        <f t="shared" si="56"/>
        <v>52172129</v>
      </c>
      <c r="I332" s="140"/>
      <c r="J332" s="140"/>
      <c r="K332" s="140"/>
      <c r="L332" s="140"/>
    </row>
    <row r="333" spans="1:12">
      <c r="A333" s="133" t="s">
        <v>100</v>
      </c>
      <c r="B333" s="139">
        <v>33353087</v>
      </c>
      <c r="C333" s="1"/>
      <c r="D333" s="4">
        <v>44554</v>
      </c>
      <c r="E333" s="139">
        <v>30</v>
      </c>
      <c r="F333" s="140">
        <f t="shared" si="55"/>
        <v>44584</v>
      </c>
      <c r="G333" s="149">
        <f t="shared" si="53"/>
        <v>-23</v>
      </c>
      <c r="H333" s="139">
        <f t="shared" si="56"/>
        <v>33353087</v>
      </c>
      <c r="I333" s="140"/>
      <c r="J333" s="140"/>
      <c r="K333" s="140"/>
      <c r="L333" s="140"/>
    </row>
    <row r="334" spans="1:12">
      <c r="A334" s="133" t="s">
        <v>100</v>
      </c>
      <c r="B334" s="139">
        <v>68889721</v>
      </c>
      <c r="C334" s="1"/>
      <c r="D334" s="4">
        <v>44557</v>
      </c>
      <c r="E334" s="139">
        <v>30</v>
      </c>
      <c r="F334" s="140">
        <f t="shared" si="55"/>
        <v>44587</v>
      </c>
      <c r="G334" s="149">
        <f t="shared" si="53"/>
        <v>-26</v>
      </c>
      <c r="H334" s="139">
        <f t="shared" si="56"/>
        <v>68889721</v>
      </c>
      <c r="I334" s="140"/>
      <c r="J334" s="140"/>
      <c r="K334" s="140"/>
      <c r="L334" s="140"/>
    </row>
    <row r="335" spans="1:12">
      <c r="A335" s="133" t="s">
        <v>100</v>
      </c>
      <c r="B335" s="139">
        <v>49360608</v>
      </c>
      <c r="C335" s="1"/>
      <c r="D335" s="4">
        <v>44557</v>
      </c>
      <c r="E335" s="139">
        <v>30</v>
      </c>
      <c r="F335" s="140">
        <f t="shared" si="55"/>
        <v>44587</v>
      </c>
      <c r="G335" s="149">
        <f t="shared" si="53"/>
        <v>-26</v>
      </c>
      <c r="H335" s="139">
        <f t="shared" si="56"/>
        <v>49360608</v>
      </c>
      <c r="I335" s="140"/>
      <c r="J335" s="140"/>
      <c r="K335" s="140"/>
      <c r="L335" s="140"/>
    </row>
    <row r="336" spans="1:12">
      <c r="A336" s="133" t="s">
        <v>100</v>
      </c>
      <c r="B336" s="139">
        <v>14177545</v>
      </c>
      <c r="C336" s="1"/>
      <c r="D336" s="4">
        <v>44557</v>
      </c>
      <c r="E336" s="139">
        <v>30</v>
      </c>
      <c r="F336" s="140">
        <f t="shared" si="55"/>
        <v>44587</v>
      </c>
      <c r="G336" s="149">
        <f t="shared" si="53"/>
        <v>-26</v>
      </c>
      <c r="H336" s="139">
        <f t="shared" si="56"/>
        <v>14177545</v>
      </c>
      <c r="I336" s="140"/>
      <c r="J336" s="140"/>
      <c r="K336" s="140"/>
      <c r="L336" s="140"/>
    </row>
    <row r="337" spans="1:12">
      <c r="A337" s="133" t="s">
        <v>100</v>
      </c>
      <c r="B337" s="139">
        <v>16400292</v>
      </c>
      <c r="C337" s="1"/>
      <c r="D337" s="4">
        <v>44557</v>
      </c>
      <c r="E337" s="139">
        <v>30</v>
      </c>
      <c r="F337" s="140">
        <f t="shared" si="55"/>
        <v>44587</v>
      </c>
      <c r="G337" s="149">
        <f t="shared" si="53"/>
        <v>-26</v>
      </c>
      <c r="H337" s="139">
        <f t="shared" si="56"/>
        <v>16400292</v>
      </c>
      <c r="I337" s="140"/>
      <c r="J337" s="140"/>
      <c r="K337" s="140"/>
      <c r="L337" s="140"/>
    </row>
    <row r="338" spans="1:12">
      <c r="A338" s="133" t="s">
        <v>100</v>
      </c>
      <c r="B338" s="139">
        <v>139518741</v>
      </c>
      <c r="C338" s="1"/>
      <c r="D338" s="4">
        <v>44557</v>
      </c>
      <c r="E338" s="139">
        <v>30</v>
      </c>
      <c r="F338" s="140">
        <f t="shared" si="55"/>
        <v>44587</v>
      </c>
      <c r="G338" s="149">
        <f t="shared" si="53"/>
        <v>-26</v>
      </c>
      <c r="H338" s="139">
        <f t="shared" si="56"/>
        <v>139518741</v>
      </c>
      <c r="I338" s="140"/>
      <c r="J338" s="140"/>
      <c r="K338" s="140"/>
      <c r="L338" s="140"/>
    </row>
    <row r="339" spans="1:12">
      <c r="A339" s="133" t="s">
        <v>100</v>
      </c>
      <c r="B339" s="139">
        <v>59581956</v>
      </c>
      <c r="C339" s="1"/>
      <c r="D339" s="4">
        <v>44558</v>
      </c>
      <c r="E339" s="139">
        <v>30</v>
      </c>
      <c r="F339" s="140">
        <f t="shared" si="55"/>
        <v>44588</v>
      </c>
      <c r="G339" s="149">
        <f t="shared" si="53"/>
        <v>-27</v>
      </c>
      <c r="H339" s="139">
        <f t="shared" si="56"/>
        <v>59581956</v>
      </c>
      <c r="I339" s="140"/>
      <c r="J339" s="140"/>
      <c r="K339" s="140"/>
      <c r="L339" s="140"/>
    </row>
    <row r="340" spans="1:12">
      <c r="A340" s="133" t="s">
        <v>100</v>
      </c>
      <c r="B340" s="139">
        <v>44610669</v>
      </c>
      <c r="C340" s="1"/>
      <c r="D340" s="4">
        <v>44560</v>
      </c>
      <c r="E340" s="139">
        <v>30</v>
      </c>
      <c r="F340" s="140">
        <f t="shared" si="55"/>
        <v>44590</v>
      </c>
      <c r="G340" s="149">
        <f t="shared" si="53"/>
        <v>-29</v>
      </c>
      <c r="H340" s="139">
        <f t="shared" si="56"/>
        <v>44610669</v>
      </c>
      <c r="I340" s="140"/>
      <c r="J340" s="140"/>
      <c r="K340" s="140"/>
      <c r="L340" s="140"/>
    </row>
    <row r="341" spans="1:12">
      <c r="A341" s="133" t="s">
        <v>100</v>
      </c>
      <c r="B341" s="139">
        <v>292975043</v>
      </c>
      <c r="C341" s="1"/>
      <c r="D341" s="4">
        <v>44561</v>
      </c>
      <c r="E341" s="139">
        <v>30</v>
      </c>
      <c r="F341" s="140">
        <f t="shared" si="55"/>
        <v>44591</v>
      </c>
      <c r="G341" s="149">
        <f t="shared" si="53"/>
        <v>-30</v>
      </c>
      <c r="H341" s="139">
        <f t="shared" si="56"/>
        <v>292975043</v>
      </c>
      <c r="I341" s="140"/>
      <c r="J341" s="140"/>
      <c r="K341" s="140"/>
      <c r="L341" s="140"/>
    </row>
    <row r="342" spans="1:12">
      <c r="A342" s="133" t="s">
        <v>100</v>
      </c>
      <c r="B342" s="139">
        <v>14230435</v>
      </c>
      <c r="C342" s="1"/>
      <c r="D342" s="4">
        <v>44561</v>
      </c>
      <c r="E342" s="139">
        <v>30</v>
      </c>
      <c r="F342" s="140">
        <f t="shared" si="55"/>
        <v>44591</v>
      </c>
      <c r="G342" s="149">
        <f t="shared" si="53"/>
        <v>-30</v>
      </c>
      <c r="H342" s="139">
        <f t="shared" si="56"/>
        <v>14230435</v>
      </c>
      <c r="I342" s="140"/>
      <c r="J342" s="140"/>
      <c r="K342" s="140"/>
      <c r="L342" s="140"/>
    </row>
    <row r="343" spans="1:12">
      <c r="A343" s="133" t="s">
        <v>100</v>
      </c>
      <c r="B343" s="139">
        <v>2122217</v>
      </c>
      <c r="C343" s="1"/>
      <c r="D343" s="4">
        <v>44557</v>
      </c>
      <c r="E343" s="139">
        <v>30</v>
      </c>
      <c r="F343" s="140">
        <f t="shared" si="55"/>
        <v>44587</v>
      </c>
      <c r="G343" s="149">
        <f t="shared" si="53"/>
        <v>-26</v>
      </c>
      <c r="H343" s="139">
        <f t="shared" si="56"/>
        <v>2122217</v>
      </c>
      <c r="I343" s="140"/>
      <c r="J343" s="140"/>
      <c r="K343" s="140"/>
      <c r="L343" s="140"/>
    </row>
    <row r="344" spans="1:12">
      <c r="A344" s="133" t="s">
        <v>100</v>
      </c>
      <c r="B344" s="139">
        <v>65846287</v>
      </c>
      <c r="C344" s="1"/>
      <c r="D344" s="4">
        <v>44557</v>
      </c>
      <c r="E344" s="139">
        <v>30</v>
      </c>
      <c r="F344" s="140">
        <f t="shared" si="55"/>
        <v>44587</v>
      </c>
      <c r="G344" s="149">
        <f t="shared" si="53"/>
        <v>-26</v>
      </c>
      <c r="H344" s="139">
        <f t="shared" si="56"/>
        <v>65846287</v>
      </c>
      <c r="I344" s="140"/>
      <c r="J344" s="140"/>
      <c r="K344" s="140"/>
      <c r="L344" s="140"/>
    </row>
    <row r="345" spans="1:12">
      <c r="A345" s="133" t="s">
        <v>100</v>
      </c>
      <c r="B345" s="139">
        <v>706457</v>
      </c>
      <c r="C345" s="1"/>
      <c r="D345" s="4">
        <v>44560</v>
      </c>
      <c r="E345" s="139">
        <v>30</v>
      </c>
      <c r="F345" s="140">
        <f t="shared" si="55"/>
        <v>44590</v>
      </c>
      <c r="G345" s="149">
        <f t="shared" si="53"/>
        <v>-29</v>
      </c>
      <c r="H345" s="139">
        <f t="shared" si="56"/>
        <v>706457</v>
      </c>
      <c r="I345" s="140"/>
      <c r="J345" s="140"/>
      <c r="K345" s="140"/>
      <c r="L345" s="140"/>
    </row>
    <row r="346" spans="1:12">
      <c r="A346" s="133" t="s">
        <v>100</v>
      </c>
      <c r="B346" s="139">
        <v>63728579</v>
      </c>
      <c r="C346" s="1"/>
      <c r="D346" s="4">
        <v>44560</v>
      </c>
      <c r="E346" s="139">
        <v>30</v>
      </c>
      <c r="F346" s="140">
        <f t="shared" si="55"/>
        <v>44590</v>
      </c>
      <c r="G346" s="149">
        <f t="shared" si="53"/>
        <v>-29</v>
      </c>
      <c r="H346" s="139">
        <f t="shared" si="56"/>
        <v>63728579</v>
      </c>
      <c r="I346" s="140"/>
      <c r="J346" s="140"/>
      <c r="K346" s="140"/>
      <c r="L346" s="140"/>
    </row>
    <row r="347" spans="1:12">
      <c r="A347" s="133" t="s">
        <v>100</v>
      </c>
      <c r="B347" s="139">
        <v>7065885</v>
      </c>
      <c r="C347" s="1"/>
      <c r="D347" s="4">
        <v>44560</v>
      </c>
      <c r="E347" s="139">
        <v>30</v>
      </c>
      <c r="F347" s="140">
        <f t="shared" si="55"/>
        <v>44590</v>
      </c>
      <c r="G347" s="149">
        <f t="shared" si="53"/>
        <v>-29</v>
      </c>
      <c r="H347" s="139">
        <f t="shared" si="56"/>
        <v>7065885</v>
      </c>
      <c r="I347" s="140"/>
      <c r="J347" s="140"/>
      <c r="K347" s="140"/>
      <c r="L347" s="140"/>
    </row>
    <row r="348" spans="1:12">
      <c r="A348" s="133" t="s">
        <v>100</v>
      </c>
      <c r="B348" s="139">
        <v>99113534</v>
      </c>
      <c r="C348" s="1"/>
      <c r="D348" s="4">
        <v>44561</v>
      </c>
      <c r="E348" s="139">
        <v>30</v>
      </c>
      <c r="F348" s="140">
        <f t="shared" si="55"/>
        <v>44591</v>
      </c>
      <c r="G348" s="149">
        <f t="shared" si="53"/>
        <v>-30</v>
      </c>
      <c r="H348" s="139">
        <f t="shared" si="56"/>
        <v>99113534</v>
      </c>
      <c r="I348" s="140"/>
      <c r="J348" s="140"/>
      <c r="K348" s="140"/>
      <c r="L348" s="140"/>
    </row>
    <row r="349" spans="1:12">
      <c r="A349" s="133" t="s">
        <v>100</v>
      </c>
      <c r="B349" s="139">
        <v>89266820</v>
      </c>
      <c r="C349" s="1"/>
      <c r="D349" s="4">
        <v>44561</v>
      </c>
      <c r="E349" s="139">
        <v>30</v>
      </c>
      <c r="F349" s="140">
        <f t="shared" si="55"/>
        <v>44591</v>
      </c>
      <c r="G349" s="149">
        <f t="shared" si="53"/>
        <v>-30</v>
      </c>
      <c r="H349" s="139">
        <f t="shared" si="56"/>
        <v>89266820</v>
      </c>
      <c r="I349" s="140"/>
      <c r="J349" s="140"/>
      <c r="K349" s="140"/>
      <c r="L349" s="140"/>
    </row>
    <row r="350" spans="1:12">
      <c r="A350" s="133" t="s">
        <v>100</v>
      </c>
      <c r="B350" s="139">
        <v>22211835</v>
      </c>
      <c r="C350" s="1"/>
      <c r="D350" s="4">
        <v>44561</v>
      </c>
      <c r="E350" s="139">
        <v>30</v>
      </c>
      <c r="F350" s="140">
        <f t="shared" ref="F350:F355" si="57">D350+E350</f>
        <v>44591</v>
      </c>
      <c r="G350" s="149">
        <f t="shared" si="53"/>
        <v>-30</v>
      </c>
      <c r="H350" s="139">
        <f t="shared" si="56"/>
        <v>22211835</v>
      </c>
      <c r="I350" s="140"/>
      <c r="J350" s="140"/>
      <c r="K350" s="140"/>
      <c r="L350" s="140"/>
    </row>
    <row r="351" spans="1:12">
      <c r="A351" s="133" t="s">
        <v>100</v>
      </c>
      <c r="B351" s="139">
        <v>33927332</v>
      </c>
      <c r="C351" s="1"/>
      <c r="D351" s="4">
        <v>44561</v>
      </c>
      <c r="E351" s="139">
        <v>30</v>
      </c>
      <c r="F351" s="140">
        <f t="shared" si="57"/>
        <v>44591</v>
      </c>
      <c r="G351" s="149">
        <f t="shared" ref="G351:G365" si="58">$A$4-F351</f>
        <v>-30</v>
      </c>
      <c r="H351" s="139">
        <f t="shared" si="56"/>
        <v>33927332</v>
      </c>
      <c r="I351" s="140"/>
      <c r="J351" s="140"/>
      <c r="K351" s="140"/>
      <c r="L351" s="140"/>
    </row>
    <row r="352" spans="1:12">
      <c r="A352" s="133" t="s">
        <v>100</v>
      </c>
      <c r="B352" s="139">
        <v>6185957</v>
      </c>
      <c r="C352" s="1"/>
      <c r="D352" s="4">
        <v>44560</v>
      </c>
      <c r="E352" s="139">
        <v>30</v>
      </c>
      <c r="F352" s="140">
        <f t="shared" si="57"/>
        <v>44590</v>
      </c>
      <c r="G352" s="149">
        <f t="shared" si="58"/>
        <v>-29</v>
      </c>
      <c r="H352" s="139">
        <f t="shared" si="56"/>
        <v>6185957</v>
      </c>
      <c r="I352" s="140"/>
      <c r="J352" s="140"/>
      <c r="K352" s="140"/>
      <c r="L352" s="140"/>
    </row>
    <row r="353" spans="1:12">
      <c r="A353" s="133" t="s">
        <v>100</v>
      </c>
      <c r="B353" s="139">
        <v>377602484</v>
      </c>
      <c r="C353" s="1"/>
      <c r="D353" s="4">
        <v>44561</v>
      </c>
      <c r="E353" s="139">
        <v>30</v>
      </c>
      <c r="F353" s="140">
        <f t="shared" si="57"/>
        <v>44591</v>
      </c>
      <c r="G353" s="149">
        <f t="shared" si="58"/>
        <v>-30</v>
      </c>
      <c r="H353" s="139">
        <f t="shared" si="56"/>
        <v>377602484</v>
      </c>
      <c r="I353" s="140"/>
      <c r="J353" s="140"/>
      <c r="K353" s="140"/>
      <c r="L353" s="140"/>
    </row>
    <row r="354" spans="1:12">
      <c r="A354" s="133" t="s">
        <v>100</v>
      </c>
      <c r="B354" s="139">
        <v>314969711</v>
      </c>
      <c r="C354" s="1"/>
      <c r="D354" s="4">
        <v>44560</v>
      </c>
      <c r="E354" s="139">
        <v>30</v>
      </c>
      <c r="F354" s="140">
        <f t="shared" si="57"/>
        <v>44590</v>
      </c>
      <c r="G354" s="149">
        <f t="shared" si="58"/>
        <v>-29</v>
      </c>
      <c r="H354" s="139">
        <f t="shared" si="56"/>
        <v>314969711</v>
      </c>
      <c r="I354" s="140"/>
      <c r="J354" s="140"/>
      <c r="K354" s="140"/>
      <c r="L354" s="140"/>
    </row>
    <row r="355" spans="1:12">
      <c r="A355" s="133" t="s">
        <v>100</v>
      </c>
      <c r="B355" s="139">
        <v>419991150</v>
      </c>
      <c r="C355" s="1"/>
      <c r="D355" s="4">
        <v>44560</v>
      </c>
      <c r="E355" s="139">
        <v>30</v>
      </c>
      <c r="F355" s="140">
        <f t="shared" si="57"/>
        <v>44590</v>
      </c>
      <c r="G355" s="149">
        <f t="shared" si="58"/>
        <v>-29</v>
      </c>
      <c r="H355" s="139">
        <f t="shared" si="56"/>
        <v>419991150</v>
      </c>
      <c r="I355" s="140"/>
      <c r="J355" s="140"/>
      <c r="K355" s="140"/>
      <c r="L355" s="140"/>
    </row>
    <row r="356" spans="1:12">
      <c r="A356" s="133" t="s">
        <v>100</v>
      </c>
      <c r="B356" s="139">
        <f>'[59]Indo American Seafoods, PT'!$F$14</f>
        <v>304700</v>
      </c>
      <c r="C356" s="1"/>
      <c r="D356" s="4">
        <v>44552</v>
      </c>
      <c r="E356" s="139">
        <v>30</v>
      </c>
      <c r="F356" s="140">
        <f t="shared" ref="F356:F365" si="59">D356+E356</f>
        <v>44582</v>
      </c>
      <c r="G356" s="149">
        <f>$A$4-F356</f>
        <v>-21</v>
      </c>
      <c r="H356" s="139">
        <f t="shared" ref="H356:H365" si="60">B356</f>
        <v>304700</v>
      </c>
      <c r="I356" s="140"/>
      <c r="J356" s="140"/>
      <c r="K356" s="140"/>
      <c r="L356" s="140"/>
    </row>
    <row r="357" spans="1:12">
      <c r="A357" s="133" t="s">
        <v>100</v>
      </c>
      <c r="B357" s="139">
        <f>'[59]Indo American Seafoods, PT'!$F$16</f>
        <v>408540</v>
      </c>
      <c r="C357" s="1"/>
      <c r="D357" s="4">
        <v>44553</v>
      </c>
      <c r="E357" s="139">
        <v>30</v>
      </c>
      <c r="F357" s="140">
        <f t="shared" si="59"/>
        <v>44583</v>
      </c>
      <c r="G357" s="149">
        <f t="shared" si="58"/>
        <v>-22</v>
      </c>
      <c r="H357" s="139">
        <f t="shared" si="60"/>
        <v>408540</v>
      </c>
      <c r="I357" s="140"/>
      <c r="J357" s="140"/>
      <c r="K357" s="140"/>
      <c r="L357" s="140"/>
    </row>
    <row r="358" spans="1:12">
      <c r="A358" s="133" t="s">
        <v>100</v>
      </c>
      <c r="B358" s="139">
        <f>'[59]Indo American Seafoods, PT'!$F$18</f>
        <v>441760</v>
      </c>
      <c r="C358" s="1"/>
      <c r="D358" s="4">
        <v>44554</v>
      </c>
      <c r="E358" s="139">
        <v>30</v>
      </c>
      <c r="F358" s="140">
        <f t="shared" si="59"/>
        <v>44584</v>
      </c>
      <c r="G358" s="149">
        <f t="shared" si="58"/>
        <v>-23</v>
      </c>
      <c r="H358" s="139">
        <f t="shared" si="60"/>
        <v>441760</v>
      </c>
      <c r="I358" s="140"/>
      <c r="J358" s="140"/>
      <c r="K358" s="140"/>
      <c r="L358" s="140"/>
    </row>
    <row r="359" spans="1:12">
      <c r="A359" s="133" t="s">
        <v>100</v>
      </c>
      <c r="B359" s="139">
        <f>'[59]Indo American Seafoods, PT'!$F$20</f>
        <v>513260</v>
      </c>
      <c r="C359" s="1"/>
      <c r="D359" s="4">
        <v>44557</v>
      </c>
      <c r="E359" s="139">
        <v>30</v>
      </c>
      <c r="F359" s="140">
        <f t="shared" si="59"/>
        <v>44587</v>
      </c>
      <c r="G359" s="149">
        <f t="shared" si="58"/>
        <v>-26</v>
      </c>
      <c r="H359" s="139">
        <f t="shared" si="60"/>
        <v>513260</v>
      </c>
      <c r="I359" s="140"/>
      <c r="J359" s="140"/>
      <c r="K359" s="140"/>
      <c r="L359" s="140"/>
    </row>
    <row r="360" spans="1:12">
      <c r="A360" s="133" t="s">
        <v>100</v>
      </c>
      <c r="B360" s="139">
        <f>'[59]Indo American Seafoods, PT'!$F$22</f>
        <v>584760</v>
      </c>
      <c r="C360" s="1"/>
      <c r="D360" s="4">
        <v>44558</v>
      </c>
      <c r="E360" s="139">
        <v>30</v>
      </c>
      <c r="F360" s="140">
        <f t="shared" si="59"/>
        <v>44588</v>
      </c>
      <c r="G360" s="149">
        <f t="shared" si="58"/>
        <v>-27</v>
      </c>
      <c r="H360" s="139">
        <f t="shared" si="60"/>
        <v>584760</v>
      </c>
      <c r="I360" s="140"/>
      <c r="J360" s="140"/>
      <c r="K360" s="140"/>
      <c r="L360" s="140"/>
    </row>
    <row r="361" spans="1:12">
      <c r="A361" s="133" t="s">
        <v>100</v>
      </c>
      <c r="B361" s="139">
        <f>'[59]Indo American Seafoods, PT'!$F$24</f>
        <v>245960</v>
      </c>
      <c r="C361" s="1"/>
      <c r="D361" s="4">
        <v>44559</v>
      </c>
      <c r="E361" s="139">
        <v>30</v>
      </c>
      <c r="F361" s="140">
        <f t="shared" si="59"/>
        <v>44589</v>
      </c>
      <c r="G361" s="149">
        <f t="shared" si="58"/>
        <v>-28</v>
      </c>
      <c r="H361" s="139">
        <f t="shared" si="60"/>
        <v>245960</v>
      </c>
      <c r="I361" s="140"/>
      <c r="J361" s="140"/>
      <c r="K361" s="140"/>
      <c r="L361" s="140"/>
    </row>
    <row r="362" spans="1:12">
      <c r="A362" s="133" t="s">
        <v>100</v>
      </c>
      <c r="B362" s="139">
        <f>'[59]Indo American Seafoods, PT'!$F$36</f>
        <v>801020</v>
      </c>
      <c r="C362" s="1"/>
      <c r="D362" s="4">
        <v>44560</v>
      </c>
      <c r="E362" s="139">
        <v>30</v>
      </c>
      <c r="F362" s="140">
        <f t="shared" si="59"/>
        <v>44590</v>
      </c>
      <c r="G362" s="149">
        <f t="shared" si="58"/>
        <v>-29</v>
      </c>
      <c r="H362" s="139">
        <f t="shared" si="60"/>
        <v>801020</v>
      </c>
      <c r="I362" s="140"/>
      <c r="J362" s="140"/>
      <c r="K362" s="140"/>
      <c r="L362" s="140"/>
    </row>
    <row r="363" spans="1:12">
      <c r="A363" s="133" t="s">
        <v>100</v>
      </c>
      <c r="B363" s="139">
        <f>'[59]Indo American Seafoods, PT'!$F$38</f>
        <v>572880</v>
      </c>
      <c r="C363" s="1"/>
      <c r="D363" s="4">
        <v>44561</v>
      </c>
      <c r="E363" s="139">
        <v>30</v>
      </c>
      <c r="F363" s="140">
        <f t="shared" si="59"/>
        <v>44591</v>
      </c>
      <c r="G363" s="149">
        <f t="shared" si="58"/>
        <v>-30</v>
      </c>
      <c r="H363" s="139">
        <f t="shared" si="60"/>
        <v>572880</v>
      </c>
      <c r="I363" s="140"/>
      <c r="J363" s="140"/>
      <c r="K363" s="140"/>
      <c r="L363" s="140"/>
    </row>
    <row r="364" spans="1:12">
      <c r="A364" s="133" t="s">
        <v>100</v>
      </c>
      <c r="B364" s="139">
        <v>183353466</v>
      </c>
      <c r="C364" s="1"/>
      <c r="D364" s="4">
        <v>44561</v>
      </c>
      <c r="E364" s="139">
        <v>30</v>
      </c>
      <c r="F364" s="140">
        <f t="shared" si="59"/>
        <v>44591</v>
      </c>
      <c r="G364" s="149">
        <f t="shared" si="58"/>
        <v>-30</v>
      </c>
      <c r="H364" s="139">
        <f t="shared" si="60"/>
        <v>183353466</v>
      </c>
      <c r="I364" s="140"/>
      <c r="J364" s="140"/>
      <c r="K364" s="140"/>
      <c r="L364" s="140"/>
    </row>
    <row r="365" spans="1:12">
      <c r="A365" s="133" t="s">
        <v>100</v>
      </c>
      <c r="B365" s="139">
        <v>4123241145</v>
      </c>
      <c r="C365" s="1"/>
      <c r="D365" s="4">
        <v>44561</v>
      </c>
      <c r="E365" s="139">
        <v>30</v>
      </c>
      <c r="F365" s="140">
        <f t="shared" si="59"/>
        <v>44591</v>
      </c>
      <c r="G365" s="149">
        <f t="shared" si="58"/>
        <v>-30</v>
      </c>
      <c r="H365" s="139">
        <f t="shared" si="60"/>
        <v>4123241145</v>
      </c>
      <c r="I365" s="140"/>
      <c r="J365" s="140"/>
      <c r="K365" s="140"/>
      <c r="L365" s="140"/>
    </row>
    <row r="366" spans="1:12" s="21" customFormat="1">
      <c r="A366" s="153" t="s">
        <v>246</v>
      </c>
      <c r="B366" s="154">
        <f>SUM(B7:B365)</f>
        <v>19762883368.639999</v>
      </c>
      <c r="C366" s="155"/>
      <c r="D366" s="155"/>
      <c r="E366" s="156"/>
      <c r="F366" s="155"/>
      <c r="G366" s="155"/>
      <c r="H366" s="157">
        <f>SUM(H7:H365)</f>
        <v>13487581618.5</v>
      </c>
      <c r="I366" s="242">
        <f t="shared" ref="I366:L366" si="61">SUM(I7:I365)</f>
        <v>4432827372.6399994</v>
      </c>
      <c r="J366" s="157">
        <f t="shared" si="61"/>
        <v>714613618</v>
      </c>
      <c r="K366" s="157">
        <f t="shared" si="61"/>
        <v>707307780</v>
      </c>
      <c r="L366" s="157">
        <f t="shared" si="61"/>
        <v>420552979.5</v>
      </c>
    </row>
    <row r="368" spans="1:12">
      <c r="A368" s="142" t="s">
        <v>243</v>
      </c>
      <c r="B368" s="24">
        <f>19763642459-759090</f>
        <v>19762883369</v>
      </c>
      <c r="I368" s="18"/>
    </row>
    <row r="369" spans="2:2">
      <c r="B369" s="19">
        <f>B366-B368</f>
        <v>-0.3600006103515625</v>
      </c>
    </row>
  </sheetData>
  <autoFilter ref="A6:L365" xr:uid="{FBBE0F46-25DD-4130-AF25-9971A0B4145B}">
    <filterColumn colId="2" showButton="0"/>
  </autoFilter>
  <mergeCells count="27">
    <mergeCell ref="A9:A12"/>
    <mergeCell ref="A14:A16"/>
    <mergeCell ref="A17:A19"/>
    <mergeCell ref="A21:A27"/>
    <mergeCell ref="A28:A30"/>
    <mergeCell ref="A31:A44"/>
    <mergeCell ref="A46:A48"/>
    <mergeCell ref="A49:A51"/>
    <mergeCell ref="A53:A54"/>
    <mergeCell ref="A56:A58"/>
    <mergeCell ref="A59:A60"/>
    <mergeCell ref="A61:A62"/>
    <mergeCell ref="A63:A64"/>
    <mergeCell ref="A66:A79"/>
    <mergeCell ref="A80:A84"/>
    <mergeCell ref="A85:A92"/>
    <mergeCell ref="A94:A95"/>
    <mergeCell ref="A96:A160"/>
    <mergeCell ref="A195:A199"/>
    <mergeCell ref="A200:A207"/>
    <mergeCell ref="A208:A210"/>
    <mergeCell ref="A211:A228"/>
    <mergeCell ref="A161:A164"/>
    <mergeCell ref="A165:A177"/>
    <mergeCell ref="A178:A183"/>
    <mergeCell ref="A184:A186"/>
    <mergeCell ref="A187:A194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P126"/>
  <sheetViews>
    <sheetView showGridLines="0" workbookViewId="0">
      <pane xSplit="2" ySplit="5" topLeftCell="D21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RowHeight="14.5" outlineLevelCol="1"/>
  <cols>
    <col min="1" max="1" width="32.54296875" bestFit="1" customWidth="1"/>
    <col min="2" max="2" width="16.81640625" bestFit="1" customWidth="1"/>
    <col min="3" max="4" width="16.26953125" bestFit="1" customWidth="1"/>
    <col min="5" max="5" width="12.1796875" bestFit="1" customWidth="1"/>
    <col min="6" max="6" width="18.54296875" bestFit="1" customWidth="1"/>
    <col min="7" max="7" width="18.54296875" hidden="1" customWidth="1" outlineLevel="1"/>
    <col min="8" max="8" width="21.54296875" style="81" customWidth="1" outlineLevel="1"/>
    <col min="9" max="12" width="18.54296875" style="81" customWidth="1" outlineLevel="1"/>
    <col min="13" max="13" width="36" hidden="1" customWidth="1"/>
    <col min="14" max="14" width="13.81640625" hidden="1" customWidth="1"/>
    <col min="15" max="15" width="14.81640625" hidden="1" customWidth="1"/>
    <col min="16" max="16" width="29.453125" hidden="1" customWidth="1"/>
  </cols>
  <sheetData>
    <row r="1" spans="1:16">
      <c r="A1" s="21" t="s">
        <v>184</v>
      </c>
      <c r="C1" s="16"/>
      <c r="H1"/>
      <c r="I1"/>
      <c r="J1"/>
      <c r="K1"/>
      <c r="L1"/>
    </row>
    <row r="2" spans="1:16">
      <c r="A2" s="21" t="s">
        <v>172</v>
      </c>
      <c r="B2" s="16"/>
      <c r="C2" s="23"/>
      <c r="H2"/>
      <c r="I2"/>
      <c r="J2"/>
      <c r="K2"/>
      <c r="L2"/>
    </row>
    <row r="3" spans="1:16">
      <c r="A3" s="22">
        <v>44196</v>
      </c>
      <c r="H3"/>
      <c r="I3"/>
      <c r="J3"/>
      <c r="K3"/>
      <c r="L3"/>
    </row>
    <row r="4" spans="1:16">
      <c r="A4" s="1"/>
      <c r="B4" s="95"/>
      <c r="C4" s="379" t="s">
        <v>0</v>
      </c>
      <c r="D4" s="379"/>
      <c r="E4" s="379"/>
      <c r="F4" s="379"/>
      <c r="G4" s="380" t="s">
        <v>203</v>
      </c>
      <c r="H4" s="381"/>
      <c r="I4" s="381"/>
      <c r="J4" s="381"/>
      <c r="K4" s="381"/>
      <c r="L4" s="382"/>
      <c r="M4" s="1"/>
      <c r="N4" s="1"/>
      <c r="O4" s="1"/>
      <c r="P4" s="1"/>
    </row>
    <row r="5" spans="1:16">
      <c r="A5" s="2" t="s">
        <v>2</v>
      </c>
      <c r="B5" s="37" t="s">
        <v>3</v>
      </c>
      <c r="C5" s="37" t="s">
        <v>4</v>
      </c>
      <c r="D5" s="37" t="s">
        <v>5</v>
      </c>
      <c r="E5" s="37" t="s">
        <v>101</v>
      </c>
      <c r="F5" s="37" t="s">
        <v>7</v>
      </c>
      <c r="G5" s="112" t="s">
        <v>173</v>
      </c>
      <c r="H5" s="112" t="s">
        <v>174</v>
      </c>
      <c r="I5" s="112" t="s">
        <v>178</v>
      </c>
      <c r="J5" s="112" t="s">
        <v>175</v>
      </c>
      <c r="K5" s="112" t="s">
        <v>176</v>
      </c>
      <c r="L5" s="112" t="s">
        <v>177</v>
      </c>
      <c r="M5" s="5" t="s">
        <v>161</v>
      </c>
      <c r="N5" s="96" t="s">
        <v>157</v>
      </c>
      <c r="O5" s="97" t="s">
        <v>158</v>
      </c>
      <c r="P5" s="98" t="s">
        <v>159</v>
      </c>
    </row>
    <row r="6" spans="1:16">
      <c r="A6" s="1" t="s">
        <v>102</v>
      </c>
      <c r="B6" s="26">
        <v>1894301500</v>
      </c>
      <c r="C6" s="3" t="s">
        <v>103</v>
      </c>
      <c r="D6" s="9">
        <v>44189</v>
      </c>
      <c r="E6" s="1">
        <v>60</v>
      </c>
      <c r="F6" s="4">
        <f>D6+E6</f>
        <v>44249</v>
      </c>
      <c r="G6" s="1">
        <f>$A$3-F6</f>
        <v>-53</v>
      </c>
      <c r="H6" s="99">
        <f>B6</f>
        <v>1894301500</v>
      </c>
      <c r="I6" s="100"/>
      <c r="J6" s="100"/>
      <c r="K6" s="100"/>
      <c r="L6" s="100"/>
      <c r="M6" s="1"/>
      <c r="N6" s="101">
        <v>1889063800</v>
      </c>
      <c r="O6" s="102">
        <v>44224</v>
      </c>
      <c r="P6" s="103" t="s">
        <v>160</v>
      </c>
    </row>
    <row r="7" spans="1:16">
      <c r="A7" s="1" t="s">
        <v>102</v>
      </c>
      <c r="B7" s="26">
        <v>1546613250</v>
      </c>
      <c r="C7" s="1" t="s">
        <v>104</v>
      </c>
      <c r="D7" s="4">
        <v>44196</v>
      </c>
      <c r="E7" s="1">
        <v>60</v>
      </c>
      <c r="F7" s="4">
        <f t="shared" ref="F7:F40" si="0">D7+E7</f>
        <v>44256</v>
      </c>
      <c r="G7" s="1">
        <f t="shared" ref="G7:G12" si="1">$A$3-F7</f>
        <v>-60</v>
      </c>
      <c r="H7" s="99">
        <f t="shared" ref="H7:H14" si="2">B7</f>
        <v>1546613250</v>
      </c>
      <c r="I7" s="100"/>
      <c r="J7" s="100"/>
      <c r="K7" s="100"/>
      <c r="L7" s="100"/>
      <c r="M7" s="1"/>
      <c r="N7" s="101">
        <v>1542336900</v>
      </c>
      <c r="O7" s="102">
        <v>44229</v>
      </c>
      <c r="P7" s="103" t="s">
        <v>160</v>
      </c>
    </row>
    <row r="8" spans="1:16">
      <c r="A8" s="1" t="s">
        <v>105</v>
      </c>
      <c r="B8" s="26">
        <v>1654516500</v>
      </c>
      <c r="C8" s="1"/>
      <c r="D8" s="4">
        <v>44166</v>
      </c>
      <c r="E8" s="1">
        <v>60</v>
      </c>
      <c r="F8" s="4">
        <f t="shared" si="0"/>
        <v>44226</v>
      </c>
      <c r="G8" s="1">
        <f t="shared" si="1"/>
        <v>-30</v>
      </c>
      <c r="H8" s="99">
        <f t="shared" si="2"/>
        <v>1654516500</v>
      </c>
      <c r="I8" s="100"/>
      <c r="J8" s="100"/>
      <c r="K8" s="100"/>
      <c r="L8" s="100"/>
      <c r="M8" s="1"/>
      <c r="N8" s="101">
        <v>1649120700</v>
      </c>
      <c r="O8" s="102">
        <v>44203</v>
      </c>
      <c r="P8" s="103" t="s">
        <v>160</v>
      </c>
    </row>
    <row r="9" spans="1:16">
      <c r="A9" s="1" t="s">
        <v>105</v>
      </c>
      <c r="B9" s="26">
        <v>1549011100</v>
      </c>
      <c r="C9" s="1" t="s">
        <v>106</v>
      </c>
      <c r="D9" s="4">
        <v>44179</v>
      </c>
      <c r="E9" s="1">
        <v>60</v>
      </c>
      <c r="F9" s="4">
        <f t="shared" si="0"/>
        <v>44239</v>
      </c>
      <c r="G9" s="1">
        <f t="shared" si="1"/>
        <v>-43</v>
      </c>
      <c r="H9" s="99">
        <f t="shared" si="2"/>
        <v>1549011100</v>
      </c>
      <c r="I9" s="100"/>
      <c r="J9" s="100"/>
      <c r="K9" s="100"/>
      <c r="L9" s="100"/>
      <c r="M9" s="1"/>
      <c r="N9" s="101">
        <v>1544728120</v>
      </c>
      <c r="O9" s="102">
        <v>44224</v>
      </c>
      <c r="P9" s="103" t="s">
        <v>160</v>
      </c>
    </row>
    <row r="10" spans="1:16">
      <c r="A10" s="1" t="s">
        <v>107</v>
      </c>
      <c r="B10" s="26">
        <v>2097785166.8800001</v>
      </c>
      <c r="C10" s="1" t="s">
        <v>108</v>
      </c>
      <c r="D10" s="4">
        <v>44189</v>
      </c>
      <c r="E10" s="1">
        <v>60</v>
      </c>
      <c r="F10" s="4">
        <f t="shared" si="0"/>
        <v>44249</v>
      </c>
      <c r="G10" s="1">
        <f t="shared" si="1"/>
        <v>-53</v>
      </c>
      <c r="H10" s="99">
        <f t="shared" si="2"/>
        <v>2097785166.8800001</v>
      </c>
      <c r="I10" s="100"/>
      <c r="J10" s="100"/>
      <c r="K10" s="100"/>
      <c r="L10" s="100"/>
      <c r="M10" s="1"/>
      <c r="N10" s="101">
        <v>2090943755</v>
      </c>
      <c r="O10" s="102">
        <v>44202</v>
      </c>
      <c r="P10" s="103" t="s">
        <v>160</v>
      </c>
    </row>
    <row r="11" spans="1:16">
      <c r="A11" s="1" t="s">
        <v>109</v>
      </c>
      <c r="B11" s="26">
        <v>1879816793.24</v>
      </c>
      <c r="C11" s="1" t="s">
        <v>110</v>
      </c>
      <c r="D11" s="4">
        <v>44196</v>
      </c>
      <c r="E11" s="1">
        <v>60</v>
      </c>
      <c r="F11" s="4">
        <f t="shared" si="0"/>
        <v>44256</v>
      </c>
      <c r="G11" s="1">
        <f t="shared" si="1"/>
        <v>-60</v>
      </c>
      <c r="H11" s="99">
        <f t="shared" si="2"/>
        <v>1879816793.24</v>
      </c>
      <c r="I11" s="100"/>
      <c r="J11" s="100"/>
      <c r="K11" s="100"/>
      <c r="L11" s="100"/>
      <c r="M11" s="1"/>
      <c r="N11" s="101">
        <v>1873686232</v>
      </c>
      <c r="O11" s="102">
        <v>44208</v>
      </c>
      <c r="P11" s="103" t="s">
        <v>160</v>
      </c>
    </row>
    <row r="12" spans="1:16">
      <c r="A12" s="1" t="s">
        <v>111</v>
      </c>
      <c r="B12" s="26">
        <v>1583991501.72</v>
      </c>
      <c r="C12" s="1" t="s">
        <v>112</v>
      </c>
      <c r="D12" s="4">
        <v>44190</v>
      </c>
      <c r="E12" s="1">
        <v>60</v>
      </c>
      <c r="F12" s="4">
        <f t="shared" si="0"/>
        <v>44250</v>
      </c>
      <c r="G12" s="1">
        <f t="shared" si="1"/>
        <v>-54</v>
      </c>
      <c r="H12" s="99">
        <f t="shared" si="2"/>
        <v>1583991501.72</v>
      </c>
      <c r="I12" s="100"/>
      <c r="J12" s="100"/>
      <c r="K12" s="100"/>
      <c r="L12" s="100"/>
      <c r="M12" s="1"/>
      <c r="N12" s="101">
        <v>1568560000</v>
      </c>
      <c r="O12" s="102">
        <v>44209</v>
      </c>
      <c r="P12" s="104" t="s">
        <v>160</v>
      </c>
    </row>
    <row r="13" spans="1:16">
      <c r="A13" s="6"/>
      <c r="B13" s="28"/>
      <c r="C13" s="6"/>
      <c r="D13" s="6"/>
      <c r="E13" s="6"/>
      <c r="F13" s="6"/>
      <c r="G13" s="1"/>
      <c r="H13" s="100"/>
      <c r="I13" s="100"/>
      <c r="J13" s="100"/>
      <c r="K13" s="100"/>
      <c r="L13" s="100"/>
      <c r="M13" s="1"/>
      <c r="N13" s="1"/>
      <c r="O13" s="1"/>
      <c r="P13" s="1"/>
    </row>
    <row r="14" spans="1:16">
      <c r="A14" s="386" t="s">
        <v>113</v>
      </c>
      <c r="B14" s="388">
        <v>31080000</v>
      </c>
      <c r="C14" s="1" t="s">
        <v>114</v>
      </c>
      <c r="D14" s="4">
        <v>44171</v>
      </c>
      <c r="E14" s="1">
        <v>30</v>
      </c>
      <c r="F14" s="4">
        <f t="shared" si="0"/>
        <v>44201</v>
      </c>
      <c r="G14" s="1">
        <f t="shared" ref="G14:G23" si="3">$A$3-F14</f>
        <v>-5</v>
      </c>
      <c r="H14" s="99">
        <f t="shared" si="2"/>
        <v>31080000</v>
      </c>
      <c r="I14" s="100"/>
      <c r="J14" s="100"/>
      <c r="K14" s="100"/>
      <c r="L14" s="100"/>
      <c r="M14" s="1"/>
      <c r="N14" s="106">
        <v>31080000</v>
      </c>
      <c r="O14" s="107">
        <v>44211</v>
      </c>
      <c r="P14" s="1"/>
    </row>
    <row r="15" spans="1:16">
      <c r="A15" s="386"/>
      <c r="B15" s="388"/>
      <c r="C15" s="1" t="s">
        <v>115</v>
      </c>
      <c r="D15" s="4">
        <v>44176</v>
      </c>
      <c r="E15" s="1">
        <v>30</v>
      </c>
      <c r="F15" s="4">
        <f t="shared" si="0"/>
        <v>44206</v>
      </c>
      <c r="G15" s="1">
        <f t="shared" si="3"/>
        <v>-10</v>
      </c>
      <c r="H15" s="100"/>
      <c r="I15" s="100"/>
      <c r="J15" s="100"/>
      <c r="K15" s="100"/>
      <c r="L15" s="100"/>
      <c r="M15" s="1"/>
      <c r="N15" s="1"/>
      <c r="O15" s="1" t="s">
        <v>181</v>
      </c>
      <c r="P15" s="1"/>
    </row>
    <row r="16" spans="1:16">
      <c r="A16" s="386"/>
      <c r="B16" s="388"/>
      <c r="C16" s="1" t="s">
        <v>116</v>
      </c>
      <c r="D16" s="4">
        <v>44177</v>
      </c>
      <c r="E16" s="1">
        <v>30</v>
      </c>
      <c r="F16" s="4">
        <f t="shared" si="0"/>
        <v>44207</v>
      </c>
      <c r="G16" s="1">
        <f t="shared" si="3"/>
        <v>-11</v>
      </c>
      <c r="H16" s="100"/>
      <c r="I16" s="100"/>
      <c r="J16" s="100"/>
      <c r="K16" s="100"/>
      <c r="L16" s="100"/>
      <c r="M16" s="1"/>
      <c r="N16" s="1"/>
      <c r="O16" s="1"/>
      <c r="P16" s="1"/>
    </row>
    <row r="17" spans="1:16">
      <c r="A17" s="386"/>
      <c r="B17" s="388"/>
      <c r="C17" s="1" t="s">
        <v>117</v>
      </c>
      <c r="D17" s="4">
        <v>44180</v>
      </c>
      <c r="E17" s="1">
        <v>30</v>
      </c>
      <c r="F17" s="4">
        <f t="shared" si="0"/>
        <v>44210</v>
      </c>
      <c r="G17" s="1">
        <f t="shared" si="3"/>
        <v>-14</v>
      </c>
      <c r="H17" s="100"/>
      <c r="I17" s="100"/>
      <c r="J17" s="100"/>
      <c r="K17" s="100"/>
      <c r="L17" s="100"/>
      <c r="M17" s="1"/>
      <c r="N17" s="1"/>
      <c r="O17" s="1"/>
      <c r="P17" s="1"/>
    </row>
    <row r="18" spans="1:16">
      <c r="A18" s="386"/>
      <c r="B18" s="388"/>
      <c r="C18" s="1" t="s">
        <v>118</v>
      </c>
      <c r="D18" s="4">
        <v>44183</v>
      </c>
      <c r="E18" s="1">
        <v>30</v>
      </c>
      <c r="F18" s="4">
        <f t="shared" si="0"/>
        <v>44213</v>
      </c>
      <c r="G18" s="1">
        <f t="shared" si="3"/>
        <v>-17</v>
      </c>
      <c r="H18" s="100"/>
      <c r="I18" s="100"/>
      <c r="J18" s="100"/>
      <c r="K18" s="100"/>
      <c r="L18" s="100"/>
      <c r="M18" s="1"/>
      <c r="N18" s="1"/>
      <c r="O18" s="1"/>
      <c r="P18" s="1"/>
    </row>
    <row r="19" spans="1:16">
      <c r="A19" s="386"/>
      <c r="B19" s="388"/>
      <c r="C19" s="1" t="s">
        <v>119</v>
      </c>
      <c r="D19" s="4">
        <v>44183</v>
      </c>
      <c r="E19" s="1">
        <v>30</v>
      </c>
      <c r="F19" s="4">
        <f t="shared" si="0"/>
        <v>44213</v>
      </c>
      <c r="G19" s="1">
        <f t="shared" si="3"/>
        <v>-17</v>
      </c>
      <c r="H19" s="100"/>
      <c r="I19" s="100"/>
      <c r="J19" s="100"/>
      <c r="K19" s="100"/>
      <c r="L19" s="100"/>
      <c r="M19" s="1"/>
      <c r="N19" s="1"/>
      <c r="O19" s="1"/>
      <c r="P19" s="1"/>
    </row>
    <row r="20" spans="1:16">
      <c r="A20" s="386"/>
      <c r="B20" s="388"/>
      <c r="C20" s="1" t="s">
        <v>120</v>
      </c>
      <c r="D20" s="4">
        <v>44183</v>
      </c>
      <c r="E20" s="1">
        <v>30</v>
      </c>
      <c r="F20" s="4">
        <f t="shared" si="0"/>
        <v>44213</v>
      </c>
      <c r="G20" s="1">
        <f t="shared" si="3"/>
        <v>-17</v>
      </c>
      <c r="H20" s="100"/>
      <c r="I20" s="100"/>
      <c r="J20" s="100"/>
      <c r="K20" s="100"/>
      <c r="L20" s="100"/>
      <c r="M20" s="1"/>
      <c r="N20" s="1"/>
      <c r="O20" s="1"/>
      <c r="P20" s="1"/>
    </row>
    <row r="21" spans="1:16">
      <c r="A21" s="386"/>
      <c r="B21" s="388"/>
      <c r="C21" s="1" t="s">
        <v>121</v>
      </c>
      <c r="D21" s="4">
        <v>44184</v>
      </c>
      <c r="E21" s="1">
        <v>30</v>
      </c>
      <c r="F21" s="4">
        <f t="shared" si="0"/>
        <v>44214</v>
      </c>
      <c r="G21" s="1">
        <f t="shared" si="3"/>
        <v>-18</v>
      </c>
      <c r="H21" s="100"/>
      <c r="I21" s="100"/>
      <c r="J21" s="100"/>
      <c r="K21" s="100"/>
      <c r="L21" s="100"/>
      <c r="M21" s="1"/>
      <c r="N21" s="1"/>
      <c r="O21" s="1"/>
      <c r="P21" s="1"/>
    </row>
    <row r="22" spans="1:16">
      <c r="A22" s="386"/>
      <c r="B22" s="388"/>
      <c r="C22" s="1" t="s">
        <v>122</v>
      </c>
      <c r="D22" s="4">
        <v>44185</v>
      </c>
      <c r="E22" s="1">
        <v>30</v>
      </c>
      <c r="F22" s="4">
        <f t="shared" si="0"/>
        <v>44215</v>
      </c>
      <c r="G22" s="1">
        <f t="shared" si="3"/>
        <v>-19</v>
      </c>
      <c r="H22" s="100"/>
      <c r="I22" s="100"/>
      <c r="J22" s="100"/>
      <c r="K22" s="100"/>
      <c r="L22" s="100"/>
      <c r="M22" s="1"/>
      <c r="N22" s="1"/>
      <c r="O22" s="1"/>
      <c r="P22" s="1"/>
    </row>
    <row r="23" spans="1:16">
      <c r="A23" s="386"/>
      <c r="B23" s="388"/>
      <c r="C23" s="1" t="s">
        <v>123</v>
      </c>
      <c r="D23" s="4">
        <v>44186</v>
      </c>
      <c r="E23" s="1">
        <v>30</v>
      </c>
      <c r="F23" s="4">
        <f t="shared" si="0"/>
        <v>44216</v>
      </c>
      <c r="G23" s="1">
        <f t="shared" si="3"/>
        <v>-20</v>
      </c>
      <c r="H23" s="100"/>
      <c r="I23" s="100"/>
      <c r="J23" s="100"/>
      <c r="K23" s="100"/>
      <c r="L23" s="100"/>
      <c r="M23" s="1"/>
      <c r="N23" s="1"/>
      <c r="O23" s="1"/>
      <c r="P23" s="1"/>
    </row>
    <row r="24" spans="1:16">
      <c r="A24" s="1"/>
      <c r="B24" s="26"/>
      <c r="C24" s="1"/>
      <c r="D24" s="4"/>
      <c r="E24" s="1"/>
      <c r="F24" s="3"/>
      <c r="G24" s="108"/>
      <c r="H24" s="109"/>
      <c r="I24" s="109"/>
      <c r="J24" s="109"/>
      <c r="K24" s="109"/>
      <c r="L24" s="109"/>
      <c r="M24" s="1"/>
      <c r="N24" s="1"/>
      <c r="O24" s="1"/>
      <c r="P24" s="1"/>
    </row>
    <row r="25" spans="1:16" s="129" customFormat="1">
      <c r="A25" s="389" t="s">
        <v>124</v>
      </c>
      <c r="B25" s="390">
        <f>28118082*0</f>
        <v>0</v>
      </c>
      <c r="C25" s="123"/>
      <c r="D25" s="124">
        <v>44140</v>
      </c>
      <c r="E25" s="125">
        <v>30</v>
      </c>
      <c r="F25" s="124">
        <f t="shared" si="0"/>
        <v>44170</v>
      </c>
      <c r="G25" s="123">
        <f t="shared" ref="G25:G31" si="4">$A$3-F25</f>
        <v>26</v>
      </c>
      <c r="H25" s="126"/>
      <c r="I25" s="126">
        <f>B25</f>
        <v>0</v>
      </c>
      <c r="J25" s="126"/>
      <c r="K25" s="126"/>
      <c r="L25" s="126"/>
      <c r="M25" s="123"/>
      <c r="N25" s="127">
        <v>8249510</v>
      </c>
      <c r="O25" s="128">
        <v>44209</v>
      </c>
      <c r="P25" s="123"/>
    </row>
    <row r="26" spans="1:16" s="129" customFormat="1">
      <c r="A26" s="389"/>
      <c r="B26" s="390"/>
      <c r="C26" s="123"/>
      <c r="D26" s="124">
        <v>44155</v>
      </c>
      <c r="E26" s="125">
        <v>30</v>
      </c>
      <c r="F26" s="124">
        <f t="shared" si="0"/>
        <v>44185</v>
      </c>
      <c r="G26" s="123">
        <f t="shared" si="4"/>
        <v>11</v>
      </c>
      <c r="H26" s="126"/>
      <c r="I26" s="126"/>
      <c r="J26" s="126"/>
      <c r="K26" s="126"/>
      <c r="L26" s="126"/>
      <c r="M26" s="123"/>
      <c r="N26" s="123"/>
      <c r="O26" s="123"/>
      <c r="P26" s="123"/>
    </row>
    <row r="27" spans="1:16" s="129" customFormat="1">
      <c r="A27" s="389"/>
      <c r="B27" s="390"/>
      <c r="C27" s="123"/>
      <c r="D27" s="124">
        <v>44155</v>
      </c>
      <c r="E27" s="125">
        <v>30</v>
      </c>
      <c r="F27" s="124">
        <f t="shared" si="0"/>
        <v>44185</v>
      </c>
      <c r="G27" s="123">
        <f t="shared" si="4"/>
        <v>11</v>
      </c>
      <c r="H27" s="126"/>
      <c r="I27" s="126"/>
      <c r="J27" s="126"/>
      <c r="K27" s="126"/>
      <c r="L27" s="126"/>
      <c r="M27" s="123"/>
      <c r="N27" s="123"/>
      <c r="O27" s="123"/>
      <c r="P27" s="123"/>
    </row>
    <row r="28" spans="1:16" s="129" customFormat="1">
      <c r="A28" s="389"/>
      <c r="B28" s="390"/>
      <c r="C28" s="123"/>
      <c r="D28" s="124">
        <v>44155</v>
      </c>
      <c r="E28" s="125">
        <v>30</v>
      </c>
      <c r="F28" s="124">
        <f t="shared" si="0"/>
        <v>44185</v>
      </c>
      <c r="G28" s="123">
        <f t="shared" si="4"/>
        <v>11</v>
      </c>
      <c r="H28" s="126"/>
      <c r="I28" s="126"/>
      <c r="J28" s="126"/>
      <c r="K28" s="126"/>
      <c r="L28" s="126"/>
      <c r="M28" s="123"/>
      <c r="N28" s="127">
        <f>18727748+1140824</f>
        <v>19868572</v>
      </c>
      <c r="O28" s="128">
        <v>44228</v>
      </c>
      <c r="P28" s="123"/>
    </row>
    <row r="29" spans="1:16" s="129" customFormat="1">
      <c r="A29" s="389"/>
      <c r="B29" s="390"/>
      <c r="C29" s="123"/>
      <c r="D29" s="124">
        <v>44155</v>
      </c>
      <c r="E29" s="125">
        <v>30</v>
      </c>
      <c r="F29" s="124">
        <f t="shared" si="0"/>
        <v>44185</v>
      </c>
      <c r="G29" s="123">
        <f t="shared" si="4"/>
        <v>11</v>
      </c>
      <c r="H29" s="126"/>
      <c r="I29" s="126"/>
      <c r="J29" s="126"/>
      <c r="K29" s="126"/>
      <c r="L29" s="126"/>
      <c r="M29" s="123"/>
      <c r="N29" s="123"/>
      <c r="O29" s="123"/>
      <c r="P29" s="123"/>
    </row>
    <row r="30" spans="1:16" s="129" customFormat="1">
      <c r="A30" s="389"/>
      <c r="B30" s="390"/>
      <c r="C30" s="123"/>
      <c r="D30" s="124">
        <v>44160</v>
      </c>
      <c r="E30" s="125">
        <v>30</v>
      </c>
      <c r="F30" s="124">
        <f t="shared" si="0"/>
        <v>44190</v>
      </c>
      <c r="G30" s="123">
        <f t="shared" si="4"/>
        <v>6</v>
      </c>
      <c r="H30" s="126"/>
      <c r="I30" s="126"/>
      <c r="J30" s="126"/>
      <c r="K30" s="126"/>
      <c r="L30" s="126"/>
      <c r="M30" s="123"/>
      <c r="N30" s="123"/>
      <c r="O30" s="123"/>
      <c r="P30" s="123"/>
    </row>
    <row r="31" spans="1:16" s="129" customFormat="1">
      <c r="A31" s="389"/>
      <c r="B31" s="390"/>
      <c r="C31" s="123"/>
      <c r="D31" s="124">
        <v>44196</v>
      </c>
      <c r="E31" s="125">
        <v>30</v>
      </c>
      <c r="F31" s="124">
        <f t="shared" si="0"/>
        <v>44226</v>
      </c>
      <c r="G31" s="123">
        <f t="shared" si="4"/>
        <v>-30</v>
      </c>
      <c r="H31" s="126"/>
      <c r="I31" s="126"/>
      <c r="J31" s="126"/>
      <c r="K31" s="126"/>
      <c r="L31" s="126"/>
      <c r="M31" s="123"/>
      <c r="N31" s="123"/>
      <c r="O31" s="123"/>
      <c r="P31" s="123"/>
    </row>
    <row r="32" spans="1:16">
      <c r="A32" s="1"/>
      <c r="B32" s="26"/>
      <c r="C32" s="1"/>
      <c r="D32" s="4"/>
      <c r="E32" s="1"/>
      <c r="F32" s="3"/>
      <c r="G32" s="108"/>
      <c r="H32" s="109"/>
      <c r="I32" s="109"/>
      <c r="J32" s="109"/>
      <c r="K32" s="109"/>
      <c r="L32" s="109"/>
      <c r="M32" s="1"/>
      <c r="N32" s="1"/>
      <c r="O32" s="1"/>
      <c r="P32" s="1"/>
    </row>
    <row r="33" spans="1:16">
      <c r="A33" s="386" t="s">
        <v>125</v>
      </c>
      <c r="B33" s="388">
        <v>19540000</v>
      </c>
      <c r="C33" s="1"/>
      <c r="D33" s="4">
        <v>44189</v>
      </c>
      <c r="E33" s="5">
        <v>30</v>
      </c>
      <c r="F33" s="4">
        <f t="shared" si="0"/>
        <v>44219</v>
      </c>
      <c r="G33" s="1">
        <f t="shared" ref="G33:G40" si="5">$A$3-F33</f>
        <v>-23</v>
      </c>
      <c r="H33" s="99">
        <f>B33</f>
        <v>19540000</v>
      </c>
      <c r="I33" s="100"/>
      <c r="J33" s="100"/>
      <c r="K33" s="100"/>
      <c r="L33" s="100"/>
      <c r="M33" s="1"/>
      <c r="N33" s="106">
        <v>16580000</v>
      </c>
      <c r="O33" s="107">
        <v>44198</v>
      </c>
      <c r="P33" s="1"/>
    </row>
    <row r="34" spans="1:16">
      <c r="A34" s="386"/>
      <c r="B34" s="388"/>
      <c r="C34" s="1"/>
      <c r="D34" s="4">
        <v>44190</v>
      </c>
      <c r="E34" s="5">
        <v>30</v>
      </c>
      <c r="F34" s="4">
        <f t="shared" si="0"/>
        <v>44220</v>
      </c>
      <c r="G34" s="1">
        <f t="shared" si="5"/>
        <v>-24</v>
      </c>
      <c r="H34" s="100"/>
      <c r="I34" s="100"/>
      <c r="J34" s="100"/>
      <c r="K34" s="100"/>
      <c r="L34" s="100"/>
      <c r="M34" s="1"/>
      <c r="N34" s="1"/>
      <c r="O34" s="1"/>
      <c r="P34" s="1"/>
    </row>
    <row r="35" spans="1:16">
      <c r="A35" s="386"/>
      <c r="B35" s="388"/>
      <c r="C35" s="1"/>
      <c r="D35" s="4">
        <v>44191</v>
      </c>
      <c r="E35" s="5">
        <v>30</v>
      </c>
      <c r="F35" s="4">
        <f t="shared" si="0"/>
        <v>44221</v>
      </c>
      <c r="G35" s="1">
        <f t="shared" si="5"/>
        <v>-25</v>
      </c>
      <c r="H35" s="100"/>
      <c r="I35" s="100"/>
      <c r="J35" s="100"/>
      <c r="K35" s="100"/>
      <c r="L35" s="100"/>
      <c r="M35" s="1"/>
      <c r="N35" s="1"/>
      <c r="O35" s="1"/>
      <c r="P35" s="1"/>
    </row>
    <row r="36" spans="1:16">
      <c r="A36" s="386"/>
      <c r="B36" s="388"/>
      <c r="C36" s="1"/>
      <c r="D36" s="4">
        <v>44192</v>
      </c>
      <c r="E36" s="5">
        <v>30</v>
      </c>
      <c r="F36" s="4">
        <f t="shared" si="0"/>
        <v>44222</v>
      </c>
      <c r="G36" s="1">
        <f t="shared" si="5"/>
        <v>-26</v>
      </c>
      <c r="H36" s="100"/>
      <c r="I36" s="100"/>
      <c r="J36" s="100"/>
      <c r="K36" s="100"/>
      <c r="L36" s="100"/>
      <c r="M36" s="1"/>
      <c r="N36" s="1"/>
      <c r="O36" s="1"/>
      <c r="P36" s="1"/>
    </row>
    <row r="37" spans="1:16">
      <c r="A37" s="386"/>
      <c r="B37" s="388"/>
      <c r="C37" s="1"/>
      <c r="D37" s="4">
        <v>44193</v>
      </c>
      <c r="E37" s="5">
        <v>30</v>
      </c>
      <c r="F37" s="4">
        <f t="shared" si="0"/>
        <v>44223</v>
      </c>
      <c r="G37" s="1">
        <f t="shared" si="5"/>
        <v>-27</v>
      </c>
      <c r="H37" s="100"/>
      <c r="I37" s="100"/>
      <c r="J37" s="100"/>
      <c r="K37" s="100"/>
      <c r="L37" s="100"/>
      <c r="M37" s="1"/>
      <c r="N37" s="1"/>
      <c r="O37" s="1"/>
      <c r="P37" s="1"/>
    </row>
    <row r="38" spans="1:16">
      <c r="A38" s="386"/>
      <c r="B38" s="388"/>
      <c r="C38" s="1"/>
      <c r="D38" s="4">
        <v>44194</v>
      </c>
      <c r="E38" s="5">
        <v>30</v>
      </c>
      <c r="F38" s="4">
        <f t="shared" si="0"/>
        <v>44224</v>
      </c>
      <c r="G38" s="1">
        <f t="shared" si="5"/>
        <v>-28</v>
      </c>
      <c r="H38" s="100"/>
      <c r="I38" s="100"/>
      <c r="J38" s="100"/>
      <c r="K38" s="100"/>
      <c r="L38" s="100"/>
      <c r="M38" s="1"/>
      <c r="N38" s="106">
        <v>2960000</v>
      </c>
      <c r="O38" s="107">
        <v>44198</v>
      </c>
      <c r="P38" s="1"/>
    </row>
    <row r="39" spans="1:16">
      <c r="A39" s="386"/>
      <c r="B39" s="388"/>
      <c r="C39" s="1"/>
      <c r="D39" s="4">
        <v>44195</v>
      </c>
      <c r="E39" s="5">
        <v>30</v>
      </c>
      <c r="F39" s="4">
        <f t="shared" si="0"/>
        <v>44225</v>
      </c>
      <c r="G39" s="1">
        <f t="shared" si="5"/>
        <v>-29</v>
      </c>
      <c r="H39" s="100"/>
      <c r="I39" s="100"/>
      <c r="J39" s="100"/>
      <c r="K39" s="100"/>
      <c r="L39" s="100"/>
      <c r="M39" s="1"/>
      <c r="N39" s="1"/>
      <c r="O39" s="1"/>
      <c r="P39" s="1"/>
    </row>
    <row r="40" spans="1:16">
      <c r="A40" s="386"/>
      <c r="B40" s="388"/>
      <c r="C40" s="1"/>
      <c r="D40" s="4">
        <v>44196</v>
      </c>
      <c r="E40" s="5">
        <v>30</v>
      </c>
      <c r="F40" s="4">
        <f t="shared" si="0"/>
        <v>44226</v>
      </c>
      <c r="G40" s="1">
        <f t="shared" si="5"/>
        <v>-30</v>
      </c>
      <c r="H40" s="100"/>
      <c r="I40" s="100"/>
      <c r="J40" s="100"/>
      <c r="K40" s="100"/>
      <c r="L40" s="100"/>
      <c r="M40" s="1"/>
      <c r="N40" s="1"/>
      <c r="O40" s="1"/>
      <c r="P40" s="1"/>
    </row>
    <row r="41" spans="1:16">
      <c r="A41" s="1"/>
      <c r="B41" s="26"/>
      <c r="C41" s="1"/>
      <c r="D41" s="4"/>
      <c r="E41" s="1"/>
      <c r="F41" s="3"/>
      <c r="G41" s="108"/>
      <c r="H41" s="109"/>
      <c r="I41" s="109"/>
      <c r="J41" s="109"/>
      <c r="K41" s="109"/>
      <c r="L41" s="109"/>
      <c r="M41" s="1"/>
      <c r="N41" s="1"/>
      <c r="O41" s="1"/>
      <c r="P41" s="1"/>
    </row>
    <row r="42" spans="1:16" hidden="1">
      <c r="A42" s="7" t="s">
        <v>126</v>
      </c>
      <c r="B42" s="78">
        <v>2737181292</v>
      </c>
      <c r="C42" s="1"/>
      <c r="D42" s="4"/>
      <c r="E42" s="1"/>
      <c r="F42" s="3"/>
      <c r="G42" s="108"/>
      <c r="H42" s="109"/>
      <c r="I42" s="109"/>
      <c r="J42" s="109"/>
      <c r="K42" s="109"/>
      <c r="L42" s="109"/>
      <c r="M42" s="110" t="s">
        <v>186</v>
      </c>
      <c r="N42" s="1"/>
      <c r="O42" s="1"/>
      <c r="P42" s="1"/>
    </row>
    <row r="43" spans="1:16" hidden="1">
      <c r="A43" s="7" t="s">
        <v>127</v>
      </c>
      <c r="B43" s="78">
        <v>4654325108</v>
      </c>
      <c r="C43" s="1"/>
      <c r="D43" s="4"/>
      <c r="E43" s="1"/>
      <c r="F43" s="3"/>
      <c r="G43" s="108"/>
      <c r="H43" s="109"/>
      <c r="I43" s="109"/>
      <c r="J43" s="109"/>
      <c r="K43" s="109"/>
      <c r="L43" s="109"/>
      <c r="M43" s="110" t="s">
        <v>186</v>
      </c>
      <c r="N43" s="1"/>
      <c r="O43" s="1"/>
      <c r="P43" s="1"/>
    </row>
    <row r="44" spans="1:16" hidden="1">
      <c r="A44" s="7" t="s">
        <v>128</v>
      </c>
      <c r="B44" s="78">
        <v>28500000</v>
      </c>
      <c r="C44" s="1"/>
      <c r="D44" s="4"/>
      <c r="E44" s="1"/>
      <c r="F44" s="3"/>
      <c r="G44" s="108"/>
      <c r="H44" s="109"/>
      <c r="I44" s="109"/>
      <c r="J44" s="109"/>
      <c r="K44" s="109"/>
      <c r="L44" s="109"/>
      <c r="M44" s="110" t="s">
        <v>186</v>
      </c>
      <c r="N44" s="1"/>
      <c r="O44" s="1"/>
      <c r="P44" s="1"/>
    </row>
    <row r="45" spans="1:16">
      <c r="A45" s="8"/>
      <c r="B45" s="31"/>
      <c r="C45" s="8"/>
      <c r="D45" s="8"/>
      <c r="E45" s="8"/>
      <c r="F45" s="8"/>
      <c r="G45" s="1"/>
      <c r="H45" s="100"/>
      <c r="I45" s="100"/>
      <c r="J45" s="100"/>
      <c r="K45" s="100"/>
      <c r="L45" s="100"/>
      <c r="M45" s="1"/>
      <c r="N45" s="1"/>
      <c r="O45" s="1"/>
      <c r="P45" s="1"/>
    </row>
    <row r="46" spans="1:16">
      <c r="A46" s="5" t="s">
        <v>129</v>
      </c>
      <c r="B46" s="79">
        <v>2960000</v>
      </c>
      <c r="C46" s="1"/>
      <c r="D46" s="35">
        <v>44182</v>
      </c>
      <c r="E46" s="36">
        <v>30</v>
      </c>
      <c r="F46" s="4">
        <f t="shared" ref="F46" si="6">D46+E46</f>
        <v>44212</v>
      </c>
      <c r="G46" s="1">
        <f>$A$3-F46</f>
        <v>-16</v>
      </c>
      <c r="H46" s="100">
        <f>B46</f>
        <v>2960000</v>
      </c>
      <c r="I46" s="100"/>
      <c r="J46" s="100"/>
      <c r="K46" s="100"/>
      <c r="L46" s="100"/>
      <c r="M46" s="1"/>
      <c r="N46" s="106">
        <v>2960000</v>
      </c>
      <c r="O46" s="107">
        <v>44238</v>
      </c>
      <c r="P46" s="1"/>
    </row>
    <row r="47" spans="1:16">
      <c r="A47" s="55"/>
      <c r="B47" s="105"/>
      <c r="C47" s="1"/>
      <c r="D47" s="32"/>
      <c r="E47" s="1"/>
      <c r="F47" s="3"/>
      <c r="G47" s="108"/>
      <c r="H47" s="109"/>
      <c r="I47" s="109"/>
      <c r="J47" s="109"/>
      <c r="K47" s="109"/>
      <c r="L47" s="109"/>
      <c r="M47" s="1"/>
      <c r="N47" s="1"/>
      <c r="O47" s="1"/>
      <c r="P47" s="1"/>
    </row>
    <row r="48" spans="1:16">
      <c r="A48" s="1" t="s">
        <v>130</v>
      </c>
      <c r="B48" s="26">
        <v>370000</v>
      </c>
      <c r="C48" s="1"/>
      <c r="D48" s="4">
        <v>44196</v>
      </c>
      <c r="E48" s="1">
        <v>30</v>
      </c>
      <c r="F48" s="4">
        <f t="shared" ref="F48:F59" si="7">D48+E48</f>
        <v>44226</v>
      </c>
      <c r="G48" s="1">
        <f t="shared" ref="G48:G59" si="8">$A$3-F48</f>
        <v>-30</v>
      </c>
      <c r="H48" s="100">
        <f>B48</f>
        <v>370000</v>
      </c>
      <c r="I48" s="100"/>
      <c r="J48" s="100"/>
      <c r="K48" s="100"/>
      <c r="L48" s="100"/>
      <c r="M48" s="1"/>
      <c r="N48" s="106">
        <v>370000</v>
      </c>
      <c r="O48" s="107">
        <v>44201</v>
      </c>
      <c r="P48" s="1"/>
    </row>
    <row r="49" spans="1:16">
      <c r="A49" s="1" t="s">
        <v>131</v>
      </c>
      <c r="B49" s="26">
        <v>370000</v>
      </c>
      <c r="C49" s="1"/>
      <c r="D49" s="4">
        <v>44195</v>
      </c>
      <c r="E49" s="1">
        <v>30</v>
      </c>
      <c r="F49" s="4">
        <f t="shared" si="7"/>
        <v>44225</v>
      </c>
      <c r="G49" s="1">
        <f t="shared" si="8"/>
        <v>-29</v>
      </c>
      <c r="H49" s="100">
        <f>B49</f>
        <v>370000</v>
      </c>
      <c r="I49" s="100"/>
      <c r="J49" s="100"/>
      <c r="K49" s="100"/>
      <c r="L49" s="100"/>
      <c r="M49" s="1"/>
      <c r="N49" s="106">
        <v>370000</v>
      </c>
      <c r="O49" s="107">
        <v>44200</v>
      </c>
      <c r="P49" s="1"/>
    </row>
    <row r="50" spans="1:16">
      <c r="A50" s="1" t="s">
        <v>132</v>
      </c>
      <c r="B50" s="26">
        <v>1850000</v>
      </c>
      <c r="C50" s="1"/>
      <c r="D50" s="4">
        <v>44195</v>
      </c>
      <c r="E50" s="1">
        <v>30</v>
      </c>
      <c r="F50" s="4">
        <f t="shared" si="7"/>
        <v>44225</v>
      </c>
      <c r="G50" s="1">
        <f t="shared" si="8"/>
        <v>-29</v>
      </c>
      <c r="H50" s="100">
        <f>B50</f>
        <v>1850000</v>
      </c>
      <c r="I50" s="100"/>
      <c r="J50" s="100"/>
      <c r="K50" s="100"/>
      <c r="L50" s="100"/>
      <c r="M50" s="1"/>
      <c r="N50" s="106">
        <v>1850000</v>
      </c>
      <c r="O50" s="107">
        <v>44200</v>
      </c>
      <c r="P50" s="1"/>
    </row>
    <row r="51" spans="1:16">
      <c r="A51" s="386" t="s">
        <v>133</v>
      </c>
      <c r="B51" s="388">
        <v>990000</v>
      </c>
      <c r="C51" s="1"/>
      <c r="D51" s="4">
        <v>44152</v>
      </c>
      <c r="E51" s="5">
        <v>30</v>
      </c>
      <c r="F51" s="4">
        <f t="shared" si="7"/>
        <v>44182</v>
      </c>
      <c r="G51" s="1">
        <f t="shared" si="8"/>
        <v>14</v>
      </c>
      <c r="H51" s="100"/>
      <c r="I51" s="100">
        <f>B51</f>
        <v>990000</v>
      </c>
      <c r="J51" s="100"/>
      <c r="K51" s="100"/>
      <c r="L51" s="100"/>
      <c r="M51" s="1"/>
      <c r="N51" s="106">
        <v>990000</v>
      </c>
      <c r="O51" s="107">
        <v>44228</v>
      </c>
      <c r="P51" s="1"/>
    </row>
    <row r="52" spans="1:16">
      <c r="A52" s="386"/>
      <c r="B52" s="388"/>
      <c r="C52" s="1"/>
      <c r="D52" s="4">
        <v>44160</v>
      </c>
      <c r="E52" s="5">
        <v>30</v>
      </c>
      <c r="F52" s="4">
        <f t="shared" si="7"/>
        <v>44190</v>
      </c>
      <c r="G52" s="1">
        <f t="shared" si="8"/>
        <v>6</v>
      </c>
      <c r="H52" s="100"/>
      <c r="I52" s="100"/>
      <c r="J52" s="100"/>
      <c r="K52" s="100"/>
      <c r="L52" s="100"/>
      <c r="M52" s="1"/>
      <c r="N52" s="1"/>
      <c r="O52" s="1"/>
      <c r="P52" s="1"/>
    </row>
    <row r="53" spans="1:16">
      <c r="A53" s="386"/>
      <c r="B53" s="388"/>
      <c r="C53" s="1"/>
      <c r="D53" s="4">
        <v>44163</v>
      </c>
      <c r="E53" s="5">
        <v>30</v>
      </c>
      <c r="F53" s="4">
        <f t="shared" si="7"/>
        <v>44193</v>
      </c>
      <c r="G53" s="1">
        <f t="shared" si="8"/>
        <v>3</v>
      </c>
      <c r="H53" s="100"/>
      <c r="I53" s="100"/>
      <c r="J53" s="100"/>
      <c r="K53" s="100"/>
      <c r="L53" s="100"/>
      <c r="M53" s="1"/>
      <c r="N53" s="1"/>
      <c r="O53" s="1"/>
      <c r="P53" s="1"/>
    </row>
    <row r="54" spans="1:16">
      <c r="A54" s="386"/>
      <c r="B54" s="388"/>
      <c r="C54" s="1"/>
      <c r="D54" s="4">
        <v>44169</v>
      </c>
      <c r="E54" s="5">
        <v>30</v>
      </c>
      <c r="F54" s="4">
        <f t="shared" si="7"/>
        <v>44199</v>
      </c>
      <c r="G54" s="1">
        <f t="shared" si="8"/>
        <v>-3</v>
      </c>
      <c r="H54" s="100"/>
      <c r="I54" s="100"/>
      <c r="J54" s="100"/>
      <c r="K54" s="100"/>
      <c r="L54" s="100"/>
      <c r="M54" s="1"/>
      <c r="N54" s="1"/>
      <c r="O54" s="1"/>
      <c r="P54" s="1"/>
    </row>
    <row r="55" spans="1:16">
      <c r="A55" s="386"/>
      <c r="B55" s="388"/>
      <c r="C55" s="1"/>
      <c r="D55" s="4">
        <v>44173</v>
      </c>
      <c r="E55" s="5">
        <v>30</v>
      </c>
      <c r="F55" s="4">
        <f t="shared" si="7"/>
        <v>44203</v>
      </c>
      <c r="G55" s="1">
        <f t="shared" si="8"/>
        <v>-7</v>
      </c>
      <c r="H55" s="100"/>
      <c r="I55" s="100"/>
      <c r="J55" s="100"/>
      <c r="K55" s="100"/>
      <c r="L55" s="100"/>
      <c r="M55" s="1"/>
      <c r="N55" s="1"/>
      <c r="O55" s="1"/>
      <c r="P55" s="1"/>
    </row>
    <row r="56" spans="1:16">
      <c r="A56" s="386"/>
      <c r="B56" s="388"/>
      <c r="C56" s="1"/>
      <c r="D56" s="4">
        <v>44175</v>
      </c>
      <c r="E56" s="5">
        <v>30</v>
      </c>
      <c r="F56" s="4">
        <f t="shared" si="7"/>
        <v>44205</v>
      </c>
      <c r="G56" s="1">
        <f t="shared" si="8"/>
        <v>-9</v>
      </c>
      <c r="H56" s="100"/>
      <c r="I56" s="100"/>
      <c r="J56" s="100"/>
      <c r="K56" s="100"/>
      <c r="L56" s="100"/>
      <c r="M56" s="1"/>
      <c r="N56" s="1"/>
      <c r="O56" s="1"/>
      <c r="P56" s="1"/>
    </row>
    <row r="57" spans="1:16">
      <c r="A57" s="386"/>
      <c r="B57" s="388"/>
      <c r="C57" s="1"/>
      <c r="D57" s="4">
        <v>44184</v>
      </c>
      <c r="E57" s="5">
        <v>30</v>
      </c>
      <c r="F57" s="4">
        <f t="shared" si="7"/>
        <v>44214</v>
      </c>
      <c r="G57" s="1">
        <f t="shared" si="8"/>
        <v>-18</v>
      </c>
      <c r="H57" s="100"/>
      <c r="I57" s="100"/>
      <c r="J57" s="100"/>
      <c r="K57" s="100"/>
      <c r="L57" s="100"/>
      <c r="M57" s="1"/>
      <c r="N57" s="1"/>
      <c r="O57" s="1"/>
      <c r="P57" s="1"/>
    </row>
    <row r="58" spans="1:16">
      <c r="A58" s="386"/>
      <c r="B58" s="388"/>
      <c r="C58" s="1"/>
      <c r="D58" s="4">
        <v>44191</v>
      </c>
      <c r="E58" s="5">
        <v>30</v>
      </c>
      <c r="F58" s="4">
        <f t="shared" si="7"/>
        <v>44221</v>
      </c>
      <c r="G58" s="1">
        <f t="shared" si="8"/>
        <v>-25</v>
      </c>
      <c r="H58" s="100"/>
      <c r="I58" s="100"/>
      <c r="J58" s="100"/>
      <c r="K58" s="100"/>
      <c r="L58" s="100"/>
      <c r="M58" s="1"/>
      <c r="N58" s="1"/>
      <c r="O58" s="1"/>
      <c r="P58" s="1"/>
    </row>
    <row r="59" spans="1:16">
      <c r="A59" s="386"/>
      <c r="B59" s="388"/>
      <c r="C59" s="1"/>
      <c r="D59" s="4">
        <v>44196</v>
      </c>
      <c r="E59" s="5">
        <v>30</v>
      </c>
      <c r="F59" s="4">
        <f t="shared" si="7"/>
        <v>44226</v>
      </c>
      <c r="G59" s="1">
        <f t="shared" si="8"/>
        <v>-30</v>
      </c>
      <c r="H59" s="100"/>
      <c r="I59" s="100"/>
      <c r="J59" s="100"/>
      <c r="K59" s="100"/>
      <c r="L59" s="100"/>
      <c r="M59" s="1"/>
      <c r="N59" s="1"/>
      <c r="O59" s="1"/>
      <c r="P59" s="1"/>
    </row>
    <row r="60" spans="1:16">
      <c r="A60" s="1"/>
      <c r="B60" s="26"/>
      <c r="C60" s="1"/>
      <c r="D60" s="4"/>
      <c r="E60" s="5"/>
      <c r="F60" s="3"/>
      <c r="G60" s="108"/>
      <c r="H60" s="109"/>
      <c r="I60" s="109"/>
      <c r="J60" s="109"/>
      <c r="K60" s="109"/>
      <c r="L60" s="109"/>
      <c r="M60" s="1"/>
      <c r="N60" s="1"/>
      <c r="O60" s="1"/>
      <c r="P60" s="1"/>
    </row>
    <row r="61" spans="1:16" hidden="1">
      <c r="A61" s="7" t="s">
        <v>134</v>
      </c>
      <c r="B61" s="78">
        <f>5446400</f>
        <v>5446400</v>
      </c>
      <c r="C61" s="1"/>
      <c r="D61" s="4"/>
      <c r="E61" s="1"/>
      <c r="F61" s="3"/>
      <c r="G61" s="108"/>
      <c r="H61" s="109"/>
      <c r="I61" s="109"/>
      <c r="J61" s="109"/>
      <c r="K61" s="109"/>
      <c r="L61" s="109">
        <f>B61*0</f>
        <v>0</v>
      </c>
      <c r="M61" s="111" t="s">
        <v>153</v>
      </c>
      <c r="N61" s="1"/>
      <c r="O61" s="1"/>
      <c r="P61" s="1"/>
    </row>
    <row r="62" spans="1:16">
      <c r="A62" s="1" t="s">
        <v>135</v>
      </c>
      <c r="B62" s="89">
        <v>602810.34</v>
      </c>
      <c r="C62" s="1"/>
      <c r="D62" s="4">
        <v>44196</v>
      </c>
      <c r="E62" s="1">
        <v>30</v>
      </c>
      <c r="F62" s="90">
        <f>D62+E62</f>
        <v>44226</v>
      </c>
      <c r="G62" s="108"/>
      <c r="H62" s="109"/>
      <c r="I62" s="109"/>
      <c r="J62" s="109"/>
      <c r="K62" s="109"/>
      <c r="L62" s="109">
        <f>B62</f>
        <v>602810.34</v>
      </c>
      <c r="M62" s="1" t="s">
        <v>152</v>
      </c>
      <c r="N62" s="1"/>
      <c r="O62" s="1"/>
      <c r="P62" s="1"/>
    </row>
    <row r="63" spans="1:16">
      <c r="A63" s="1" t="s">
        <v>136</v>
      </c>
      <c r="B63" s="89">
        <f>462000</f>
        <v>462000</v>
      </c>
      <c r="C63" s="1"/>
      <c r="D63" s="4">
        <v>44196</v>
      </c>
      <c r="E63" s="1">
        <v>30</v>
      </c>
      <c r="F63" s="90">
        <f>D63+E63</f>
        <v>44226</v>
      </c>
      <c r="G63" s="108"/>
      <c r="H63" s="109"/>
      <c r="I63" s="109"/>
      <c r="J63" s="109"/>
      <c r="K63" s="109"/>
      <c r="L63" s="109">
        <f>B63</f>
        <v>462000</v>
      </c>
      <c r="M63" s="1" t="s">
        <v>152</v>
      </c>
      <c r="N63" s="1"/>
      <c r="O63" s="1"/>
      <c r="P63" s="1"/>
    </row>
    <row r="64" spans="1:16" hidden="1">
      <c r="A64" s="7" t="s">
        <v>137</v>
      </c>
      <c r="B64" s="78">
        <f>4560000</f>
        <v>4560000</v>
      </c>
      <c r="C64" s="1"/>
      <c r="D64" s="4"/>
      <c r="E64" s="1"/>
      <c r="F64" s="3"/>
      <c r="G64" s="108"/>
      <c r="H64" s="109"/>
      <c r="I64" s="109"/>
      <c r="J64" s="109"/>
      <c r="K64" s="109"/>
      <c r="L64" s="109">
        <f>B64*0</f>
        <v>0</v>
      </c>
      <c r="M64" s="111" t="s">
        <v>153</v>
      </c>
      <c r="N64" s="1"/>
      <c r="O64" s="1"/>
      <c r="P64" s="1"/>
    </row>
    <row r="65" spans="1:16">
      <c r="A65" s="1" t="s">
        <v>138</v>
      </c>
      <c r="B65" s="89">
        <v>113500</v>
      </c>
      <c r="C65" s="1"/>
      <c r="D65" s="4">
        <v>44196</v>
      </c>
      <c r="E65" s="1">
        <v>30</v>
      </c>
      <c r="F65" s="90">
        <f>D65+E65</f>
        <v>44226</v>
      </c>
      <c r="G65" s="108"/>
      <c r="H65" s="109"/>
      <c r="I65" s="109"/>
      <c r="J65" s="109"/>
      <c r="K65" s="109"/>
      <c r="L65" s="109">
        <f>B65</f>
        <v>113500</v>
      </c>
      <c r="M65" s="1" t="s">
        <v>152</v>
      </c>
      <c r="N65" s="1"/>
      <c r="O65" s="1"/>
      <c r="P65" s="1"/>
    </row>
    <row r="66" spans="1:16" hidden="1">
      <c r="A66" s="7" t="s">
        <v>139</v>
      </c>
      <c r="B66" s="78">
        <v>20000</v>
      </c>
      <c r="C66" s="1"/>
      <c r="D66" s="4"/>
      <c r="E66" s="1"/>
      <c r="F66" s="3"/>
      <c r="G66" s="108"/>
      <c r="H66" s="109"/>
      <c r="I66" s="109"/>
      <c r="J66" s="109"/>
      <c r="K66" s="109"/>
      <c r="L66" s="109">
        <f>B66*0</f>
        <v>0</v>
      </c>
      <c r="M66" s="111" t="s">
        <v>205</v>
      </c>
      <c r="N66" s="1"/>
      <c r="O66" s="1"/>
      <c r="P66" s="1"/>
    </row>
    <row r="67" spans="1:16" hidden="1">
      <c r="A67" s="7" t="s">
        <v>140</v>
      </c>
      <c r="B67" s="78">
        <v>6716500</v>
      </c>
      <c r="C67" s="1"/>
      <c r="D67" s="4"/>
      <c r="E67" s="1"/>
      <c r="F67" s="3"/>
      <c r="G67" s="108"/>
      <c r="H67" s="109"/>
      <c r="I67" s="109"/>
      <c r="J67" s="109"/>
      <c r="K67" s="109"/>
      <c r="L67" s="109">
        <f>B67*0</f>
        <v>0</v>
      </c>
      <c r="M67" s="111" t="s">
        <v>205</v>
      </c>
      <c r="N67" s="1"/>
      <c r="O67" s="1"/>
      <c r="P67" s="1"/>
    </row>
    <row r="68" spans="1:16" hidden="1">
      <c r="A68" s="7" t="s">
        <v>141</v>
      </c>
      <c r="B68" s="78">
        <f>2635000</f>
        <v>2635000</v>
      </c>
      <c r="C68" s="1"/>
      <c r="D68" s="4"/>
      <c r="E68" s="1"/>
      <c r="F68" s="3"/>
      <c r="G68" s="108"/>
      <c r="H68" s="109"/>
      <c r="I68" s="109"/>
      <c r="J68" s="109"/>
      <c r="K68" s="109"/>
      <c r="L68" s="109">
        <f>B68*0</f>
        <v>0</v>
      </c>
      <c r="M68" s="111" t="s">
        <v>153</v>
      </c>
      <c r="N68" s="1"/>
      <c r="O68" s="1"/>
      <c r="P68" s="1"/>
    </row>
    <row r="69" spans="1:16">
      <c r="A69" s="10"/>
      <c r="B69" s="80"/>
      <c r="C69" s="10"/>
      <c r="D69" s="11"/>
      <c r="E69" s="10"/>
      <c r="F69" s="10"/>
      <c r="G69" s="1"/>
      <c r="H69" s="100"/>
      <c r="I69" s="100"/>
      <c r="J69" s="100"/>
      <c r="K69" s="100"/>
      <c r="L69" s="100"/>
      <c r="M69" s="1"/>
      <c r="N69" s="1"/>
      <c r="O69" s="1"/>
      <c r="P69" s="1"/>
    </row>
    <row r="70" spans="1:16">
      <c r="A70" s="1" t="s">
        <v>142</v>
      </c>
      <c r="B70" s="26">
        <v>10500000</v>
      </c>
      <c r="C70" s="1"/>
      <c r="D70" s="4"/>
      <c r="E70" s="1"/>
      <c r="F70" s="3"/>
      <c r="G70" s="108"/>
      <c r="H70" s="109"/>
      <c r="I70" s="109"/>
      <c r="J70" s="109"/>
      <c r="K70" s="109"/>
      <c r="L70" s="109">
        <f>B70</f>
        <v>10500000</v>
      </c>
      <c r="M70" s="5" t="s">
        <v>154</v>
      </c>
      <c r="N70" s="1"/>
      <c r="O70" s="1"/>
      <c r="P70" s="1"/>
    </row>
    <row r="71" spans="1:16">
      <c r="A71" s="1" t="s">
        <v>143</v>
      </c>
      <c r="B71" s="26">
        <v>500000000</v>
      </c>
      <c r="C71" s="1"/>
      <c r="D71" s="4"/>
      <c r="E71" s="1"/>
      <c r="F71" s="3"/>
      <c r="G71" s="108"/>
      <c r="H71" s="109"/>
      <c r="I71" s="109"/>
      <c r="J71" s="109"/>
      <c r="K71" s="109"/>
      <c r="L71" s="109">
        <f t="shared" ref="L71:L72" si="9">B71</f>
        <v>500000000</v>
      </c>
      <c r="M71" s="5" t="s">
        <v>154</v>
      </c>
      <c r="N71" s="1"/>
      <c r="O71" s="1"/>
      <c r="P71" s="1"/>
    </row>
    <row r="72" spans="1:16">
      <c r="A72" s="1" t="s">
        <v>144</v>
      </c>
      <c r="B72" s="26">
        <v>6000000000</v>
      </c>
      <c r="C72" s="1"/>
      <c r="D72" s="4"/>
      <c r="E72" s="1"/>
      <c r="F72" s="3"/>
      <c r="G72" s="108"/>
      <c r="H72" s="109"/>
      <c r="I72" s="109"/>
      <c r="J72" s="109"/>
      <c r="K72" s="109"/>
      <c r="L72" s="109">
        <f t="shared" si="9"/>
        <v>6000000000</v>
      </c>
      <c r="M72" s="5" t="s">
        <v>154</v>
      </c>
      <c r="N72" s="1"/>
      <c r="O72" s="1"/>
      <c r="P72" s="1"/>
    </row>
    <row r="73" spans="1:16">
      <c r="A73" s="2" t="s">
        <v>145</v>
      </c>
      <c r="B73" s="30">
        <v>1356415877</v>
      </c>
      <c r="C73" s="1"/>
      <c r="D73" s="3"/>
      <c r="E73" s="1"/>
      <c r="F73" s="3"/>
      <c r="G73" s="108"/>
      <c r="H73" s="109"/>
      <c r="I73" s="109"/>
      <c r="J73" s="109"/>
      <c r="K73" s="109"/>
      <c r="L73" s="109"/>
      <c r="M73" s="1"/>
      <c r="N73" s="1"/>
      <c r="O73" s="1"/>
      <c r="P73" s="1"/>
    </row>
    <row r="74" spans="1:16">
      <c r="A74" s="1" t="s">
        <v>145</v>
      </c>
      <c r="B74" s="85">
        <v>655479141</v>
      </c>
      <c r="C74" s="1"/>
      <c r="D74" s="77">
        <v>44136</v>
      </c>
      <c r="E74" s="1">
        <v>30</v>
      </c>
      <c r="F74" s="9">
        <f>D74+E74</f>
        <v>44166</v>
      </c>
      <c r="G74" s="1">
        <f>$A$3-F74</f>
        <v>30</v>
      </c>
      <c r="H74" s="109"/>
      <c r="I74" s="109">
        <f>B74</f>
        <v>655479141</v>
      </c>
      <c r="J74" s="109"/>
      <c r="K74" s="109"/>
      <c r="L74" s="109"/>
      <c r="M74" s="1"/>
      <c r="N74" s="1"/>
      <c r="O74" s="1"/>
      <c r="P74" s="1"/>
    </row>
    <row r="75" spans="1:16">
      <c r="A75" s="1" t="s">
        <v>145</v>
      </c>
      <c r="B75" s="87">
        <v>13123186</v>
      </c>
      <c r="C75" s="1"/>
      <c r="D75" s="77">
        <v>44166</v>
      </c>
      <c r="E75" s="1">
        <v>30</v>
      </c>
      <c r="F75" s="9">
        <f t="shared" ref="F75:F96" si="10">D75+E75</f>
        <v>44196</v>
      </c>
      <c r="G75" s="1">
        <f t="shared" ref="G75:G96" si="11">$A$3-F75</f>
        <v>0</v>
      </c>
      <c r="H75" s="109">
        <f>B75</f>
        <v>13123186</v>
      </c>
      <c r="I75" s="109"/>
      <c r="J75" s="109"/>
      <c r="K75" s="109"/>
      <c r="L75" s="109"/>
      <c r="M75" s="1"/>
      <c r="N75" s="39">
        <v>13123186</v>
      </c>
      <c r="O75" s="4">
        <v>44201</v>
      </c>
      <c r="P75" s="1" t="s">
        <v>206</v>
      </c>
    </row>
    <row r="76" spans="1:16">
      <c r="A76" s="1" t="s">
        <v>145</v>
      </c>
      <c r="B76" s="87">
        <v>10478160</v>
      </c>
      <c r="C76" s="1"/>
      <c r="D76" s="77">
        <v>44166</v>
      </c>
      <c r="E76" s="1">
        <v>30</v>
      </c>
      <c r="F76" s="9">
        <f t="shared" si="10"/>
        <v>44196</v>
      </c>
      <c r="G76" s="1">
        <f t="shared" si="11"/>
        <v>0</v>
      </c>
      <c r="H76" s="109">
        <f t="shared" ref="H76:H96" si="12">B76</f>
        <v>10478160</v>
      </c>
      <c r="I76" s="109"/>
      <c r="J76" s="109"/>
      <c r="K76" s="109"/>
      <c r="L76" s="109"/>
      <c r="M76" s="1"/>
      <c r="N76" s="27">
        <f>B76+B77+B78+B79</f>
        <v>49138204.5</v>
      </c>
      <c r="O76" s="4">
        <v>44236</v>
      </c>
      <c r="P76" s="1" t="s">
        <v>202</v>
      </c>
    </row>
    <row r="77" spans="1:16">
      <c r="A77" s="1" t="s">
        <v>145</v>
      </c>
      <c r="B77" s="87">
        <v>13970880</v>
      </c>
      <c r="C77" s="1"/>
      <c r="D77" s="77">
        <v>44167</v>
      </c>
      <c r="E77" s="1">
        <v>30</v>
      </c>
      <c r="F77" s="9">
        <f t="shared" si="10"/>
        <v>44197</v>
      </c>
      <c r="G77" s="1">
        <f t="shared" si="11"/>
        <v>-1</v>
      </c>
      <c r="H77" s="109">
        <f t="shared" si="12"/>
        <v>13970880</v>
      </c>
      <c r="I77" s="109"/>
      <c r="J77" s="109"/>
      <c r="K77" s="109"/>
      <c r="L77" s="109"/>
      <c r="M77" s="1"/>
      <c r="N77" s="39">
        <v>0</v>
      </c>
      <c r="O77" s="1"/>
      <c r="P77" s="1"/>
    </row>
    <row r="78" spans="1:16">
      <c r="A78" s="1" t="s">
        <v>145</v>
      </c>
      <c r="B78" s="87">
        <v>13949050.5</v>
      </c>
      <c r="C78" s="1"/>
      <c r="D78" s="77">
        <v>44168</v>
      </c>
      <c r="E78" s="1">
        <v>30</v>
      </c>
      <c r="F78" s="9">
        <f t="shared" si="10"/>
        <v>44198</v>
      </c>
      <c r="G78" s="1">
        <f t="shared" si="11"/>
        <v>-2</v>
      </c>
      <c r="H78" s="109">
        <f t="shared" si="12"/>
        <v>13949050.5</v>
      </c>
      <c r="I78" s="109"/>
      <c r="J78" s="109"/>
      <c r="K78" s="109"/>
      <c r="L78" s="109"/>
      <c r="M78" s="1"/>
      <c r="N78" s="39">
        <v>0</v>
      </c>
      <c r="O78" s="1"/>
      <c r="P78" s="1"/>
    </row>
    <row r="79" spans="1:16">
      <c r="A79" s="1" t="s">
        <v>145</v>
      </c>
      <c r="B79" s="87">
        <v>10740114</v>
      </c>
      <c r="C79" s="1"/>
      <c r="D79" s="77">
        <v>44169</v>
      </c>
      <c r="E79" s="1">
        <v>30</v>
      </c>
      <c r="F79" s="9">
        <f t="shared" si="10"/>
        <v>44199</v>
      </c>
      <c r="G79" s="1">
        <f t="shared" si="11"/>
        <v>-3</v>
      </c>
      <c r="H79" s="109">
        <f t="shared" si="12"/>
        <v>10740114</v>
      </c>
      <c r="I79" s="109"/>
      <c r="J79" s="109"/>
      <c r="K79" s="109"/>
      <c r="L79" s="109"/>
      <c r="M79" s="1"/>
      <c r="N79" s="39">
        <v>0</v>
      </c>
      <c r="O79" s="1"/>
      <c r="P79" s="1"/>
    </row>
    <row r="80" spans="1:16">
      <c r="A80" s="1" t="s">
        <v>145</v>
      </c>
      <c r="B80" s="87">
        <v>9422899.1999999993</v>
      </c>
      <c r="C80" s="1"/>
      <c r="D80" s="77">
        <v>44173</v>
      </c>
      <c r="E80" s="1">
        <v>30</v>
      </c>
      <c r="F80" s="9">
        <f t="shared" si="10"/>
        <v>44203</v>
      </c>
      <c r="G80" s="1">
        <f t="shared" si="11"/>
        <v>-7</v>
      </c>
      <c r="H80" s="109">
        <f t="shared" si="12"/>
        <v>9422899.1999999993</v>
      </c>
      <c r="I80" s="109"/>
      <c r="J80" s="109"/>
      <c r="K80" s="109"/>
      <c r="L80" s="109"/>
      <c r="M80" s="1"/>
      <c r="N80" s="27">
        <f>B80+B81+B82+B84</f>
        <v>31445356.799999997</v>
      </c>
      <c r="O80" s="4">
        <v>44244</v>
      </c>
      <c r="P80" s="1" t="s">
        <v>202</v>
      </c>
    </row>
    <row r="81" spans="1:16">
      <c r="A81" s="1" t="s">
        <v>145</v>
      </c>
      <c r="B81" s="87">
        <v>9440745.5999999996</v>
      </c>
      <c r="C81" s="1"/>
      <c r="D81" s="77">
        <v>44176</v>
      </c>
      <c r="E81" s="1">
        <v>30</v>
      </c>
      <c r="F81" s="9">
        <f t="shared" si="10"/>
        <v>44206</v>
      </c>
      <c r="G81" s="1">
        <f t="shared" si="11"/>
        <v>-10</v>
      </c>
      <c r="H81" s="109">
        <f t="shared" si="12"/>
        <v>9440745.5999999996</v>
      </c>
      <c r="I81" s="109"/>
      <c r="J81" s="109"/>
      <c r="K81" s="109"/>
      <c r="L81" s="109"/>
      <c r="M81" s="1"/>
      <c r="N81" s="39">
        <v>0</v>
      </c>
      <c r="O81" s="1"/>
      <c r="P81" s="1"/>
    </row>
    <row r="82" spans="1:16">
      <c r="A82" s="1" t="s">
        <v>145</v>
      </c>
      <c r="B82" s="87">
        <v>6281932.7999999998</v>
      </c>
      <c r="C82" s="1"/>
      <c r="D82" s="77">
        <v>44180</v>
      </c>
      <c r="E82" s="1">
        <v>30</v>
      </c>
      <c r="F82" s="9">
        <f t="shared" si="10"/>
        <v>44210</v>
      </c>
      <c r="G82" s="1">
        <f t="shared" si="11"/>
        <v>-14</v>
      </c>
      <c r="H82" s="109">
        <f t="shared" si="12"/>
        <v>6281932.7999999998</v>
      </c>
      <c r="I82" s="109"/>
      <c r="J82" s="109"/>
      <c r="K82" s="109"/>
      <c r="L82" s="109"/>
      <c r="M82" s="1"/>
      <c r="N82" s="39">
        <v>0</v>
      </c>
      <c r="O82" s="1"/>
      <c r="P82" s="1"/>
    </row>
    <row r="83" spans="1:16">
      <c r="A83" s="1" t="s">
        <v>145</v>
      </c>
      <c r="B83" s="88">
        <v>206625534</v>
      </c>
      <c r="C83" s="1"/>
      <c r="D83" s="77">
        <v>44181</v>
      </c>
      <c r="E83" s="1">
        <v>30</v>
      </c>
      <c r="F83" s="9">
        <f t="shared" si="10"/>
        <v>44211</v>
      </c>
      <c r="G83" s="1">
        <f t="shared" si="11"/>
        <v>-15</v>
      </c>
      <c r="H83" s="109">
        <f t="shared" si="12"/>
        <v>206625534</v>
      </c>
      <c r="I83" s="109"/>
      <c r="J83" s="109"/>
      <c r="K83" s="109"/>
      <c r="L83" s="109"/>
      <c r="M83" s="1"/>
      <c r="N83" s="27">
        <f>B83</f>
        <v>206625534</v>
      </c>
      <c r="O83" s="4">
        <v>44201</v>
      </c>
      <c r="P83" s="1" t="s">
        <v>206</v>
      </c>
    </row>
    <row r="84" spans="1:16">
      <c r="A84" s="1" t="s">
        <v>145</v>
      </c>
      <c r="B84" s="87">
        <v>6299779.2000000002</v>
      </c>
      <c r="C84" s="1"/>
      <c r="D84" s="77">
        <v>44181</v>
      </c>
      <c r="E84" s="1">
        <v>30</v>
      </c>
      <c r="F84" s="9">
        <f t="shared" si="10"/>
        <v>44211</v>
      </c>
      <c r="G84" s="1">
        <f t="shared" si="11"/>
        <v>-15</v>
      </c>
      <c r="H84" s="109">
        <f t="shared" si="12"/>
        <v>6299779.2000000002</v>
      </c>
      <c r="I84" s="109"/>
      <c r="J84" s="109"/>
      <c r="K84" s="109"/>
      <c r="L84" s="109"/>
      <c r="M84" s="1"/>
      <c r="N84" s="39">
        <v>0</v>
      </c>
      <c r="O84" s="1"/>
      <c r="P84" s="1"/>
    </row>
    <row r="85" spans="1:16">
      <c r="A85" s="1" t="s">
        <v>145</v>
      </c>
      <c r="B85" s="87">
        <v>6281932.7999999998</v>
      </c>
      <c r="C85" s="1"/>
      <c r="D85" s="77">
        <v>44182</v>
      </c>
      <c r="E85" s="1">
        <v>30</v>
      </c>
      <c r="F85" s="9">
        <f t="shared" si="10"/>
        <v>44212</v>
      </c>
      <c r="G85" s="1">
        <f t="shared" si="11"/>
        <v>-16</v>
      </c>
      <c r="H85" s="109">
        <f t="shared" si="12"/>
        <v>6281932.7999999998</v>
      </c>
      <c r="I85" s="109"/>
      <c r="J85" s="109"/>
      <c r="K85" s="109"/>
      <c r="L85" s="109"/>
      <c r="M85" s="1"/>
      <c r="N85" s="65">
        <f>B85+B86+B87+B89+B90+B92+B93+B94+B95</f>
        <v>60035289.600000009</v>
      </c>
      <c r="O85" s="4">
        <v>44260</v>
      </c>
      <c r="P85" s="1" t="s">
        <v>202</v>
      </c>
    </row>
    <row r="86" spans="1:16">
      <c r="A86" s="1" t="s">
        <v>145</v>
      </c>
      <c r="B86" s="87">
        <v>6299779.2000000002</v>
      </c>
      <c r="C86" s="1"/>
      <c r="D86" s="77">
        <v>44183</v>
      </c>
      <c r="E86" s="1">
        <v>30</v>
      </c>
      <c r="F86" s="9">
        <f t="shared" si="10"/>
        <v>44213</v>
      </c>
      <c r="G86" s="1">
        <f t="shared" si="11"/>
        <v>-17</v>
      </c>
      <c r="H86" s="109">
        <f t="shared" si="12"/>
        <v>6299779.2000000002</v>
      </c>
      <c r="I86" s="109"/>
      <c r="J86" s="109"/>
      <c r="K86" s="109"/>
      <c r="L86" s="109"/>
      <c r="M86" s="1"/>
      <c r="N86" s="39">
        <v>0</v>
      </c>
      <c r="O86" s="1"/>
      <c r="P86" s="1"/>
    </row>
    <row r="87" spans="1:16">
      <c r="A87" s="1" t="s">
        <v>145</v>
      </c>
      <c r="B87" s="87">
        <v>6264086.4000000004</v>
      </c>
      <c r="C87" s="1"/>
      <c r="D87" s="77">
        <v>44184</v>
      </c>
      <c r="E87" s="1">
        <v>30</v>
      </c>
      <c r="F87" s="9">
        <f t="shared" si="10"/>
        <v>44214</v>
      </c>
      <c r="G87" s="1">
        <f t="shared" si="11"/>
        <v>-18</v>
      </c>
      <c r="H87" s="109">
        <f t="shared" si="12"/>
        <v>6264086.4000000004</v>
      </c>
      <c r="I87" s="109"/>
      <c r="J87" s="109"/>
      <c r="K87" s="109"/>
      <c r="L87" s="109"/>
      <c r="M87" s="1"/>
      <c r="N87" s="39">
        <v>0</v>
      </c>
      <c r="O87" s="1"/>
      <c r="P87" s="1"/>
    </row>
    <row r="88" spans="1:16">
      <c r="A88" s="1" t="s">
        <v>145</v>
      </c>
      <c r="B88" s="88">
        <v>66308435</v>
      </c>
      <c r="C88" s="1"/>
      <c r="D88" s="77">
        <v>44186</v>
      </c>
      <c r="E88" s="1">
        <v>30</v>
      </c>
      <c r="F88" s="9">
        <f t="shared" si="10"/>
        <v>44216</v>
      </c>
      <c r="G88" s="1">
        <f t="shared" si="11"/>
        <v>-20</v>
      </c>
      <c r="H88" s="109">
        <f t="shared" si="12"/>
        <v>66308435</v>
      </c>
      <c r="I88" s="109"/>
      <c r="J88" s="109"/>
      <c r="K88" s="109"/>
      <c r="L88" s="109"/>
      <c r="M88" s="1"/>
      <c r="N88" s="27">
        <f>B88</f>
        <v>66308435</v>
      </c>
      <c r="O88" s="4">
        <v>44208</v>
      </c>
      <c r="P88" s="1" t="s">
        <v>206</v>
      </c>
    </row>
    <row r="89" spans="1:16">
      <c r="A89" s="1" t="s">
        <v>145</v>
      </c>
      <c r="B89" s="87">
        <v>6281932.7999999998</v>
      </c>
      <c r="C89" s="1"/>
      <c r="D89" s="77">
        <v>44187</v>
      </c>
      <c r="E89" s="1">
        <v>30</v>
      </c>
      <c r="F89" s="9">
        <f t="shared" si="10"/>
        <v>44217</v>
      </c>
      <c r="G89" s="1">
        <f t="shared" si="11"/>
        <v>-21</v>
      </c>
      <c r="H89" s="109">
        <f t="shared" si="12"/>
        <v>6281932.7999999998</v>
      </c>
      <c r="I89" s="109"/>
      <c r="J89" s="109"/>
      <c r="K89" s="109"/>
      <c r="L89" s="109"/>
      <c r="M89" s="1"/>
      <c r="N89" s="39">
        <v>0</v>
      </c>
      <c r="O89" s="1"/>
      <c r="P89" s="1"/>
    </row>
    <row r="90" spans="1:16">
      <c r="A90" s="1" t="s">
        <v>145</v>
      </c>
      <c r="B90" s="87">
        <v>6281932.7999999998</v>
      </c>
      <c r="C90" s="1"/>
      <c r="D90" s="77">
        <v>44188</v>
      </c>
      <c r="E90" s="1">
        <v>30</v>
      </c>
      <c r="F90" s="9">
        <f t="shared" si="10"/>
        <v>44218</v>
      </c>
      <c r="G90" s="1">
        <f t="shared" si="11"/>
        <v>-22</v>
      </c>
      <c r="H90" s="109">
        <f t="shared" si="12"/>
        <v>6281932.7999999998</v>
      </c>
      <c r="I90" s="109"/>
      <c r="J90" s="109"/>
      <c r="K90" s="109"/>
      <c r="L90" s="109"/>
      <c r="M90" s="1"/>
      <c r="N90" s="39">
        <v>0</v>
      </c>
      <c r="O90" s="1"/>
      <c r="P90" s="1"/>
    </row>
    <row r="91" spans="1:16">
      <c r="A91" s="1" t="s">
        <v>145</v>
      </c>
      <c r="B91" s="88">
        <v>74758116</v>
      </c>
      <c r="C91" s="1"/>
      <c r="D91" s="77">
        <v>44189</v>
      </c>
      <c r="E91" s="1">
        <v>30</v>
      </c>
      <c r="F91" s="9">
        <f t="shared" si="10"/>
        <v>44219</v>
      </c>
      <c r="G91" s="1">
        <f t="shared" si="11"/>
        <v>-23</v>
      </c>
      <c r="H91" s="109">
        <f t="shared" si="12"/>
        <v>74758116</v>
      </c>
      <c r="I91" s="109"/>
      <c r="J91" s="109"/>
      <c r="K91" s="109"/>
      <c r="L91" s="109"/>
      <c r="M91" s="1"/>
      <c r="N91" s="27">
        <f>B91</f>
        <v>74758116</v>
      </c>
      <c r="O91" s="4">
        <v>44201</v>
      </c>
      <c r="P91" s="1" t="s">
        <v>206</v>
      </c>
    </row>
    <row r="92" spans="1:16">
      <c r="A92" s="1" t="s">
        <v>145</v>
      </c>
      <c r="B92" s="87">
        <v>6264086.4000000004</v>
      </c>
      <c r="C92" s="1"/>
      <c r="D92" s="77">
        <v>44189</v>
      </c>
      <c r="E92" s="1">
        <v>30</v>
      </c>
      <c r="F92" s="9">
        <f t="shared" si="10"/>
        <v>44219</v>
      </c>
      <c r="G92" s="1">
        <f t="shared" si="11"/>
        <v>-23</v>
      </c>
      <c r="H92" s="109">
        <f t="shared" si="12"/>
        <v>6264086.4000000004</v>
      </c>
      <c r="I92" s="109"/>
      <c r="J92" s="109"/>
      <c r="K92" s="109"/>
      <c r="L92" s="109"/>
      <c r="M92" s="1"/>
      <c r="N92" s="39">
        <v>0</v>
      </c>
      <c r="O92" s="1"/>
      <c r="P92" s="1"/>
    </row>
    <row r="93" spans="1:16">
      <c r="A93" s="1" t="s">
        <v>145</v>
      </c>
      <c r="B93" s="87">
        <v>6299779.2000000002</v>
      </c>
      <c r="C93" s="1"/>
      <c r="D93" s="77">
        <v>44190</v>
      </c>
      <c r="E93" s="1">
        <v>30</v>
      </c>
      <c r="F93" s="9">
        <f t="shared" si="10"/>
        <v>44220</v>
      </c>
      <c r="G93" s="1">
        <f t="shared" si="11"/>
        <v>-24</v>
      </c>
      <c r="H93" s="109">
        <f t="shared" si="12"/>
        <v>6299779.2000000002</v>
      </c>
      <c r="I93" s="109"/>
      <c r="J93" s="109"/>
      <c r="K93" s="109"/>
      <c r="L93" s="109"/>
      <c r="M93" s="1"/>
      <c r="N93" s="39">
        <v>0</v>
      </c>
      <c r="O93" s="1"/>
      <c r="P93" s="1"/>
    </row>
    <row r="94" spans="1:16">
      <c r="A94" s="1" t="s">
        <v>145</v>
      </c>
      <c r="B94" s="87">
        <v>6299779.2000000002</v>
      </c>
      <c r="C94" s="1"/>
      <c r="D94" s="77">
        <v>44191</v>
      </c>
      <c r="E94" s="1">
        <v>30</v>
      </c>
      <c r="F94" s="9">
        <f t="shared" si="10"/>
        <v>44221</v>
      </c>
      <c r="G94" s="1">
        <f t="shared" si="11"/>
        <v>-25</v>
      </c>
      <c r="H94" s="109">
        <f t="shared" si="12"/>
        <v>6299779.2000000002</v>
      </c>
      <c r="I94" s="109"/>
      <c r="J94" s="109"/>
      <c r="K94" s="109"/>
      <c r="L94" s="109"/>
      <c r="M94" s="1"/>
      <c r="N94" s="39">
        <v>0</v>
      </c>
      <c r="O94" s="1"/>
      <c r="P94" s="1"/>
    </row>
    <row r="95" spans="1:16">
      <c r="A95" s="1" t="s">
        <v>145</v>
      </c>
      <c r="B95" s="87">
        <f>9761980.8</f>
        <v>9761980.8000000007</v>
      </c>
      <c r="C95" s="1"/>
      <c r="D95" s="77">
        <v>44194</v>
      </c>
      <c r="E95" s="1">
        <v>30</v>
      </c>
      <c r="F95" s="9">
        <f t="shared" si="10"/>
        <v>44224</v>
      </c>
      <c r="G95" s="1">
        <f t="shared" si="11"/>
        <v>-28</v>
      </c>
      <c r="H95" s="109">
        <f t="shared" si="12"/>
        <v>9761980.8000000007</v>
      </c>
      <c r="I95" s="109"/>
      <c r="J95" s="109"/>
      <c r="K95" s="109"/>
      <c r="L95" s="109"/>
      <c r="M95" s="1"/>
      <c r="N95" s="39">
        <v>0</v>
      </c>
      <c r="O95" s="1"/>
      <c r="P95" s="1"/>
    </row>
    <row r="96" spans="1:16">
      <c r="A96" s="1" t="s">
        <v>145</v>
      </c>
      <c r="B96" s="89">
        <f>199352272+150342</f>
        <v>199502614</v>
      </c>
      <c r="C96" s="1"/>
      <c r="D96" s="77">
        <v>44196</v>
      </c>
      <c r="E96" s="1">
        <v>30</v>
      </c>
      <c r="F96" s="9">
        <f t="shared" si="10"/>
        <v>44226</v>
      </c>
      <c r="G96" s="1">
        <f t="shared" si="11"/>
        <v>-30</v>
      </c>
      <c r="H96" s="109">
        <f t="shared" si="12"/>
        <v>199502614</v>
      </c>
      <c r="I96" s="109"/>
      <c r="J96" s="109"/>
      <c r="K96" s="109"/>
      <c r="L96" s="109"/>
      <c r="M96" s="1"/>
      <c r="N96" s="39">
        <v>72274253</v>
      </c>
      <c r="O96" s="4">
        <v>44208</v>
      </c>
      <c r="P96" s="1" t="s">
        <v>206</v>
      </c>
    </row>
    <row r="97" spans="1:16">
      <c r="A97" s="12"/>
      <c r="B97" s="13"/>
      <c r="C97" s="12"/>
      <c r="D97" s="12"/>
      <c r="E97" s="12"/>
      <c r="F97" s="12"/>
      <c r="G97" s="1"/>
      <c r="H97" s="100"/>
      <c r="I97" s="100"/>
      <c r="J97" s="100"/>
      <c r="K97" s="100"/>
      <c r="L97" s="100"/>
      <c r="M97" s="1"/>
      <c r="N97" s="1"/>
      <c r="O97" s="1"/>
      <c r="P97" s="1"/>
    </row>
    <row r="98" spans="1:16">
      <c r="A98" s="12"/>
      <c r="B98" s="13"/>
      <c r="C98" s="12"/>
      <c r="D98" s="12"/>
      <c r="E98" s="12"/>
      <c r="F98" s="12"/>
      <c r="G98" s="1"/>
      <c r="H98" s="100"/>
      <c r="I98" s="100"/>
      <c r="J98" s="100"/>
      <c r="K98" s="100"/>
      <c r="L98" s="100"/>
      <c r="M98" s="1"/>
      <c r="N98" s="1"/>
      <c r="O98" s="1"/>
      <c r="P98" s="1"/>
    </row>
    <row r="99" spans="1:16" s="129" customFormat="1">
      <c r="A99" s="123" t="s">
        <v>146</v>
      </c>
      <c r="B99" s="130">
        <f>34079384*0</f>
        <v>0</v>
      </c>
      <c r="C99" s="123"/>
      <c r="D99" s="124"/>
      <c r="E99" s="123"/>
      <c r="F99" s="130"/>
      <c r="G99" s="131"/>
      <c r="H99" s="132"/>
      <c r="I99" s="132"/>
      <c r="J99" s="132"/>
      <c r="K99" s="132"/>
      <c r="L99" s="132">
        <f>B99*0</f>
        <v>0</v>
      </c>
      <c r="M99" s="123"/>
      <c r="N99" s="123"/>
      <c r="O99" s="123"/>
      <c r="P99" s="123"/>
    </row>
    <row r="100" spans="1:16">
      <c r="A100" s="92" t="s">
        <v>147</v>
      </c>
      <c r="B100" s="93">
        <v>8883054</v>
      </c>
      <c r="C100" s="92"/>
      <c r="D100" s="94"/>
      <c r="E100" s="92"/>
      <c r="F100" s="93"/>
      <c r="G100" s="38"/>
      <c r="H100" s="82"/>
      <c r="I100" s="82"/>
      <c r="J100" s="82"/>
      <c r="K100" s="82"/>
      <c r="L100" s="82"/>
      <c r="M100" s="15" t="s">
        <v>151</v>
      </c>
    </row>
    <row r="101" spans="1:16" s="21" customFormat="1">
      <c r="H101" s="83">
        <f>SUM(H6:H100)</f>
        <v>12963142547.74</v>
      </c>
      <c r="I101" s="83">
        <f>SUM(I6:I100)</f>
        <v>656469141</v>
      </c>
      <c r="J101" s="83">
        <f>SUM(J6:J100)</f>
        <v>0</v>
      </c>
      <c r="K101" s="83">
        <f>SUM(K6:K100)</f>
        <v>0</v>
      </c>
      <c r="L101" s="84">
        <f>SUM(L6:L100)</f>
        <v>6511678310.3400002</v>
      </c>
    </row>
    <row r="103" spans="1:16">
      <c r="B103" s="16"/>
      <c r="D103" s="17"/>
      <c r="F103" s="17"/>
      <c r="I103" s="86"/>
      <c r="N103" s="18"/>
      <c r="O103" s="17"/>
    </row>
    <row r="104" spans="1:16">
      <c r="B104" s="16"/>
      <c r="D104" s="17"/>
      <c r="F104" s="17"/>
      <c r="I104" s="86"/>
      <c r="N104" s="16"/>
    </row>
    <row r="105" spans="1:16">
      <c r="B105" s="16"/>
      <c r="D105" s="17"/>
      <c r="F105" s="17"/>
      <c r="I105" s="86"/>
      <c r="N105" s="16"/>
    </row>
    <row r="106" spans="1:16">
      <c r="B106" s="16"/>
      <c r="D106" s="17"/>
      <c r="F106" s="17"/>
      <c r="I106" s="86"/>
      <c r="N106" s="16"/>
    </row>
    <row r="107" spans="1:16">
      <c r="B107" s="16"/>
      <c r="D107" s="17"/>
      <c r="F107" s="17"/>
      <c r="I107" s="86"/>
      <c r="N107" s="16"/>
    </row>
    <row r="108" spans="1:16">
      <c r="B108" s="16"/>
      <c r="D108" s="17"/>
      <c r="F108" s="17"/>
      <c r="I108" s="86"/>
      <c r="N108" s="18"/>
      <c r="O108" s="17"/>
    </row>
    <row r="109" spans="1:16">
      <c r="B109" s="16"/>
      <c r="D109" s="17"/>
      <c r="F109" s="17"/>
      <c r="I109" s="86"/>
      <c r="N109" s="18"/>
    </row>
    <row r="110" spans="1:16">
      <c r="B110" s="16"/>
      <c r="D110" s="17"/>
      <c r="F110" s="17"/>
      <c r="I110" s="86"/>
      <c r="N110" s="18"/>
    </row>
    <row r="111" spans="1:16">
      <c r="B111" s="16"/>
      <c r="D111" s="17"/>
      <c r="F111" s="17"/>
      <c r="I111" s="86"/>
      <c r="N111" s="18"/>
    </row>
    <row r="112" spans="1:16">
      <c r="B112" s="16"/>
      <c r="D112" s="76"/>
      <c r="F112" s="17"/>
      <c r="I112" s="86"/>
      <c r="N112" s="18"/>
      <c r="O112" s="17"/>
    </row>
    <row r="113" spans="2:15">
      <c r="B113" s="16"/>
      <c r="D113" s="76"/>
      <c r="F113" s="17"/>
      <c r="I113" s="86"/>
      <c r="N113" s="18"/>
    </row>
    <row r="114" spans="2:15">
      <c r="B114" s="16"/>
      <c r="D114" s="76"/>
      <c r="F114" s="17"/>
      <c r="I114" s="86"/>
      <c r="N114" s="18"/>
    </row>
    <row r="115" spans="2:15">
      <c r="B115" s="16"/>
      <c r="D115" s="76"/>
      <c r="F115" s="17"/>
      <c r="I115" s="86"/>
      <c r="N115" s="18"/>
    </row>
    <row r="116" spans="2:15">
      <c r="B116" s="16"/>
      <c r="D116" s="76"/>
      <c r="F116" s="17"/>
      <c r="I116" s="86"/>
      <c r="N116" s="18"/>
    </row>
    <row r="117" spans="2:15">
      <c r="B117" s="16"/>
      <c r="D117" s="76"/>
      <c r="F117" s="17"/>
      <c r="I117" s="86"/>
      <c r="N117" s="18"/>
    </row>
    <row r="118" spans="2:15">
      <c r="B118" s="16"/>
      <c r="D118" s="76"/>
      <c r="F118" s="17"/>
      <c r="I118" s="86"/>
      <c r="N118" s="18"/>
    </row>
    <row r="119" spans="2:15">
      <c r="B119" s="16"/>
      <c r="D119" s="76"/>
      <c r="F119" s="17"/>
      <c r="I119" s="86"/>
      <c r="N119" s="18"/>
    </row>
    <row r="120" spans="2:15">
      <c r="B120" s="16"/>
      <c r="D120" s="17"/>
      <c r="F120" s="17"/>
      <c r="J120" s="86"/>
      <c r="N120" s="18"/>
      <c r="O120" s="17"/>
    </row>
    <row r="121" spans="2:15">
      <c r="B121" s="16"/>
      <c r="D121" s="17"/>
      <c r="F121" s="17"/>
      <c r="J121" s="86"/>
      <c r="N121" s="18"/>
    </row>
    <row r="122" spans="2:15">
      <c r="B122" s="16"/>
      <c r="D122" s="17"/>
      <c r="F122" s="17"/>
      <c r="J122" s="86"/>
      <c r="N122" s="16"/>
    </row>
    <row r="123" spans="2:15">
      <c r="N123" s="18">
        <v>0</v>
      </c>
    </row>
    <row r="124" spans="2:15">
      <c r="N124" s="16">
        <f>SUM(N74:N123)</f>
        <v>573708374.9000001</v>
      </c>
    </row>
    <row r="125" spans="2:15">
      <c r="N125" s="19">
        <f>B73</f>
        <v>1356415877</v>
      </c>
    </row>
    <row r="126" spans="2:15">
      <c r="N126" s="91">
        <f>N125-N124</f>
        <v>782707502.0999999</v>
      </c>
    </row>
  </sheetData>
  <autoFilter ref="A5:P101" xr:uid="{00000000-0001-0000-0100-000000000000}"/>
  <mergeCells count="10">
    <mergeCell ref="G4:L4"/>
    <mergeCell ref="A51:A59"/>
    <mergeCell ref="B51:B59"/>
    <mergeCell ref="A33:A40"/>
    <mergeCell ref="B33:B40"/>
    <mergeCell ref="C4:F4"/>
    <mergeCell ref="A14:A23"/>
    <mergeCell ref="B14:B23"/>
    <mergeCell ref="A25:A31"/>
    <mergeCell ref="B25:B31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Z555"/>
  <sheetViews>
    <sheetView showGridLines="0" zoomScale="48" zoomScaleNormal="90" workbookViewId="0">
      <pane xSplit="3" ySplit="6" topLeftCell="D165" activePane="bottomRight" state="frozen"/>
      <selection activeCell="C23" sqref="C23"/>
      <selection pane="topRight" activeCell="C23" sqref="C23"/>
      <selection pane="bottomLeft" activeCell="C23" sqref="C23"/>
      <selection pane="bottomRight" activeCell="C23" sqref="C23"/>
    </sheetView>
  </sheetViews>
  <sheetFormatPr defaultRowHeight="14.5" outlineLevelCol="1"/>
  <cols>
    <col min="1" max="1" width="32.6328125" bestFit="1" customWidth="1"/>
    <col min="2" max="2" width="16.90625" bestFit="1" customWidth="1"/>
    <col min="3" max="3" width="4.81640625" customWidth="1"/>
    <col min="4" max="4" width="13.7265625" customWidth="1"/>
    <col min="5" max="5" width="17.54296875" customWidth="1"/>
    <col min="6" max="6" width="19.7265625" customWidth="1"/>
    <col min="7" max="8" width="19.7265625" style="19" hidden="1" customWidth="1"/>
    <col min="9" max="9" width="1.90625" style="19" customWidth="1"/>
    <col min="10" max="10" width="19.7265625" style="16" customWidth="1" outlineLevel="1"/>
    <col min="11" max="15" width="19.7265625" customWidth="1" outlineLevel="1"/>
    <col min="16" max="16" width="15.81640625" style="16" hidden="1" customWidth="1"/>
    <col min="17" max="17" width="14.90625" style="49" hidden="1" customWidth="1"/>
    <col min="18" max="18" width="12.54296875" hidden="1" customWidth="1"/>
    <col min="19" max="19" width="12.7265625" hidden="1" customWidth="1"/>
    <col min="20" max="20" width="15.08984375" style="50" hidden="1" customWidth="1"/>
    <col min="21" max="21" width="12.81640625" hidden="1" customWidth="1"/>
    <col min="22" max="22" width="12.7265625" hidden="1" customWidth="1"/>
    <col min="23" max="23" width="15.08984375" style="50" hidden="1" customWidth="1"/>
    <col min="24" max="24" width="0" hidden="1" customWidth="1"/>
    <col min="25" max="25" width="90.54296875" hidden="1" customWidth="1"/>
    <col min="26" max="26" width="19.36328125" hidden="1" customWidth="1"/>
    <col min="27" max="27" width="0" hidden="1" customWidth="1"/>
  </cols>
  <sheetData>
    <row r="1" spans="1:26">
      <c r="A1" s="21" t="s">
        <v>185</v>
      </c>
      <c r="D1" s="16"/>
      <c r="E1" s="16"/>
      <c r="F1" s="24"/>
      <c r="G1" s="24"/>
      <c r="H1"/>
      <c r="I1"/>
      <c r="R1" t="s">
        <v>163</v>
      </c>
      <c r="S1" t="s">
        <v>164</v>
      </c>
      <c r="T1" s="50">
        <f>D80+60</f>
        <v>44211</v>
      </c>
      <c r="U1" s="46">
        <v>44196</v>
      </c>
      <c r="V1" s="47">
        <f>U1-T1</f>
        <v>-15</v>
      </c>
      <c r="W1" s="50" t="s">
        <v>165</v>
      </c>
    </row>
    <row r="2" spans="1:26">
      <c r="A2" s="21" t="s">
        <v>172</v>
      </c>
      <c r="D2" s="24"/>
      <c r="E2" s="24"/>
      <c r="F2" s="16"/>
      <c r="G2" s="16"/>
      <c r="H2"/>
      <c r="I2"/>
      <c r="T2" s="50">
        <f>D80+30</f>
        <v>44181</v>
      </c>
      <c r="U2" s="46">
        <v>44196</v>
      </c>
      <c r="V2" s="47">
        <f>U2-T2</f>
        <v>15</v>
      </c>
      <c r="W2" s="50" t="s">
        <v>166</v>
      </c>
    </row>
    <row r="3" spans="1:26">
      <c r="A3" s="22">
        <v>44196</v>
      </c>
      <c r="D3" s="18"/>
      <c r="E3" s="24"/>
      <c r="F3" s="18"/>
      <c r="G3" s="18"/>
      <c r="H3"/>
      <c r="I3"/>
      <c r="S3" t="s">
        <v>168</v>
      </c>
      <c r="U3" t="s">
        <v>169</v>
      </c>
      <c r="V3" t="s">
        <v>171</v>
      </c>
    </row>
    <row r="4" spans="1:26">
      <c r="G4"/>
      <c r="H4"/>
      <c r="I4"/>
      <c r="S4" s="45" t="s">
        <v>167</v>
      </c>
      <c r="U4" s="44" t="s">
        <v>170</v>
      </c>
      <c r="V4" s="45" t="s">
        <v>167</v>
      </c>
    </row>
    <row r="5" spans="1:26">
      <c r="A5" s="51"/>
      <c r="B5" s="51"/>
      <c r="C5" s="395" t="s">
        <v>0</v>
      </c>
      <c r="D5" s="396"/>
      <c r="E5" s="395" t="s">
        <v>1</v>
      </c>
      <c r="F5" s="396"/>
      <c r="G5" s="20"/>
      <c r="H5" s="20"/>
      <c r="I5" s="20"/>
      <c r="J5" s="392" t="s">
        <v>203</v>
      </c>
      <c r="K5" s="393"/>
      <c r="L5" s="393"/>
      <c r="M5" s="393"/>
      <c r="N5" s="393"/>
      <c r="O5" s="393"/>
      <c r="P5" s="394" t="s">
        <v>204</v>
      </c>
      <c r="Q5" s="394"/>
      <c r="R5" s="394"/>
      <c r="S5" s="394"/>
      <c r="T5" s="394"/>
      <c r="U5" s="394"/>
      <c r="V5" s="394"/>
      <c r="W5" s="394"/>
      <c r="X5" s="394"/>
    </row>
    <row r="6" spans="1:26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180</v>
      </c>
      <c r="H6" s="2" t="s">
        <v>179</v>
      </c>
      <c r="I6" s="2"/>
      <c r="J6" s="117" t="s">
        <v>173</v>
      </c>
      <c r="K6" s="73" t="s">
        <v>174</v>
      </c>
      <c r="L6" s="73" t="s">
        <v>178</v>
      </c>
      <c r="M6" s="73" t="s">
        <v>175</v>
      </c>
      <c r="N6" s="73" t="s">
        <v>176</v>
      </c>
      <c r="O6" s="73" t="s">
        <v>177</v>
      </c>
      <c r="P6" s="74" t="s">
        <v>157</v>
      </c>
      <c r="Q6" s="74" t="s">
        <v>158</v>
      </c>
      <c r="R6" s="75" t="s">
        <v>159</v>
      </c>
      <c r="S6" s="74" t="s">
        <v>196</v>
      </c>
      <c r="T6" s="74" t="s">
        <v>197</v>
      </c>
      <c r="U6" s="75" t="s">
        <v>159</v>
      </c>
      <c r="V6" s="74" t="s">
        <v>198</v>
      </c>
      <c r="W6" s="74" t="s">
        <v>199</v>
      </c>
      <c r="X6" s="75" t="s">
        <v>159</v>
      </c>
      <c r="Y6" s="21" t="s">
        <v>149</v>
      </c>
      <c r="Z6" s="14" t="s">
        <v>161</v>
      </c>
    </row>
    <row r="7" spans="1:26">
      <c r="A7" s="391" t="s">
        <v>8</v>
      </c>
      <c r="B7" s="25">
        <v>29100566</v>
      </c>
      <c r="C7" s="3"/>
      <c r="D7" s="3"/>
      <c r="E7" s="1"/>
      <c r="F7" s="4"/>
      <c r="G7" s="27">
        <f>B7</f>
        <v>29100566</v>
      </c>
      <c r="H7" s="27"/>
      <c r="I7" s="27"/>
      <c r="J7" s="4"/>
      <c r="K7" s="4"/>
      <c r="L7" s="4"/>
      <c r="M7" s="4"/>
      <c r="N7" s="4"/>
      <c r="O7" s="4"/>
      <c r="P7" s="39"/>
      <c r="Q7" s="53"/>
      <c r="R7" s="1"/>
      <c r="S7" s="1"/>
      <c r="T7" s="53"/>
      <c r="U7" s="1"/>
      <c r="V7" s="1"/>
      <c r="W7" s="53"/>
      <c r="X7" s="1"/>
    </row>
    <row r="8" spans="1:26">
      <c r="A8" s="391"/>
      <c r="B8" s="26">
        <v>7770000</v>
      </c>
      <c r="C8" s="3"/>
      <c r="D8" s="32">
        <v>44146</v>
      </c>
      <c r="E8" s="1">
        <v>30</v>
      </c>
      <c r="F8" s="32">
        <f>D8+E8</f>
        <v>44176</v>
      </c>
      <c r="G8" s="54"/>
      <c r="H8" s="54"/>
      <c r="I8" s="54"/>
      <c r="J8" s="120">
        <f>$A$3-F8</f>
        <v>20</v>
      </c>
      <c r="K8" s="66">
        <f t="shared" ref="K8" si="0">IF(J8&lt;=0,B8,0)</f>
        <v>0</v>
      </c>
      <c r="L8" s="56">
        <f t="shared" ref="L8" si="1">IF(AND(J8&gt;=1,J8&lt;=30),B8,0)</f>
        <v>7770000</v>
      </c>
      <c r="M8" s="66">
        <f t="shared" ref="M8" si="2">IF(AND(J8&gt;=31,J8&lt;=60),B8,0)</f>
        <v>0</v>
      </c>
      <c r="N8" s="66">
        <f>IF(AND(J8&gt;=61,J8&lt;=90),B8,0)</f>
        <v>0</v>
      </c>
      <c r="O8" s="66">
        <f>IF(J8&gt;90,B8,0)</f>
        <v>0</v>
      </c>
      <c r="P8" s="39"/>
      <c r="Q8" s="53"/>
      <c r="R8" s="39"/>
      <c r="S8" s="1"/>
      <c r="T8" s="53"/>
      <c r="U8" s="1"/>
      <c r="V8" s="1"/>
      <c r="W8" s="53"/>
      <c r="X8" s="4"/>
    </row>
    <row r="9" spans="1:26">
      <c r="A9" s="391"/>
      <c r="B9" s="26">
        <v>610000</v>
      </c>
      <c r="C9" s="3"/>
      <c r="D9" s="32">
        <v>44166</v>
      </c>
      <c r="E9" s="1">
        <v>30</v>
      </c>
      <c r="F9" s="32">
        <f t="shared" ref="F9:F13" si="3">D9+E9</f>
        <v>44196</v>
      </c>
      <c r="G9" s="54"/>
      <c r="H9" s="54"/>
      <c r="I9" s="54"/>
      <c r="J9" s="120">
        <f t="shared" ref="J9:J13" si="4">$A$3-F9</f>
        <v>0</v>
      </c>
      <c r="K9" s="66">
        <f t="shared" ref="K9:K72" si="5">IF(J9&lt;=0,B9,0)</f>
        <v>610000</v>
      </c>
      <c r="L9" s="56">
        <f t="shared" ref="L9:L72" si="6">IF(AND(J9&gt;=1,J9&lt;=30),B9,0)</f>
        <v>0</v>
      </c>
      <c r="M9" s="66">
        <f t="shared" ref="M9:M72" si="7">IF(AND(J9&gt;=31,J9&lt;=60),B9,0)</f>
        <v>0</v>
      </c>
      <c r="N9" s="66">
        <f t="shared" ref="N9:N72" si="8">IF(AND(J9&gt;=61,J9&lt;=90),B9,0)</f>
        <v>0</v>
      </c>
      <c r="O9" s="66">
        <f t="shared" ref="O9:O72" si="9">IF(J9&gt;90,B9,0)</f>
        <v>0</v>
      </c>
      <c r="P9" s="39"/>
      <c r="Q9" s="53"/>
      <c r="R9" s="1"/>
      <c r="S9" s="1"/>
      <c r="T9" s="53"/>
      <c r="U9" s="1"/>
      <c r="V9" s="1"/>
      <c r="W9" s="53"/>
      <c r="X9" s="1"/>
    </row>
    <row r="10" spans="1:26">
      <c r="A10" s="391"/>
      <c r="B10" s="26">
        <v>1049500</v>
      </c>
      <c r="C10" s="3"/>
      <c r="D10" s="32">
        <v>44179</v>
      </c>
      <c r="E10" s="1">
        <v>30</v>
      </c>
      <c r="F10" s="32">
        <f t="shared" si="3"/>
        <v>44209</v>
      </c>
      <c r="G10" s="54"/>
      <c r="H10" s="54"/>
      <c r="I10" s="54"/>
      <c r="J10" s="120">
        <f>$A$3-F10</f>
        <v>-13</v>
      </c>
      <c r="K10" s="66">
        <f t="shared" si="5"/>
        <v>1049500</v>
      </c>
      <c r="L10" s="56">
        <f t="shared" si="6"/>
        <v>0</v>
      </c>
      <c r="M10" s="66">
        <f t="shared" si="7"/>
        <v>0</v>
      </c>
      <c r="N10" s="66">
        <f t="shared" si="8"/>
        <v>0</v>
      </c>
      <c r="O10" s="66">
        <f t="shared" si="9"/>
        <v>0</v>
      </c>
      <c r="P10" s="39"/>
      <c r="Q10" s="53"/>
      <c r="R10" s="1"/>
      <c r="S10" s="1"/>
      <c r="T10" s="53"/>
      <c r="U10" s="1"/>
      <c r="V10" s="1"/>
      <c r="W10" s="53"/>
      <c r="X10" s="1"/>
    </row>
    <row r="11" spans="1:26">
      <c r="A11" s="391"/>
      <c r="B11" s="26">
        <v>300000</v>
      </c>
      <c r="C11" s="3"/>
      <c r="D11" s="32">
        <v>44176</v>
      </c>
      <c r="E11" s="1">
        <v>30</v>
      </c>
      <c r="F11" s="32">
        <f t="shared" si="3"/>
        <v>44206</v>
      </c>
      <c r="G11" s="54"/>
      <c r="H11" s="54"/>
      <c r="I11" s="54"/>
      <c r="J11" s="120">
        <f t="shared" si="4"/>
        <v>-10</v>
      </c>
      <c r="K11" s="66">
        <f t="shared" si="5"/>
        <v>300000</v>
      </c>
      <c r="L11" s="56">
        <f t="shared" si="6"/>
        <v>0</v>
      </c>
      <c r="M11" s="66">
        <f t="shared" si="7"/>
        <v>0</v>
      </c>
      <c r="N11" s="66">
        <f t="shared" si="8"/>
        <v>0</v>
      </c>
      <c r="O11" s="66">
        <f t="shared" si="9"/>
        <v>0</v>
      </c>
      <c r="P11" s="39"/>
      <c r="Q11" s="53"/>
      <c r="R11" s="1"/>
      <c r="S11" s="1"/>
      <c r="T11" s="53"/>
      <c r="U11" s="1"/>
      <c r="V11" s="1"/>
      <c r="W11" s="53"/>
      <c r="X11" s="1"/>
    </row>
    <row r="12" spans="1:26">
      <c r="A12" s="391"/>
      <c r="B12" s="26">
        <v>550000</v>
      </c>
      <c r="C12" s="3"/>
      <c r="D12" s="32">
        <v>44146</v>
      </c>
      <c r="E12" s="1">
        <v>30</v>
      </c>
      <c r="F12" s="32">
        <f t="shared" si="3"/>
        <v>44176</v>
      </c>
      <c r="G12" s="54"/>
      <c r="H12" s="54"/>
      <c r="I12" s="54"/>
      <c r="J12" s="120">
        <f t="shared" si="4"/>
        <v>20</v>
      </c>
      <c r="K12" s="66">
        <f t="shared" si="5"/>
        <v>0</v>
      </c>
      <c r="L12" s="56">
        <f t="shared" si="6"/>
        <v>550000</v>
      </c>
      <c r="M12" s="66">
        <f t="shared" si="7"/>
        <v>0</v>
      </c>
      <c r="N12" s="66">
        <f t="shared" si="8"/>
        <v>0</v>
      </c>
      <c r="O12" s="66">
        <f t="shared" si="9"/>
        <v>0</v>
      </c>
      <c r="P12" s="39"/>
      <c r="Q12" s="53"/>
      <c r="R12" s="1"/>
      <c r="S12" s="1"/>
      <c r="T12" s="53"/>
      <c r="U12" s="1"/>
      <c r="V12" s="1"/>
      <c r="W12" s="53"/>
      <c r="X12" s="1"/>
    </row>
    <row r="13" spans="1:26">
      <c r="A13" s="391"/>
      <c r="B13" s="26">
        <v>1352250</v>
      </c>
      <c r="C13" s="3"/>
      <c r="D13" s="32">
        <v>44148</v>
      </c>
      <c r="E13" s="1">
        <v>30</v>
      </c>
      <c r="F13" s="32">
        <f t="shared" si="3"/>
        <v>44178</v>
      </c>
      <c r="G13" s="54"/>
      <c r="H13" s="54"/>
      <c r="I13" s="54"/>
      <c r="J13" s="120">
        <f t="shared" si="4"/>
        <v>18</v>
      </c>
      <c r="K13" s="66">
        <f t="shared" si="5"/>
        <v>0</v>
      </c>
      <c r="L13" s="56">
        <f t="shared" si="6"/>
        <v>1352250</v>
      </c>
      <c r="M13" s="66">
        <f t="shared" si="7"/>
        <v>0</v>
      </c>
      <c r="N13" s="66">
        <f t="shared" si="8"/>
        <v>0</v>
      </c>
      <c r="O13" s="66">
        <f t="shared" si="9"/>
        <v>0</v>
      </c>
      <c r="P13" s="39"/>
      <c r="Q13" s="53"/>
      <c r="R13" s="1"/>
      <c r="S13" s="1"/>
      <c r="T13" s="53"/>
      <c r="U13" s="1"/>
      <c r="V13" s="1"/>
      <c r="W13" s="53"/>
      <c r="X13" s="1"/>
    </row>
    <row r="14" spans="1:26">
      <c r="A14" s="391"/>
      <c r="B14" s="3">
        <v>105137</v>
      </c>
      <c r="C14" s="3"/>
      <c r="D14" s="114">
        <v>44117</v>
      </c>
      <c r="E14" s="1">
        <v>30</v>
      </c>
      <c r="F14" s="32">
        <f t="shared" ref="F14:F77" si="10">D14+E14</f>
        <v>44147</v>
      </c>
      <c r="G14" s="54"/>
      <c r="H14" s="54"/>
      <c r="I14" s="54"/>
      <c r="J14" s="120">
        <f>$A$3-F14</f>
        <v>49</v>
      </c>
      <c r="K14" s="66">
        <f t="shared" si="5"/>
        <v>0</v>
      </c>
      <c r="L14" s="56">
        <f t="shared" si="6"/>
        <v>0</v>
      </c>
      <c r="M14" s="66">
        <f t="shared" si="7"/>
        <v>105137</v>
      </c>
      <c r="N14" s="66">
        <f t="shared" si="8"/>
        <v>0</v>
      </c>
      <c r="O14" s="66">
        <f t="shared" si="9"/>
        <v>0</v>
      </c>
      <c r="P14" s="39"/>
      <c r="Q14" s="53"/>
      <c r="R14" s="1"/>
      <c r="S14" s="1"/>
      <c r="T14" s="53"/>
      <c r="U14" s="1"/>
      <c r="V14" s="1"/>
      <c r="W14" s="53"/>
      <c r="X14" s="1"/>
    </row>
    <row r="15" spans="1:26">
      <c r="A15" s="391"/>
      <c r="B15" s="3">
        <v>738999</v>
      </c>
      <c r="C15" s="3"/>
      <c r="D15" s="114">
        <v>44139</v>
      </c>
      <c r="E15" s="1">
        <v>30</v>
      </c>
      <c r="F15" s="32">
        <f t="shared" si="10"/>
        <v>44169</v>
      </c>
      <c r="G15" s="54"/>
      <c r="H15" s="54"/>
      <c r="I15" s="54"/>
      <c r="J15" s="120">
        <f t="shared" ref="J15:J78" si="11">$A$3-F15</f>
        <v>27</v>
      </c>
      <c r="K15" s="66">
        <f t="shared" si="5"/>
        <v>0</v>
      </c>
      <c r="L15" s="56">
        <f t="shared" si="6"/>
        <v>738999</v>
      </c>
      <c r="M15" s="66">
        <f t="shared" si="7"/>
        <v>0</v>
      </c>
      <c r="N15" s="66">
        <f t="shared" si="8"/>
        <v>0</v>
      </c>
      <c r="O15" s="66">
        <f t="shared" si="9"/>
        <v>0</v>
      </c>
      <c r="P15" s="39"/>
      <c r="Q15" s="53"/>
      <c r="R15" s="1"/>
      <c r="S15" s="1"/>
      <c r="T15" s="53"/>
      <c r="U15" s="1"/>
      <c r="V15" s="1"/>
      <c r="W15" s="53"/>
      <c r="X15" s="1"/>
    </row>
    <row r="16" spans="1:26">
      <c r="A16" s="391"/>
      <c r="B16" s="3">
        <v>270000</v>
      </c>
      <c r="C16" s="3"/>
      <c r="D16" s="114">
        <v>44145</v>
      </c>
      <c r="E16" s="1">
        <v>30</v>
      </c>
      <c r="F16" s="32">
        <f t="shared" si="10"/>
        <v>44175</v>
      </c>
      <c r="G16" s="54"/>
      <c r="H16" s="54"/>
      <c r="I16" s="54"/>
      <c r="J16" s="120">
        <f t="shared" si="11"/>
        <v>21</v>
      </c>
      <c r="K16" s="66">
        <f t="shared" si="5"/>
        <v>0</v>
      </c>
      <c r="L16" s="56">
        <f t="shared" si="6"/>
        <v>270000</v>
      </c>
      <c r="M16" s="66">
        <f t="shared" si="7"/>
        <v>0</v>
      </c>
      <c r="N16" s="66">
        <f t="shared" si="8"/>
        <v>0</v>
      </c>
      <c r="O16" s="66">
        <f t="shared" si="9"/>
        <v>0</v>
      </c>
      <c r="P16" s="39"/>
      <c r="Q16" s="53"/>
      <c r="R16" s="1"/>
      <c r="S16" s="1"/>
      <c r="T16" s="53"/>
      <c r="U16" s="1"/>
      <c r="V16" s="1"/>
      <c r="W16" s="53"/>
      <c r="X16" s="1"/>
    </row>
    <row r="17" spans="1:24">
      <c r="A17" s="391"/>
      <c r="B17" s="3">
        <v>254600</v>
      </c>
      <c r="C17" s="3"/>
      <c r="D17" s="114">
        <v>44152</v>
      </c>
      <c r="E17" s="1">
        <v>30</v>
      </c>
      <c r="F17" s="32">
        <f t="shared" si="10"/>
        <v>44182</v>
      </c>
      <c r="G17" s="54"/>
      <c r="H17" s="54"/>
      <c r="I17" s="54"/>
      <c r="J17" s="120">
        <f t="shared" si="11"/>
        <v>14</v>
      </c>
      <c r="K17" s="66">
        <f t="shared" si="5"/>
        <v>0</v>
      </c>
      <c r="L17" s="56">
        <f t="shared" si="6"/>
        <v>254600</v>
      </c>
      <c r="M17" s="66">
        <f t="shared" si="7"/>
        <v>0</v>
      </c>
      <c r="N17" s="66">
        <f t="shared" si="8"/>
        <v>0</v>
      </c>
      <c r="O17" s="66">
        <f t="shared" si="9"/>
        <v>0</v>
      </c>
      <c r="P17" s="39"/>
      <c r="Q17" s="53"/>
      <c r="R17" s="1"/>
      <c r="S17" s="1"/>
      <c r="T17" s="53"/>
      <c r="U17" s="1"/>
      <c r="V17" s="1"/>
      <c r="W17" s="53"/>
      <c r="X17" s="1"/>
    </row>
    <row r="18" spans="1:24">
      <c r="A18" s="391"/>
      <c r="B18" s="3">
        <v>300000</v>
      </c>
      <c r="C18" s="3"/>
      <c r="D18" s="114">
        <v>44159</v>
      </c>
      <c r="E18" s="1">
        <v>30</v>
      </c>
      <c r="F18" s="32">
        <f t="shared" si="10"/>
        <v>44189</v>
      </c>
      <c r="G18" s="54"/>
      <c r="H18" s="54"/>
      <c r="I18" s="54"/>
      <c r="J18" s="120">
        <f t="shared" si="11"/>
        <v>7</v>
      </c>
      <c r="K18" s="66">
        <f t="shared" si="5"/>
        <v>0</v>
      </c>
      <c r="L18" s="56">
        <f t="shared" si="6"/>
        <v>300000</v>
      </c>
      <c r="M18" s="66">
        <f t="shared" si="7"/>
        <v>0</v>
      </c>
      <c r="N18" s="66">
        <f t="shared" si="8"/>
        <v>0</v>
      </c>
      <c r="O18" s="66">
        <f t="shared" si="9"/>
        <v>0</v>
      </c>
      <c r="P18" s="39"/>
      <c r="Q18" s="53"/>
      <c r="R18" s="1"/>
      <c r="S18" s="1"/>
      <c r="T18" s="53"/>
      <c r="U18" s="1"/>
      <c r="V18" s="1"/>
      <c r="W18" s="53"/>
      <c r="X18" s="1"/>
    </row>
    <row r="19" spans="1:24">
      <c r="A19" s="391"/>
      <c r="B19" s="3">
        <v>250000</v>
      </c>
      <c r="C19" s="3"/>
      <c r="D19" s="114">
        <v>44159</v>
      </c>
      <c r="E19" s="1">
        <v>30</v>
      </c>
      <c r="F19" s="32">
        <f t="shared" si="10"/>
        <v>44189</v>
      </c>
      <c r="G19" s="54"/>
      <c r="H19" s="54"/>
      <c r="I19" s="54"/>
      <c r="J19" s="120">
        <f t="shared" si="11"/>
        <v>7</v>
      </c>
      <c r="K19" s="66">
        <f t="shared" si="5"/>
        <v>0</v>
      </c>
      <c r="L19" s="56">
        <f t="shared" si="6"/>
        <v>250000</v>
      </c>
      <c r="M19" s="66">
        <f t="shared" si="7"/>
        <v>0</v>
      </c>
      <c r="N19" s="66">
        <f t="shared" si="8"/>
        <v>0</v>
      </c>
      <c r="O19" s="66">
        <f t="shared" si="9"/>
        <v>0</v>
      </c>
      <c r="P19" s="39"/>
      <c r="Q19" s="53"/>
      <c r="R19" s="1"/>
      <c r="S19" s="1"/>
      <c r="T19" s="53"/>
      <c r="U19" s="1"/>
      <c r="V19" s="1"/>
      <c r="W19" s="53"/>
      <c r="X19" s="1"/>
    </row>
    <row r="20" spans="1:24">
      <c r="A20" s="391"/>
      <c r="B20" s="3">
        <v>256000</v>
      </c>
      <c r="C20" s="3"/>
      <c r="D20" s="114">
        <v>44163</v>
      </c>
      <c r="E20" s="1">
        <v>30</v>
      </c>
      <c r="F20" s="32">
        <f t="shared" si="10"/>
        <v>44193</v>
      </c>
      <c r="G20" s="54"/>
      <c r="H20" s="54"/>
      <c r="I20" s="54"/>
      <c r="J20" s="120">
        <f t="shared" si="11"/>
        <v>3</v>
      </c>
      <c r="K20" s="66">
        <f t="shared" si="5"/>
        <v>0</v>
      </c>
      <c r="L20" s="56">
        <f t="shared" si="6"/>
        <v>256000</v>
      </c>
      <c r="M20" s="66">
        <f t="shared" si="7"/>
        <v>0</v>
      </c>
      <c r="N20" s="66">
        <f t="shared" si="8"/>
        <v>0</v>
      </c>
      <c r="O20" s="66">
        <f t="shared" si="9"/>
        <v>0</v>
      </c>
      <c r="P20" s="39"/>
      <c r="Q20" s="53"/>
      <c r="R20" s="1"/>
      <c r="S20" s="1"/>
      <c r="T20" s="53"/>
      <c r="U20" s="1"/>
      <c r="V20" s="1"/>
      <c r="W20" s="53"/>
      <c r="X20" s="1"/>
    </row>
    <row r="21" spans="1:24">
      <c r="A21" s="391"/>
      <c r="B21" s="3">
        <v>66000</v>
      </c>
      <c r="C21" s="3"/>
      <c r="D21" s="114">
        <v>44168</v>
      </c>
      <c r="E21" s="1">
        <v>30</v>
      </c>
      <c r="F21" s="32">
        <f t="shared" si="10"/>
        <v>44198</v>
      </c>
      <c r="G21" s="54"/>
      <c r="H21" s="54"/>
      <c r="I21" s="54"/>
      <c r="J21" s="120">
        <f t="shared" si="11"/>
        <v>-2</v>
      </c>
      <c r="K21" s="66">
        <f t="shared" si="5"/>
        <v>66000</v>
      </c>
      <c r="L21" s="56">
        <f t="shared" si="6"/>
        <v>0</v>
      </c>
      <c r="M21" s="66">
        <f t="shared" si="7"/>
        <v>0</v>
      </c>
      <c r="N21" s="66">
        <f t="shared" si="8"/>
        <v>0</v>
      </c>
      <c r="O21" s="66">
        <f t="shared" si="9"/>
        <v>0</v>
      </c>
      <c r="P21" s="39"/>
      <c r="Q21" s="53"/>
      <c r="R21" s="1"/>
      <c r="S21" s="1"/>
      <c r="T21" s="53"/>
      <c r="U21" s="1"/>
      <c r="V21" s="1"/>
      <c r="W21" s="53"/>
      <c r="X21" s="1"/>
    </row>
    <row r="22" spans="1:24">
      <c r="A22" s="391"/>
      <c r="B22" s="3">
        <v>40000</v>
      </c>
      <c r="C22" s="3"/>
      <c r="D22" s="114">
        <v>44162</v>
      </c>
      <c r="E22" s="1">
        <v>30</v>
      </c>
      <c r="F22" s="32">
        <f t="shared" si="10"/>
        <v>44192</v>
      </c>
      <c r="G22" s="54"/>
      <c r="H22" s="54"/>
      <c r="I22" s="54"/>
      <c r="J22" s="120">
        <f t="shared" si="11"/>
        <v>4</v>
      </c>
      <c r="K22" s="66">
        <f t="shared" si="5"/>
        <v>0</v>
      </c>
      <c r="L22" s="56">
        <f t="shared" si="6"/>
        <v>40000</v>
      </c>
      <c r="M22" s="66">
        <f t="shared" si="7"/>
        <v>0</v>
      </c>
      <c r="N22" s="66">
        <f t="shared" si="8"/>
        <v>0</v>
      </c>
      <c r="O22" s="66">
        <f t="shared" si="9"/>
        <v>0</v>
      </c>
      <c r="P22" s="39"/>
      <c r="Q22" s="53"/>
      <c r="R22" s="1"/>
      <c r="S22" s="1"/>
      <c r="T22" s="53"/>
      <c r="U22" s="1"/>
      <c r="V22" s="1"/>
      <c r="W22" s="53"/>
      <c r="X22" s="1"/>
    </row>
    <row r="23" spans="1:24">
      <c r="A23" s="391"/>
      <c r="B23" s="3">
        <v>35000</v>
      </c>
      <c r="C23" s="3"/>
      <c r="D23" s="114">
        <v>44176</v>
      </c>
      <c r="E23" s="1">
        <v>30</v>
      </c>
      <c r="F23" s="32">
        <f t="shared" si="10"/>
        <v>44206</v>
      </c>
      <c r="G23" s="54"/>
      <c r="H23" s="54"/>
      <c r="I23" s="54"/>
      <c r="J23" s="120">
        <f t="shared" si="11"/>
        <v>-10</v>
      </c>
      <c r="K23" s="66">
        <f t="shared" si="5"/>
        <v>35000</v>
      </c>
      <c r="L23" s="56">
        <f t="shared" si="6"/>
        <v>0</v>
      </c>
      <c r="M23" s="66">
        <f t="shared" si="7"/>
        <v>0</v>
      </c>
      <c r="N23" s="66">
        <f t="shared" si="8"/>
        <v>0</v>
      </c>
      <c r="O23" s="66">
        <f t="shared" si="9"/>
        <v>0</v>
      </c>
      <c r="P23" s="39"/>
      <c r="Q23" s="53"/>
      <c r="R23" s="1"/>
      <c r="S23" s="1"/>
      <c r="T23" s="53"/>
      <c r="U23" s="1"/>
      <c r="V23" s="1"/>
      <c r="W23" s="53"/>
      <c r="X23" s="1"/>
    </row>
    <row r="24" spans="1:24">
      <c r="A24" s="391"/>
      <c r="B24" s="3">
        <v>35000</v>
      </c>
      <c r="C24" s="3"/>
      <c r="D24" s="114">
        <v>44177</v>
      </c>
      <c r="E24" s="1">
        <v>30</v>
      </c>
      <c r="F24" s="32">
        <f t="shared" si="10"/>
        <v>44207</v>
      </c>
      <c r="G24" s="54"/>
      <c r="H24" s="54"/>
      <c r="I24" s="54"/>
      <c r="J24" s="120">
        <f t="shared" si="11"/>
        <v>-11</v>
      </c>
      <c r="K24" s="66">
        <f t="shared" si="5"/>
        <v>35000</v>
      </c>
      <c r="L24" s="56">
        <f t="shared" si="6"/>
        <v>0</v>
      </c>
      <c r="M24" s="66">
        <f t="shared" si="7"/>
        <v>0</v>
      </c>
      <c r="N24" s="66">
        <f t="shared" si="8"/>
        <v>0</v>
      </c>
      <c r="O24" s="66">
        <f t="shared" si="9"/>
        <v>0</v>
      </c>
      <c r="P24" s="39"/>
      <c r="Q24" s="53"/>
      <c r="R24" s="1"/>
      <c r="S24" s="1"/>
      <c r="T24" s="53"/>
      <c r="U24" s="1"/>
      <c r="V24" s="1"/>
      <c r="W24" s="53"/>
      <c r="X24" s="1"/>
    </row>
    <row r="25" spans="1:24">
      <c r="A25" s="391"/>
      <c r="B25" s="3">
        <v>31000</v>
      </c>
      <c r="C25" s="3"/>
      <c r="D25" s="114">
        <v>44173</v>
      </c>
      <c r="E25" s="1">
        <v>30</v>
      </c>
      <c r="F25" s="32">
        <f t="shared" si="10"/>
        <v>44203</v>
      </c>
      <c r="G25" s="54"/>
      <c r="H25" s="54"/>
      <c r="I25" s="54"/>
      <c r="J25" s="120">
        <f t="shared" si="11"/>
        <v>-7</v>
      </c>
      <c r="K25" s="66">
        <f t="shared" si="5"/>
        <v>31000</v>
      </c>
      <c r="L25" s="56">
        <f t="shared" si="6"/>
        <v>0</v>
      </c>
      <c r="M25" s="66">
        <f t="shared" si="7"/>
        <v>0</v>
      </c>
      <c r="N25" s="66">
        <f t="shared" si="8"/>
        <v>0</v>
      </c>
      <c r="O25" s="66">
        <f t="shared" si="9"/>
        <v>0</v>
      </c>
      <c r="P25" s="39"/>
      <c r="Q25" s="53"/>
      <c r="R25" s="1"/>
      <c r="S25" s="1"/>
      <c r="T25" s="53"/>
      <c r="U25" s="1"/>
      <c r="V25" s="1"/>
      <c r="W25" s="53"/>
      <c r="X25" s="1"/>
    </row>
    <row r="26" spans="1:24">
      <c r="A26" s="391"/>
      <c r="B26" s="3">
        <v>31000</v>
      </c>
      <c r="C26" s="3"/>
      <c r="D26" s="114">
        <v>44180</v>
      </c>
      <c r="E26" s="1">
        <v>30</v>
      </c>
      <c r="F26" s="32">
        <f t="shared" si="10"/>
        <v>44210</v>
      </c>
      <c r="G26" s="54"/>
      <c r="H26" s="54"/>
      <c r="I26" s="54"/>
      <c r="J26" s="120">
        <f t="shared" si="11"/>
        <v>-14</v>
      </c>
      <c r="K26" s="66">
        <f t="shared" si="5"/>
        <v>31000</v>
      </c>
      <c r="L26" s="56">
        <f t="shared" si="6"/>
        <v>0</v>
      </c>
      <c r="M26" s="66">
        <f t="shared" si="7"/>
        <v>0</v>
      </c>
      <c r="N26" s="66">
        <f t="shared" si="8"/>
        <v>0</v>
      </c>
      <c r="O26" s="66">
        <f t="shared" si="9"/>
        <v>0</v>
      </c>
      <c r="P26" s="39"/>
      <c r="Q26" s="53"/>
      <c r="R26" s="1"/>
      <c r="S26" s="1"/>
      <c r="T26" s="53"/>
      <c r="U26" s="1"/>
      <c r="V26" s="1"/>
      <c r="W26" s="53"/>
      <c r="X26" s="1"/>
    </row>
    <row r="27" spans="1:24">
      <c r="A27" s="391"/>
      <c r="B27" s="3">
        <v>30000</v>
      </c>
      <c r="C27" s="3"/>
      <c r="D27" s="114">
        <v>44149</v>
      </c>
      <c r="E27" s="1">
        <v>30</v>
      </c>
      <c r="F27" s="32">
        <f t="shared" si="10"/>
        <v>44179</v>
      </c>
      <c r="G27" s="54"/>
      <c r="H27" s="54"/>
      <c r="I27" s="54"/>
      <c r="J27" s="120">
        <f t="shared" si="11"/>
        <v>17</v>
      </c>
      <c r="K27" s="66">
        <f t="shared" si="5"/>
        <v>0</v>
      </c>
      <c r="L27" s="56">
        <f t="shared" si="6"/>
        <v>30000</v>
      </c>
      <c r="M27" s="66">
        <f t="shared" si="7"/>
        <v>0</v>
      </c>
      <c r="N27" s="66">
        <f t="shared" si="8"/>
        <v>0</v>
      </c>
      <c r="O27" s="66">
        <f t="shared" si="9"/>
        <v>0</v>
      </c>
      <c r="P27" s="39"/>
      <c r="Q27" s="53"/>
      <c r="R27" s="1"/>
      <c r="S27" s="1"/>
      <c r="T27" s="53"/>
      <c r="U27" s="1"/>
      <c r="V27" s="1"/>
      <c r="W27" s="53"/>
      <c r="X27" s="1"/>
    </row>
    <row r="28" spans="1:24">
      <c r="A28" s="391"/>
      <c r="B28" s="3">
        <v>27500</v>
      </c>
      <c r="C28" s="3"/>
      <c r="D28" s="114">
        <v>44166</v>
      </c>
      <c r="E28" s="1">
        <v>30</v>
      </c>
      <c r="F28" s="32">
        <f t="shared" si="10"/>
        <v>44196</v>
      </c>
      <c r="G28" s="54"/>
      <c r="H28" s="54"/>
      <c r="I28" s="54"/>
      <c r="J28" s="120">
        <f t="shared" si="11"/>
        <v>0</v>
      </c>
      <c r="K28" s="66">
        <f t="shared" si="5"/>
        <v>27500</v>
      </c>
      <c r="L28" s="56">
        <f t="shared" si="6"/>
        <v>0</v>
      </c>
      <c r="M28" s="66">
        <f t="shared" si="7"/>
        <v>0</v>
      </c>
      <c r="N28" s="66">
        <f t="shared" si="8"/>
        <v>0</v>
      </c>
      <c r="O28" s="66">
        <f t="shared" si="9"/>
        <v>0</v>
      </c>
      <c r="P28" s="39"/>
      <c r="Q28" s="53"/>
      <c r="R28" s="1"/>
      <c r="S28" s="1"/>
      <c r="T28" s="53"/>
      <c r="U28" s="1"/>
      <c r="V28" s="1"/>
      <c r="W28" s="53"/>
      <c r="X28" s="1"/>
    </row>
    <row r="29" spans="1:24">
      <c r="A29" s="391"/>
      <c r="B29" s="3">
        <v>26000</v>
      </c>
      <c r="C29" s="3"/>
      <c r="D29" s="114">
        <v>44151</v>
      </c>
      <c r="E29" s="1">
        <v>30</v>
      </c>
      <c r="F29" s="32">
        <f t="shared" si="10"/>
        <v>44181</v>
      </c>
      <c r="G29" s="54"/>
      <c r="H29" s="54"/>
      <c r="I29" s="54"/>
      <c r="J29" s="120">
        <f t="shared" si="11"/>
        <v>15</v>
      </c>
      <c r="K29" s="66">
        <f t="shared" si="5"/>
        <v>0</v>
      </c>
      <c r="L29" s="56">
        <f t="shared" si="6"/>
        <v>26000</v>
      </c>
      <c r="M29" s="66">
        <f t="shared" si="7"/>
        <v>0</v>
      </c>
      <c r="N29" s="66">
        <f t="shared" si="8"/>
        <v>0</v>
      </c>
      <c r="O29" s="66">
        <f t="shared" si="9"/>
        <v>0</v>
      </c>
      <c r="P29" s="39"/>
      <c r="Q29" s="53"/>
      <c r="R29" s="1"/>
      <c r="S29" s="1"/>
      <c r="T29" s="53"/>
      <c r="U29" s="1"/>
      <c r="V29" s="1"/>
      <c r="W29" s="53"/>
      <c r="X29" s="1"/>
    </row>
    <row r="30" spans="1:24">
      <c r="A30" s="391"/>
      <c r="B30" s="3">
        <v>50000</v>
      </c>
      <c r="C30" s="3"/>
      <c r="D30" s="114">
        <v>44165</v>
      </c>
      <c r="E30" s="1">
        <v>30</v>
      </c>
      <c r="F30" s="32">
        <f t="shared" si="10"/>
        <v>44195</v>
      </c>
      <c r="G30" s="54"/>
      <c r="H30" s="54"/>
      <c r="I30" s="54"/>
      <c r="J30" s="120">
        <f t="shared" si="11"/>
        <v>1</v>
      </c>
      <c r="K30" s="66">
        <f t="shared" si="5"/>
        <v>0</v>
      </c>
      <c r="L30" s="56">
        <f t="shared" si="6"/>
        <v>50000</v>
      </c>
      <c r="M30" s="66">
        <f t="shared" si="7"/>
        <v>0</v>
      </c>
      <c r="N30" s="66">
        <f t="shared" si="8"/>
        <v>0</v>
      </c>
      <c r="O30" s="66">
        <f t="shared" si="9"/>
        <v>0</v>
      </c>
      <c r="P30" s="39"/>
      <c r="Q30" s="53"/>
      <c r="R30" s="1"/>
      <c r="S30" s="1"/>
      <c r="T30" s="53"/>
      <c r="U30" s="1"/>
      <c r="V30" s="1"/>
      <c r="W30" s="53"/>
      <c r="X30" s="1"/>
    </row>
    <row r="31" spans="1:24">
      <c r="A31" s="391"/>
      <c r="B31" s="3">
        <v>48000</v>
      </c>
      <c r="C31" s="3"/>
      <c r="D31" s="114">
        <v>44155</v>
      </c>
      <c r="E31" s="1">
        <v>30</v>
      </c>
      <c r="F31" s="32">
        <f t="shared" si="10"/>
        <v>44185</v>
      </c>
      <c r="G31" s="54"/>
      <c r="H31" s="54"/>
      <c r="I31" s="54"/>
      <c r="J31" s="120">
        <f t="shared" si="11"/>
        <v>11</v>
      </c>
      <c r="K31" s="66">
        <f t="shared" si="5"/>
        <v>0</v>
      </c>
      <c r="L31" s="56">
        <f t="shared" si="6"/>
        <v>48000</v>
      </c>
      <c r="M31" s="66">
        <f t="shared" si="7"/>
        <v>0</v>
      </c>
      <c r="N31" s="66">
        <f t="shared" si="8"/>
        <v>0</v>
      </c>
      <c r="O31" s="66">
        <f t="shared" si="9"/>
        <v>0</v>
      </c>
      <c r="P31" s="39"/>
      <c r="Q31" s="53"/>
      <c r="R31" s="1"/>
      <c r="S31" s="1"/>
      <c r="T31" s="53"/>
      <c r="U31" s="1"/>
      <c r="V31" s="1"/>
      <c r="W31" s="53"/>
      <c r="X31" s="1"/>
    </row>
    <row r="32" spans="1:24">
      <c r="A32" s="391"/>
      <c r="B32" s="3">
        <v>15000</v>
      </c>
      <c r="C32" s="3"/>
      <c r="D32" s="114">
        <v>44137</v>
      </c>
      <c r="E32" s="1">
        <v>30</v>
      </c>
      <c r="F32" s="32">
        <f t="shared" si="10"/>
        <v>44167</v>
      </c>
      <c r="G32" s="54"/>
      <c r="H32" s="54"/>
      <c r="I32" s="54"/>
      <c r="J32" s="120">
        <f t="shared" si="11"/>
        <v>29</v>
      </c>
      <c r="K32" s="66">
        <f t="shared" si="5"/>
        <v>0</v>
      </c>
      <c r="L32" s="56">
        <f t="shared" si="6"/>
        <v>15000</v>
      </c>
      <c r="M32" s="66">
        <f t="shared" si="7"/>
        <v>0</v>
      </c>
      <c r="N32" s="66">
        <f t="shared" si="8"/>
        <v>0</v>
      </c>
      <c r="O32" s="66">
        <f t="shared" si="9"/>
        <v>0</v>
      </c>
      <c r="P32" s="39"/>
      <c r="Q32" s="53"/>
      <c r="R32" s="1"/>
      <c r="S32" s="1"/>
      <c r="T32" s="53"/>
      <c r="U32" s="1"/>
      <c r="V32" s="1"/>
      <c r="W32" s="53"/>
      <c r="X32" s="1"/>
    </row>
    <row r="33" spans="1:24">
      <c r="A33" s="391"/>
      <c r="B33" s="3">
        <v>1850000</v>
      </c>
      <c r="C33" s="3"/>
      <c r="D33" s="114">
        <v>44125</v>
      </c>
      <c r="E33" s="1">
        <v>30</v>
      </c>
      <c r="F33" s="32">
        <f t="shared" si="10"/>
        <v>44155</v>
      </c>
      <c r="G33" s="54"/>
      <c r="H33" s="54"/>
      <c r="I33" s="54"/>
      <c r="J33" s="120">
        <f t="shared" si="11"/>
        <v>41</v>
      </c>
      <c r="K33" s="66">
        <f t="shared" si="5"/>
        <v>0</v>
      </c>
      <c r="L33" s="56">
        <f t="shared" si="6"/>
        <v>0</v>
      </c>
      <c r="M33" s="66">
        <f t="shared" si="7"/>
        <v>1850000</v>
      </c>
      <c r="N33" s="66">
        <f t="shared" si="8"/>
        <v>0</v>
      </c>
      <c r="O33" s="66">
        <f t="shared" si="9"/>
        <v>0</v>
      </c>
      <c r="P33" s="39"/>
      <c r="Q33" s="53"/>
      <c r="R33" s="1"/>
      <c r="S33" s="1"/>
      <c r="T33" s="53"/>
      <c r="U33" s="1"/>
      <c r="V33" s="1"/>
      <c r="W33" s="53"/>
      <c r="X33" s="1"/>
    </row>
    <row r="34" spans="1:24">
      <c r="A34" s="391"/>
      <c r="B34" s="3">
        <v>830000</v>
      </c>
      <c r="C34" s="3"/>
      <c r="D34" s="114">
        <v>44146</v>
      </c>
      <c r="E34" s="1">
        <v>30</v>
      </c>
      <c r="F34" s="32">
        <f t="shared" si="10"/>
        <v>44176</v>
      </c>
      <c r="G34" s="54"/>
      <c r="H34" s="54"/>
      <c r="I34" s="54"/>
      <c r="J34" s="120">
        <f t="shared" si="11"/>
        <v>20</v>
      </c>
      <c r="K34" s="66">
        <f t="shared" si="5"/>
        <v>0</v>
      </c>
      <c r="L34" s="56">
        <f t="shared" si="6"/>
        <v>830000</v>
      </c>
      <c r="M34" s="66">
        <f t="shared" si="7"/>
        <v>0</v>
      </c>
      <c r="N34" s="66">
        <f t="shared" si="8"/>
        <v>0</v>
      </c>
      <c r="O34" s="66">
        <f t="shared" si="9"/>
        <v>0</v>
      </c>
      <c r="P34" s="39"/>
      <c r="Q34" s="53"/>
      <c r="R34" s="1"/>
      <c r="S34" s="1"/>
      <c r="T34" s="53"/>
      <c r="U34" s="1"/>
      <c r="V34" s="1"/>
      <c r="W34" s="53"/>
      <c r="X34" s="1"/>
    </row>
    <row r="35" spans="1:24">
      <c r="A35" s="391"/>
      <c r="B35" s="3">
        <v>850000</v>
      </c>
      <c r="C35" s="3"/>
      <c r="D35" s="114">
        <v>44146</v>
      </c>
      <c r="E35" s="1">
        <v>30</v>
      </c>
      <c r="F35" s="32">
        <f t="shared" si="10"/>
        <v>44176</v>
      </c>
      <c r="G35" s="54"/>
      <c r="H35" s="54"/>
      <c r="I35" s="54"/>
      <c r="J35" s="120">
        <f t="shared" si="11"/>
        <v>20</v>
      </c>
      <c r="K35" s="66">
        <f t="shared" si="5"/>
        <v>0</v>
      </c>
      <c r="L35" s="56">
        <f t="shared" si="6"/>
        <v>850000</v>
      </c>
      <c r="M35" s="66">
        <f t="shared" si="7"/>
        <v>0</v>
      </c>
      <c r="N35" s="66">
        <f t="shared" si="8"/>
        <v>0</v>
      </c>
      <c r="O35" s="66">
        <f t="shared" si="9"/>
        <v>0</v>
      </c>
      <c r="P35" s="39"/>
      <c r="Q35" s="53"/>
      <c r="R35" s="1"/>
      <c r="S35" s="1"/>
      <c r="T35" s="53"/>
      <c r="U35" s="1"/>
      <c r="V35" s="1"/>
      <c r="W35" s="53"/>
      <c r="X35" s="1"/>
    </row>
    <row r="36" spans="1:24">
      <c r="A36" s="391"/>
      <c r="B36" s="3">
        <v>706000</v>
      </c>
      <c r="C36" s="3"/>
      <c r="D36" s="114">
        <v>44176</v>
      </c>
      <c r="E36" s="1">
        <v>30</v>
      </c>
      <c r="F36" s="32">
        <f t="shared" si="10"/>
        <v>44206</v>
      </c>
      <c r="G36" s="54"/>
      <c r="H36" s="54"/>
      <c r="I36" s="54"/>
      <c r="J36" s="120">
        <f t="shared" si="11"/>
        <v>-10</v>
      </c>
      <c r="K36" s="66">
        <f t="shared" si="5"/>
        <v>706000</v>
      </c>
      <c r="L36" s="56">
        <f t="shared" si="6"/>
        <v>0</v>
      </c>
      <c r="M36" s="66">
        <f t="shared" si="7"/>
        <v>0</v>
      </c>
      <c r="N36" s="66">
        <f t="shared" si="8"/>
        <v>0</v>
      </c>
      <c r="O36" s="66">
        <f t="shared" si="9"/>
        <v>0</v>
      </c>
      <c r="P36" s="39"/>
      <c r="Q36" s="53"/>
      <c r="R36" s="1"/>
      <c r="S36" s="1"/>
      <c r="T36" s="53"/>
      <c r="U36" s="1"/>
      <c r="V36" s="1"/>
      <c r="W36" s="53"/>
      <c r="X36" s="1"/>
    </row>
    <row r="37" spans="1:24">
      <c r="A37" s="391"/>
      <c r="B37" s="115">
        <v>798580</v>
      </c>
      <c r="C37" s="3"/>
      <c r="D37" s="114">
        <v>44176</v>
      </c>
      <c r="E37" s="1">
        <v>30</v>
      </c>
      <c r="F37" s="32">
        <f t="shared" si="10"/>
        <v>44206</v>
      </c>
      <c r="G37" s="54"/>
      <c r="H37" s="54"/>
      <c r="I37" s="54"/>
      <c r="J37" s="120">
        <f t="shared" si="11"/>
        <v>-10</v>
      </c>
      <c r="K37" s="66">
        <f t="shared" si="5"/>
        <v>798580</v>
      </c>
      <c r="L37" s="56">
        <f t="shared" si="6"/>
        <v>0</v>
      </c>
      <c r="M37" s="66">
        <f t="shared" si="7"/>
        <v>0</v>
      </c>
      <c r="N37" s="66">
        <f t="shared" si="8"/>
        <v>0</v>
      </c>
      <c r="O37" s="66">
        <f t="shared" si="9"/>
        <v>0</v>
      </c>
      <c r="P37" s="39"/>
      <c r="Q37" s="53"/>
      <c r="R37" s="1"/>
      <c r="S37" s="1"/>
      <c r="T37" s="53"/>
      <c r="U37" s="1"/>
      <c r="V37" s="1"/>
      <c r="W37" s="53"/>
      <c r="X37" s="1"/>
    </row>
    <row r="38" spans="1:24">
      <c r="A38" s="391"/>
      <c r="B38" s="3">
        <v>14000</v>
      </c>
      <c r="C38" s="3"/>
      <c r="D38" s="114">
        <v>44179</v>
      </c>
      <c r="E38" s="1">
        <v>30</v>
      </c>
      <c r="F38" s="32">
        <f t="shared" si="10"/>
        <v>44209</v>
      </c>
      <c r="G38" s="54"/>
      <c r="H38" s="54"/>
      <c r="I38" s="54"/>
      <c r="J38" s="120">
        <f t="shared" si="11"/>
        <v>-13</v>
      </c>
      <c r="K38" s="66">
        <f t="shared" si="5"/>
        <v>14000</v>
      </c>
      <c r="L38" s="56">
        <f t="shared" si="6"/>
        <v>0</v>
      </c>
      <c r="M38" s="66">
        <f t="shared" si="7"/>
        <v>0</v>
      </c>
      <c r="N38" s="66">
        <f t="shared" si="8"/>
        <v>0</v>
      </c>
      <c r="O38" s="66">
        <f t="shared" si="9"/>
        <v>0</v>
      </c>
      <c r="P38" s="39"/>
      <c r="Q38" s="53"/>
      <c r="R38" s="1"/>
      <c r="S38" s="1"/>
      <c r="T38" s="53"/>
      <c r="U38" s="1"/>
      <c r="V38" s="1"/>
      <c r="W38" s="53"/>
      <c r="X38" s="1"/>
    </row>
    <row r="39" spans="1:24">
      <c r="A39" s="391"/>
      <c r="B39" s="3">
        <v>75000</v>
      </c>
      <c r="C39" s="3"/>
      <c r="D39" s="114">
        <v>44187</v>
      </c>
      <c r="E39" s="1">
        <v>30</v>
      </c>
      <c r="F39" s="32">
        <f t="shared" si="10"/>
        <v>44217</v>
      </c>
      <c r="G39" s="54"/>
      <c r="H39" s="54"/>
      <c r="I39" s="54"/>
      <c r="J39" s="120">
        <f t="shared" si="11"/>
        <v>-21</v>
      </c>
      <c r="K39" s="66">
        <f t="shared" si="5"/>
        <v>75000</v>
      </c>
      <c r="L39" s="56">
        <f t="shared" si="6"/>
        <v>0</v>
      </c>
      <c r="M39" s="66">
        <f t="shared" si="7"/>
        <v>0</v>
      </c>
      <c r="N39" s="66">
        <f t="shared" si="8"/>
        <v>0</v>
      </c>
      <c r="O39" s="66">
        <f t="shared" si="9"/>
        <v>0</v>
      </c>
      <c r="P39" s="39"/>
      <c r="Q39" s="53"/>
      <c r="R39" s="1"/>
      <c r="S39" s="1"/>
      <c r="T39" s="53"/>
      <c r="U39" s="1"/>
      <c r="V39" s="1"/>
      <c r="W39" s="53"/>
      <c r="X39" s="1"/>
    </row>
    <row r="40" spans="1:24">
      <c r="A40" s="391"/>
      <c r="B40" s="3">
        <v>21000</v>
      </c>
      <c r="C40" s="3"/>
      <c r="D40" s="114">
        <v>44195</v>
      </c>
      <c r="E40" s="1">
        <v>30</v>
      </c>
      <c r="F40" s="32">
        <f t="shared" si="10"/>
        <v>44225</v>
      </c>
      <c r="G40" s="54"/>
      <c r="H40" s="54"/>
      <c r="I40" s="54"/>
      <c r="J40" s="120">
        <f t="shared" si="11"/>
        <v>-29</v>
      </c>
      <c r="K40" s="66">
        <f t="shared" si="5"/>
        <v>21000</v>
      </c>
      <c r="L40" s="56">
        <f t="shared" si="6"/>
        <v>0</v>
      </c>
      <c r="M40" s="66">
        <f t="shared" si="7"/>
        <v>0</v>
      </c>
      <c r="N40" s="66">
        <f t="shared" si="8"/>
        <v>0</v>
      </c>
      <c r="O40" s="66">
        <f t="shared" si="9"/>
        <v>0</v>
      </c>
      <c r="P40" s="39"/>
      <c r="Q40" s="53"/>
      <c r="R40" s="1"/>
      <c r="S40" s="1"/>
      <c r="T40" s="53"/>
      <c r="U40" s="1"/>
      <c r="V40" s="1"/>
      <c r="W40" s="53"/>
      <c r="X40" s="1"/>
    </row>
    <row r="41" spans="1:24">
      <c r="A41" s="391"/>
      <c r="B41" s="3">
        <v>28000</v>
      </c>
      <c r="C41" s="3"/>
      <c r="D41" s="114">
        <v>44187</v>
      </c>
      <c r="E41" s="1">
        <v>30</v>
      </c>
      <c r="F41" s="32">
        <f t="shared" si="10"/>
        <v>44217</v>
      </c>
      <c r="G41" s="54"/>
      <c r="H41" s="54"/>
      <c r="I41" s="54"/>
      <c r="J41" s="120">
        <f t="shared" si="11"/>
        <v>-21</v>
      </c>
      <c r="K41" s="66">
        <f t="shared" si="5"/>
        <v>28000</v>
      </c>
      <c r="L41" s="56">
        <f t="shared" si="6"/>
        <v>0</v>
      </c>
      <c r="M41" s="66">
        <f t="shared" si="7"/>
        <v>0</v>
      </c>
      <c r="N41" s="66">
        <f t="shared" si="8"/>
        <v>0</v>
      </c>
      <c r="O41" s="66">
        <f t="shared" si="9"/>
        <v>0</v>
      </c>
      <c r="P41" s="39"/>
      <c r="Q41" s="53"/>
      <c r="R41" s="1"/>
      <c r="S41" s="1"/>
      <c r="T41" s="53"/>
      <c r="U41" s="1"/>
      <c r="V41" s="1"/>
      <c r="W41" s="53"/>
      <c r="X41" s="1"/>
    </row>
    <row r="42" spans="1:24">
      <c r="A42" s="391"/>
      <c r="B42" s="3">
        <v>75000</v>
      </c>
      <c r="C42" s="3"/>
      <c r="D42" s="114">
        <v>44179</v>
      </c>
      <c r="E42" s="1">
        <v>30</v>
      </c>
      <c r="F42" s="32">
        <f t="shared" si="10"/>
        <v>44209</v>
      </c>
      <c r="G42" s="54"/>
      <c r="H42" s="54"/>
      <c r="I42" s="54"/>
      <c r="J42" s="120">
        <f t="shared" si="11"/>
        <v>-13</v>
      </c>
      <c r="K42" s="66">
        <f t="shared" si="5"/>
        <v>75000</v>
      </c>
      <c r="L42" s="56">
        <f t="shared" si="6"/>
        <v>0</v>
      </c>
      <c r="M42" s="66">
        <f t="shared" si="7"/>
        <v>0</v>
      </c>
      <c r="N42" s="66">
        <f t="shared" si="8"/>
        <v>0</v>
      </c>
      <c r="O42" s="66">
        <f t="shared" si="9"/>
        <v>0</v>
      </c>
      <c r="P42" s="39"/>
      <c r="Q42" s="53"/>
      <c r="R42" s="1"/>
      <c r="S42" s="1"/>
      <c r="T42" s="53"/>
      <c r="U42" s="1"/>
      <c r="V42" s="1"/>
      <c r="W42" s="53"/>
      <c r="X42" s="1"/>
    </row>
    <row r="43" spans="1:24">
      <c r="A43" s="391"/>
      <c r="B43" s="3">
        <v>25000</v>
      </c>
      <c r="C43" s="3"/>
      <c r="D43" s="114">
        <v>44168</v>
      </c>
      <c r="E43" s="1">
        <v>30</v>
      </c>
      <c r="F43" s="32">
        <f t="shared" si="10"/>
        <v>44198</v>
      </c>
      <c r="G43" s="54"/>
      <c r="H43" s="54"/>
      <c r="I43" s="54"/>
      <c r="J43" s="120">
        <f t="shared" si="11"/>
        <v>-2</v>
      </c>
      <c r="K43" s="66">
        <f t="shared" si="5"/>
        <v>25000</v>
      </c>
      <c r="L43" s="56">
        <f t="shared" si="6"/>
        <v>0</v>
      </c>
      <c r="M43" s="66">
        <f t="shared" si="7"/>
        <v>0</v>
      </c>
      <c r="N43" s="66">
        <f t="shared" si="8"/>
        <v>0</v>
      </c>
      <c r="O43" s="66">
        <f t="shared" si="9"/>
        <v>0</v>
      </c>
      <c r="P43" s="39"/>
      <c r="Q43" s="53"/>
      <c r="R43" s="1"/>
      <c r="S43" s="1"/>
      <c r="T43" s="53"/>
      <c r="U43" s="1"/>
      <c r="V43" s="1"/>
      <c r="W43" s="53"/>
      <c r="X43" s="1"/>
    </row>
    <row r="44" spans="1:24">
      <c r="A44" s="391"/>
      <c r="B44" s="3">
        <v>215000</v>
      </c>
      <c r="C44" s="3"/>
      <c r="D44" s="114">
        <v>44187</v>
      </c>
      <c r="E44" s="1">
        <v>30</v>
      </c>
      <c r="F44" s="32">
        <f t="shared" si="10"/>
        <v>44217</v>
      </c>
      <c r="G44" s="54"/>
      <c r="H44" s="54"/>
      <c r="I44" s="54"/>
      <c r="J44" s="120">
        <f t="shared" si="11"/>
        <v>-21</v>
      </c>
      <c r="K44" s="66">
        <f t="shared" si="5"/>
        <v>215000</v>
      </c>
      <c r="L44" s="56">
        <f t="shared" si="6"/>
        <v>0</v>
      </c>
      <c r="M44" s="66">
        <f t="shared" si="7"/>
        <v>0</v>
      </c>
      <c r="N44" s="66">
        <f t="shared" si="8"/>
        <v>0</v>
      </c>
      <c r="O44" s="66">
        <f t="shared" si="9"/>
        <v>0</v>
      </c>
      <c r="P44" s="39"/>
      <c r="Q44" s="53"/>
      <c r="R44" s="1"/>
      <c r="S44" s="1"/>
      <c r="T44" s="53"/>
      <c r="U44" s="1"/>
      <c r="V44" s="1"/>
      <c r="W44" s="53"/>
      <c r="X44" s="1"/>
    </row>
    <row r="45" spans="1:24">
      <c r="A45" s="391"/>
      <c r="B45" s="3">
        <v>374000</v>
      </c>
      <c r="C45" s="3"/>
      <c r="D45" s="114">
        <v>44151</v>
      </c>
      <c r="E45" s="1">
        <v>30</v>
      </c>
      <c r="F45" s="32">
        <f t="shared" si="10"/>
        <v>44181</v>
      </c>
      <c r="G45" s="54"/>
      <c r="H45" s="54"/>
      <c r="I45" s="54"/>
      <c r="J45" s="120">
        <f t="shared" si="11"/>
        <v>15</v>
      </c>
      <c r="K45" s="66">
        <f t="shared" si="5"/>
        <v>0</v>
      </c>
      <c r="L45" s="56">
        <f t="shared" si="6"/>
        <v>374000</v>
      </c>
      <c r="M45" s="66">
        <f t="shared" si="7"/>
        <v>0</v>
      </c>
      <c r="N45" s="66">
        <f t="shared" si="8"/>
        <v>0</v>
      </c>
      <c r="O45" s="66">
        <f t="shared" si="9"/>
        <v>0</v>
      </c>
      <c r="P45" s="39"/>
      <c r="Q45" s="53"/>
      <c r="R45" s="1"/>
      <c r="S45" s="1"/>
      <c r="T45" s="53"/>
      <c r="U45" s="1"/>
      <c r="V45" s="1"/>
      <c r="W45" s="53"/>
      <c r="X45" s="1"/>
    </row>
    <row r="46" spans="1:24">
      <c r="A46" s="391"/>
      <c r="B46" s="3">
        <v>60000</v>
      </c>
      <c r="C46" s="3"/>
      <c r="D46" s="114">
        <v>44166</v>
      </c>
      <c r="E46" s="1">
        <v>30</v>
      </c>
      <c r="F46" s="32">
        <f t="shared" si="10"/>
        <v>44196</v>
      </c>
      <c r="G46" s="54"/>
      <c r="H46" s="54"/>
      <c r="I46" s="54"/>
      <c r="J46" s="120">
        <f t="shared" si="11"/>
        <v>0</v>
      </c>
      <c r="K46" s="66">
        <f t="shared" si="5"/>
        <v>60000</v>
      </c>
      <c r="L46" s="56">
        <f t="shared" si="6"/>
        <v>0</v>
      </c>
      <c r="M46" s="66">
        <f t="shared" si="7"/>
        <v>0</v>
      </c>
      <c r="N46" s="66">
        <f t="shared" si="8"/>
        <v>0</v>
      </c>
      <c r="O46" s="66">
        <f t="shared" si="9"/>
        <v>0</v>
      </c>
      <c r="P46" s="39"/>
      <c r="Q46" s="53"/>
      <c r="R46" s="1"/>
      <c r="S46" s="1"/>
      <c r="T46" s="53"/>
      <c r="U46" s="1"/>
      <c r="V46" s="1"/>
      <c r="W46" s="53"/>
      <c r="X46" s="1"/>
    </row>
    <row r="47" spans="1:24">
      <c r="A47" s="391"/>
      <c r="B47" s="3">
        <v>119000</v>
      </c>
      <c r="C47" s="3"/>
      <c r="D47" s="114">
        <v>44179</v>
      </c>
      <c r="E47" s="1">
        <v>30</v>
      </c>
      <c r="F47" s="32">
        <f t="shared" si="10"/>
        <v>44209</v>
      </c>
      <c r="G47" s="54"/>
      <c r="H47" s="54"/>
      <c r="I47" s="54"/>
      <c r="J47" s="120">
        <f t="shared" si="11"/>
        <v>-13</v>
      </c>
      <c r="K47" s="66">
        <f t="shared" si="5"/>
        <v>119000</v>
      </c>
      <c r="L47" s="56">
        <f t="shared" si="6"/>
        <v>0</v>
      </c>
      <c r="M47" s="66">
        <f t="shared" si="7"/>
        <v>0</v>
      </c>
      <c r="N47" s="66">
        <f t="shared" si="8"/>
        <v>0</v>
      </c>
      <c r="O47" s="66">
        <f t="shared" si="9"/>
        <v>0</v>
      </c>
      <c r="P47" s="39"/>
      <c r="Q47" s="53"/>
      <c r="R47" s="1"/>
      <c r="S47" s="1"/>
      <c r="T47" s="53"/>
      <c r="U47" s="1"/>
      <c r="V47" s="1"/>
      <c r="W47" s="53"/>
      <c r="X47" s="1"/>
    </row>
    <row r="48" spans="1:24">
      <c r="A48" s="391"/>
      <c r="B48" s="3">
        <v>50000</v>
      </c>
      <c r="C48" s="3"/>
      <c r="D48" s="114">
        <v>44188</v>
      </c>
      <c r="E48" s="1">
        <v>30</v>
      </c>
      <c r="F48" s="32">
        <f t="shared" si="10"/>
        <v>44218</v>
      </c>
      <c r="G48" s="54"/>
      <c r="H48" s="54"/>
      <c r="I48" s="54"/>
      <c r="J48" s="120">
        <f t="shared" si="11"/>
        <v>-22</v>
      </c>
      <c r="K48" s="66">
        <f t="shared" si="5"/>
        <v>50000</v>
      </c>
      <c r="L48" s="56">
        <f t="shared" si="6"/>
        <v>0</v>
      </c>
      <c r="M48" s="66">
        <f t="shared" si="7"/>
        <v>0</v>
      </c>
      <c r="N48" s="66">
        <f t="shared" si="8"/>
        <v>0</v>
      </c>
      <c r="O48" s="66">
        <f t="shared" si="9"/>
        <v>0</v>
      </c>
      <c r="P48" s="39"/>
      <c r="Q48" s="53"/>
      <c r="R48" s="1"/>
      <c r="S48" s="1"/>
      <c r="T48" s="53"/>
      <c r="U48" s="1"/>
      <c r="V48" s="1"/>
      <c r="W48" s="53"/>
      <c r="X48" s="1"/>
    </row>
    <row r="49" spans="1:24">
      <c r="A49" s="391"/>
      <c r="B49" s="3">
        <v>120000</v>
      </c>
      <c r="C49" s="3"/>
      <c r="D49" s="114">
        <v>44173</v>
      </c>
      <c r="E49" s="1">
        <v>30</v>
      </c>
      <c r="F49" s="32">
        <f t="shared" si="10"/>
        <v>44203</v>
      </c>
      <c r="G49" s="54"/>
      <c r="H49" s="54"/>
      <c r="I49" s="54"/>
      <c r="J49" s="120">
        <f t="shared" si="11"/>
        <v>-7</v>
      </c>
      <c r="K49" s="66">
        <f t="shared" si="5"/>
        <v>120000</v>
      </c>
      <c r="L49" s="56">
        <f t="shared" si="6"/>
        <v>0</v>
      </c>
      <c r="M49" s="66">
        <f t="shared" si="7"/>
        <v>0</v>
      </c>
      <c r="N49" s="66">
        <f t="shared" si="8"/>
        <v>0</v>
      </c>
      <c r="O49" s="66">
        <f t="shared" si="9"/>
        <v>0</v>
      </c>
      <c r="P49" s="39"/>
      <c r="Q49" s="53"/>
      <c r="R49" s="1"/>
      <c r="S49" s="1"/>
      <c r="T49" s="53"/>
      <c r="U49" s="1"/>
      <c r="V49" s="1"/>
      <c r="W49" s="53"/>
      <c r="X49" s="1"/>
    </row>
    <row r="50" spans="1:24">
      <c r="A50" s="391"/>
      <c r="B50" s="3">
        <v>600000</v>
      </c>
      <c r="C50" s="3"/>
      <c r="D50" s="114">
        <v>44182</v>
      </c>
      <c r="E50" s="1">
        <v>30</v>
      </c>
      <c r="F50" s="32">
        <f t="shared" si="10"/>
        <v>44212</v>
      </c>
      <c r="G50" s="54"/>
      <c r="H50" s="54"/>
      <c r="I50" s="54"/>
      <c r="J50" s="120">
        <f t="shared" si="11"/>
        <v>-16</v>
      </c>
      <c r="K50" s="66">
        <f t="shared" si="5"/>
        <v>600000</v>
      </c>
      <c r="L50" s="56">
        <f t="shared" si="6"/>
        <v>0</v>
      </c>
      <c r="M50" s="66">
        <f t="shared" si="7"/>
        <v>0</v>
      </c>
      <c r="N50" s="66">
        <f t="shared" si="8"/>
        <v>0</v>
      </c>
      <c r="O50" s="66">
        <f t="shared" si="9"/>
        <v>0</v>
      </c>
      <c r="P50" s="39"/>
      <c r="Q50" s="53"/>
      <c r="R50" s="1"/>
      <c r="S50" s="1"/>
      <c r="T50" s="53"/>
      <c r="U50" s="1"/>
      <c r="V50" s="1"/>
      <c r="W50" s="53"/>
      <c r="X50" s="1"/>
    </row>
    <row r="51" spans="1:24">
      <c r="A51" s="391"/>
      <c r="B51" s="3">
        <v>1050000</v>
      </c>
      <c r="C51" s="3"/>
      <c r="D51" s="114">
        <v>44189</v>
      </c>
      <c r="E51" s="1">
        <v>30</v>
      </c>
      <c r="F51" s="32">
        <f t="shared" si="10"/>
        <v>44219</v>
      </c>
      <c r="G51" s="54"/>
      <c r="H51" s="54"/>
      <c r="I51" s="54"/>
      <c r="J51" s="120">
        <f t="shared" si="11"/>
        <v>-23</v>
      </c>
      <c r="K51" s="66">
        <f t="shared" si="5"/>
        <v>1050000</v>
      </c>
      <c r="L51" s="56">
        <f t="shared" si="6"/>
        <v>0</v>
      </c>
      <c r="M51" s="66">
        <f t="shared" si="7"/>
        <v>0</v>
      </c>
      <c r="N51" s="66">
        <f t="shared" si="8"/>
        <v>0</v>
      </c>
      <c r="O51" s="66">
        <f t="shared" si="9"/>
        <v>0</v>
      </c>
      <c r="P51" s="39"/>
      <c r="Q51" s="53"/>
      <c r="R51" s="1"/>
      <c r="S51" s="1"/>
      <c r="T51" s="53"/>
      <c r="U51" s="1"/>
      <c r="V51" s="1"/>
      <c r="W51" s="53"/>
      <c r="X51" s="1"/>
    </row>
    <row r="52" spans="1:24">
      <c r="A52" s="391"/>
      <c r="B52" s="3">
        <v>246000</v>
      </c>
      <c r="C52" s="3"/>
      <c r="D52" s="114">
        <v>44189</v>
      </c>
      <c r="E52" s="1">
        <v>30</v>
      </c>
      <c r="F52" s="32">
        <f t="shared" si="10"/>
        <v>44219</v>
      </c>
      <c r="G52" s="54"/>
      <c r="H52" s="54"/>
      <c r="I52" s="54"/>
      <c r="J52" s="120">
        <f t="shared" si="11"/>
        <v>-23</v>
      </c>
      <c r="K52" s="66">
        <f t="shared" si="5"/>
        <v>246000</v>
      </c>
      <c r="L52" s="56">
        <f t="shared" si="6"/>
        <v>0</v>
      </c>
      <c r="M52" s="66">
        <f t="shared" si="7"/>
        <v>0</v>
      </c>
      <c r="N52" s="66">
        <f t="shared" si="8"/>
        <v>0</v>
      </c>
      <c r="O52" s="66">
        <f t="shared" si="9"/>
        <v>0</v>
      </c>
      <c r="P52" s="39"/>
      <c r="Q52" s="53"/>
      <c r="R52" s="1"/>
      <c r="S52" s="1"/>
      <c r="T52" s="53"/>
      <c r="U52" s="1"/>
      <c r="V52" s="1"/>
      <c r="W52" s="53"/>
      <c r="X52" s="1"/>
    </row>
    <row r="53" spans="1:24">
      <c r="A53" s="391"/>
      <c r="B53" s="3">
        <v>580000</v>
      </c>
      <c r="C53" s="3"/>
      <c r="D53" s="114">
        <v>44188</v>
      </c>
      <c r="E53" s="1">
        <v>30</v>
      </c>
      <c r="F53" s="32">
        <f t="shared" si="10"/>
        <v>44218</v>
      </c>
      <c r="G53" s="54"/>
      <c r="H53" s="54"/>
      <c r="I53" s="54"/>
      <c r="J53" s="120">
        <f t="shared" si="11"/>
        <v>-22</v>
      </c>
      <c r="K53" s="66">
        <f t="shared" si="5"/>
        <v>580000</v>
      </c>
      <c r="L53" s="56">
        <f t="shared" si="6"/>
        <v>0</v>
      </c>
      <c r="M53" s="66">
        <f t="shared" si="7"/>
        <v>0</v>
      </c>
      <c r="N53" s="66">
        <f t="shared" si="8"/>
        <v>0</v>
      </c>
      <c r="O53" s="66">
        <f t="shared" si="9"/>
        <v>0</v>
      </c>
      <c r="P53" s="39"/>
      <c r="Q53" s="53"/>
      <c r="R53" s="1"/>
      <c r="S53" s="1"/>
      <c r="T53" s="53"/>
      <c r="U53" s="1"/>
      <c r="V53" s="1"/>
      <c r="W53" s="53"/>
      <c r="X53" s="1"/>
    </row>
    <row r="54" spans="1:24">
      <c r="A54" s="391"/>
      <c r="B54" s="3">
        <v>135000</v>
      </c>
      <c r="C54" s="3"/>
      <c r="D54" s="114">
        <v>44191</v>
      </c>
      <c r="E54" s="1">
        <v>30</v>
      </c>
      <c r="F54" s="32">
        <f t="shared" si="10"/>
        <v>44221</v>
      </c>
      <c r="G54" s="54"/>
      <c r="H54" s="54"/>
      <c r="I54" s="54"/>
      <c r="J54" s="120">
        <f t="shared" si="11"/>
        <v>-25</v>
      </c>
      <c r="K54" s="66">
        <f t="shared" si="5"/>
        <v>135000</v>
      </c>
      <c r="L54" s="56">
        <f t="shared" si="6"/>
        <v>0</v>
      </c>
      <c r="M54" s="66">
        <f t="shared" si="7"/>
        <v>0</v>
      </c>
      <c r="N54" s="66">
        <f t="shared" si="8"/>
        <v>0</v>
      </c>
      <c r="O54" s="66">
        <f t="shared" si="9"/>
        <v>0</v>
      </c>
      <c r="P54" s="39"/>
      <c r="Q54" s="53"/>
      <c r="R54" s="1"/>
      <c r="S54" s="1"/>
      <c r="T54" s="53"/>
      <c r="U54" s="1"/>
      <c r="V54" s="1"/>
      <c r="W54" s="53"/>
      <c r="X54" s="1"/>
    </row>
    <row r="55" spans="1:24">
      <c r="A55" s="391"/>
      <c r="B55" s="3">
        <v>31000</v>
      </c>
      <c r="C55" s="3"/>
      <c r="D55" s="114">
        <v>44183</v>
      </c>
      <c r="E55" s="1">
        <v>30</v>
      </c>
      <c r="F55" s="32">
        <f t="shared" si="10"/>
        <v>44213</v>
      </c>
      <c r="G55" s="54"/>
      <c r="H55" s="54"/>
      <c r="I55" s="54"/>
      <c r="J55" s="120">
        <f t="shared" si="11"/>
        <v>-17</v>
      </c>
      <c r="K55" s="66">
        <f t="shared" si="5"/>
        <v>31000</v>
      </c>
      <c r="L55" s="56">
        <f t="shared" si="6"/>
        <v>0</v>
      </c>
      <c r="M55" s="66">
        <f t="shared" si="7"/>
        <v>0</v>
      </c>
      <c r="N55" s="66">
        <f t="shared" si="8"/>
        <v>0</v>
      </c>
      <c r="O55" s="66">
        <f t="shared" si="9"/>
        <v>0</v>
      </c>
      <c r="P55" s="39"/>
      <c r="Q55" s="53"/>
      <c r="R55" s="1"/>
      <c r="S55" s="1"/>
      <c r="T55" s="53"/>
      <c r="U55" s="1"/>
      <c r="V55" s="1"/>
      <c r="W55" s="53"/>
      <c r="X55" s="1"/>
    </row>
    <row r="56" spans="1:24">
      <c r="A56" s="391"/>
      <c r="B56" s="3">
        <v>30000</v>
      </c>
      <c r="C56" s="3"/>
      <c r="D56" s="114">
        <v>44175</v>
      </c>
      <c r="E56" s="1">
        <v>30</v>
      </c>
      <c r="F56" s="32">
        <f t="shared" si="10"/>
        <v>44205</v>
      </c>
      <c r="G56" s="54"/>
      <c r="H56" s="54"/>
      <c r="I56" s="54"/>
      <c r="J56" s="120">
        <f t="shared" si="11"/>
        <v>-9</v>
      </c>
      <c r="K56" s="66">
        <f t="shared" si="5"/>
        <v>30000</v>
      </c>
      <c r="L56" s="56">
        <f t="shared" si="6"/>
        <v>0</v>
      </c>
      <c r="M56" s="66">
        <f t="shared" si="7"/>
        <v>0</v>
      </c>
      <c r="N56" s="66">
        <f t="shared" si="8"/>
        <v>0</v>
      </c>
      <c r="O56" s="66">
        <f t="shared" si="9"/>
        <v>0</v>
      </c>
      <c r="P56" s="39"/>
      <c r="Q56" s="53"/>
      <c r="R56" s="1"/>
      <c r="S56" s="1"/>
      <c r="T56" s="53"/>
      <c r="U56" s="1"/>
      <c r="V56" s="1"/>
      <c r="W56" s="53"/>
      <c r="X56" s="1"/>
    </row>
    <row r="57" spans="1:24">
      <c r="A57" s="391"/>
      <c r="B57" s="3">
        <v>28000</v>
      </c>
      <c r="C57" s="3"/>
      <c r="D57" s="114">
        <v>44177</v>
      </c>
      <c r="E57" s="1">
        <v>30</v>
      </c>
      <c r="F57" s="32">
        <f t="shared" si="10"/>
        <v>44207</v>
      </c>
      <c r="G57" s="54"/>
      <c r="H57" s="54"/>
      <c r="I57" s="54"/>
      <c r="J57" s="120">
        <f t="shared" si="11"/>
        <v>-11</v>
      </c>
      <c r="K57" s="66">
        <f t="shared" si="5"/>
        <v>28000</v>
      </c>
      <c r="L57" s="56">
        <f t="shared" si="6"/>
        <v>0</v>
      </c>
      <c r="M57" s="66">
        <f t="shared" si="7"/>
        <v>0</v>
      </c>
      <c r="N57" s="66">
        <f t="shared" si="8"/>
        <v>0</v>
      </c>
      <c r="O57" s="66">
        <f t="shared" si="9"/>
        <v>0</v>
      </c>
      <c r="P57" s="39"/>
      <c r="Q57" s="53"/>
      <c r="R57" s="1"/>
      <c r="S57" s="1"/>
      <c r="T57" s="53"/>
      <c r="U57" s="1"/>
      <c r="V57" s="1"/>
      <c r="W57" s="53"/>
      <c r="X57" s="1"/>
    </row>
    <row r="58" spans="1:24">
      <c r="A58" s="391"/>
      <c r="B58" s="3">
        <v>300000</v>
      </c>
      <c r="C58" s="3"/>
      <c r="D58" s="114">
        <v>44179</v>
      </c>
      <c r="E58" s="1">
        <v>30</v>
      </c>
      <c r="F58" s="32">
        <f t="shared" si="10"/>
        <v>44209</v>
      </c>
      <c r="G58" s="54"/>
      <c r="H58" s="54"/>
      <c r="I58" s="54"/>
      <c r="J58" s="120">
        <f t="shared" si="11"/>
        <v>-13</v>
      </c>
      <c r="K58" s="66">
        <f t="shared" si="5"/>
        <v>300000</v>
      </c>
      <c r="L58" s="56">
        <f t="shared" si="6"/>
        <v>0</v>
      </c>
      <c r="M58" s="66">
        <f t="shared" si="7"/>
        <v>0</v>
      </c>
      <c r="N58" s="66">
        <f t="shared" si="8"/>
        <v>0</v>
      </c>
      <c r="O58" s="66">
        <f t="shared" si="9"/>
        <v>0</v>
      </c>
      <c r="P58" s="39"/>
      <c r="Q58" s="53"/>
      <c r="R58" s="1"/>
      <c r="S58" s="1"/>
      <c r="T58" s="53"/>
      <c r="U58" s="1"/>
      <c r="V58" s="1"/>
      <c r="W58" s="53"/>
      <c r="X58" s="1"/>
    </row>
    <row r="59" spans="1:24">
      <c r="A59" s="391"/>
      <c r="B59" s="3">
        <v>32000</v>
      </c>
      <c r="C59" s="3"/>
      <c r="D59" s="114">
        <v>44179</v>
      </c>
      <c r="E59" s="1">
        <v>30</v>
      </c>
      <c r="F59" s="32">
        <f t="shared" si="10"/>
        <v>44209</v>
      </c>
      <c r="G59" s="54"/>
      <c r="H59" s="54"/>
      <c r="I59" s="54"/>
      <c r="J59" s="120">
        <f t="shared" si="11"/>
        <v>-13</v>
      </c>
      <c r="K59" s="66">
        <f t="shared" si="5"/>
        <v>32000</v>
      </c>
      <c r="L59" s="56">
        <f t="shared" si="6"/>
        <v>0</v>
      </c>
      <c r="M59" s="66">
        <f t="shared" si="7"/>
        <v>0</v>
      </c>
      <c r="N59" s="66">
        <f t="shared" si="8"/>
        <v>0</v>
      </c>
      <c r="O59" s="66">
        <f t="shared" si="9"/>
        <v>0</v>
      </c>
      <c r="P59" s="39"/>
      <c r="Q59" s="53"/>
      <c r="R59" s="1"/>
      <c r="S59" s="1"/>
      <c r="T59" s="53"/>
      <c r="U59" s="1"/>
      <c r="V59" s="1"/>
      <c r="W59" s="53"/>
      <c r="X59" s="1"/>
    </row>
    <row r="60" spans="1:24">
      <c r="A60" s="391"/>
      <c r="B60" s="3">
        <v>26000</v>
      </c>
      <c r="C60" s="3"/>
      <c r="D60" s="114">
        <v>44181</v>
      </c>
      <c r="E60" s="1">
        <v>30</v>
      </c>
      <c r="F60" s="32">
        <f t="shared" si="10"/>
        <v>44211</v>
      </c>
      <c r="G60" s="54"/>
      <c r="H60" s="54"/>
      <c r="I60" s="54"/>
      <c r="J60" s="120">
        <f t="shared" si="11"/>
        <v>-15</v>
      </c>
      <c r="K60" s="66">
        <f t="shared" si="5"/>
        <v>26000</v>
      </c>
      <c r="L60" s="56">
        <f t="shared" si="6"/>
        <v>0</v>
      </c>
      <c r="M60" s="66">
        <f t="shared" si="7"/>
        <v>0</v>
      </c>
      <c r="N60" s="66">
        <f t="shared" si="8"/>
        <v>0</v>
      </c>
      <c r="O60" s="66">
        <f t="shared" si="9"/>
        <v>0</v>
      </c>
      <c r="P60" s="39"/>
      <c r="Q60" s="53"/>
      <c r="R60" s="1"/>
      <c r="S60" s="1"/>
      <c r="T60" s="53"/>
      <c r="U60" s="1"/>
      <c r="V60" s="1"/>
      <c r="W60" s="53"/>
      <c r="X60" s="1"/>
    </row>
    <row r="61" spans="1:24">
      <c r="A61" s="391"/>
      <c r="B61" s="3">
        <v>587000</v>
      </c>
      <c r="C61" s="3"/>
      <c r="D61" s="114">
        <v>44183</v>
      </c>
      <c r="E61" s="1">
        <v>30</v>
      </c>
      <c r="F61" s="32">
        <f t="shared" si="10"/>
        <v>44213</v>
      </c>
      <c r="G61" s="54"/>
      <c r="H61" s="54"/>
      <c r="I61" s="54"/>
      <c r="J61" s="120">
        <f t="shared" si="11"/>
        <v>-17</v>
      </c>
      <c r="K61" s="66">
        <f t="shared" si="5"/>
        <v>587000</v>
      </c>
      <c r="L61" s="56">
        <f t="shared" si="6"/>
        <v>0</v>
      </c>
      <c r="M61" s="66">
        <f t="shared" si="7"/>
        <v>0</v>
      </c>
      <c r="N61" s="66">
        <f t="shared" si="8"/>
        <v>0</v>
      </c>
      <c r="O61" s="66">
        <f t="shared" si="9"/>
        <v>0</v>
      </c>
      <c r="P61" s="39"/>
      <c r="Q61" s="53"/>
      <c r="R61" s="1"/>
      <c r="S61" s="1"/>
      <c r="T61" s="53"/>
      <c r="U61" s="1"/>
      <c r="V61" s="1"/>
      <c r="W61" s="53"/>
      <c r="X61" s="1"/>
    </row>
    <row r="62" spans="1:24">
      <c r="A62" s="391"/>
      <c r="B62" s="3">
        <v>400000</v>
      </c>
      <c r="C62" s="3"/>
      <c r="D62" s="114">
        <v>44181</v>
      </c>
      <c r="E62" s="1">
        <v>30</v>
      </c>
      <c r="F62" s="32">
        <f t="shared" si="10"/>
        <v>44211</v>
      </c>
      <c r="G62" s="54"/>
      <c r="H62" s="54"/>
      <c r="I62" s="54"/>
      <c r="J62" s="120">
        <f t="shared" si="11"/>
        <v>-15</v>
      </c>
      <c r="K62" s="66">
        <f t="shared" si="5"/>
        <v>400000</v>
      </c>
      <c r="L62" s="56">
        <f t="shared" si="6"/>
        <v>0</v>
      </c>
      <c r="M62" s="66">
        <f t="shared" si="7"/>
        <v>0</v>
      </c>
      <c r="N62" s="66">
        <f t="shared" si="8"/>
        <v>0</v>
      </c>
      <c r="O62" s="66">
        <f t="shared" si="9"/>
        <v>0</v>
      </c>
      <c r="P62" s="39"/>
      <c r="Q62" s="53"/>
      <c r="R62" s="1"/>
      <c r="S62" s="1"/>
      <c r="T62" s="53"/>
      <c r="U62" s="1"/>
      <c r="V62" s="1"/>
      <c r="W62" s="53"/>
      <c r="X62" s="1"/>
    </row>
    <row r="63" spans="1:24">
      <c r="A63" s="391"/>
      <c r="B63" s="3">
        <v>32500</v>
      </c>
      <c r="C63" s="3"/>
      <c r="D63" s="114">
        <v>44182</v>
      </c>
      <c r="E63" s="1">
        <v>30</v>
      </c>
      <c r="F63" s="32">
        <f t="shared" si="10"/>
        <v>44212</v>
      </c>
      <c r="G63" s="54"/>
      <c r="H63" s="54"/>
      <c r="I63" s="54"/>
      <c r="J63" s="120">
        <f t="shared" si="11"/>
        <v>-16</v>
      </c>
      <c r="K63" s="66">
        <f t="shared" si="5"/>
        <v>32500</v>
      </c>
      <c r="L63" s="56">
        <f t="shared" si="6"/>
        <v>0</v>
      </c>
      <c r="M63" s="66">
        <f t="shared" si="7"/>
        <v>0</v>
      </c>
      <c r="N63" s="66">
        <f t="shared" si="8"/>
        <v>0</v>
      </c>
      <c r="O63" s="66">
        <f t="shared" si="9"/>
        <v>0</v>
      </c>
      <c r="P63" s="39"/>
      <c r="Q63" s="53"/>
      <c r="R63" s="1"/>
      <c r="S63" s="1"/>
      <c r="T63" s="53"/>
      <c r="U63" s="1"/>
      <c r="V63" s="1"/>
      <c r="W63" s="53"/>
      <c r="X63" s="1"/>
    </row>
    <row r="64" spans="1:24">
      <c r="A64" s="391"/>
      <c r="B64" s="3">
        <v>321500</v>
      </c>
      <c r="C64" s="3"/>
      <c r="D64" s="114">
        <v>44166</v>
      </c>
      <c r="E64" s="1">
        <v>30</v>
      </c>
      <c r="F64" s="32">
        <f t="shared" si="10"/>
        <v>44196</v>
      </c>
      <c r="G64" s="54"/>
      <c r="H64" s="54"/>
      <c r="I64" s="54"/>
      <c r="J64" s="120">
        <f t="shared" si="11"/>
        <v>0</v>
      </c>
      <c r="K64" s="66">
        <f t="shared" si="5"/>
        <v>321500</v>
      </c>
      <c r="L64" s="56">
        <f t="shared" si="6"/>
        <v>0</v>
      </c>
      <c r="M64" s="66">
        <f t="shared" si="7"/>
        <v>0</v>
      </c>
      <c r="N64" s="66">
        <f t="shared" si="8"/>
        <v>0</v>
      </c>
      <c r="O64" s="66">
        <f t="shared" si="9"/>
        <v>0</v>
      </c>
      <c r="P64" s="39"/>
      <c r="Q64" s="53"/>
      <c r="R64" s="1"/>
      <c r="S64" s="1"/>
      <c r="T64" s="53"/>
      <c r="U64" s="1"/>
      <c r="V64" s="1"/>
      <c r="W64" s="53"/>
      <c r="X64" s="1"/>
    </row>
    <row r="65" spans="1:24">
      <c r="A65" s="391"/>
      <c r="B65" s="3">
        <v>75000</v>
      </c>
      <c r="C65" s="3"/>
      <c r="D65" s="114">
        <v>44167</v>
      </c>
      <c r="E65" s="1">
        <v>30</v>
      </c>
      <c r="F65" s="32">
        <f t="shared" si="10"/>
        <v>44197</v>
      </c>
      <c r="G65" s="54"/>
      <c r="H65" s="54"/>
      <c r="I65" s="54"/>
      <c r="J65" s="120">
        <f t="shared" si="11"/>
        <v>-1</v>
      </c>
      <c r="K65" s="66">
        <f t="shared" si="5"/>
        <v>75000</v>
      </c>
      <c r="L65" s="56">
        <f t="shared" si="6"/>
        <v>0</v>
      </c>
      <c r="M65" s="66">
        <f t="shared" si="7"/>
        <v>0</v>
      </c>
      <c r="N65" s="66">
        <f t="shared" si="8"/>
        <v>0</v>
      </c>
      <c r="O65" s="66">
        <f t="shared" si="9"/>
        <v>0</v>
      </c>
      <c r="P65" s="39"/>
      <c r="Q65" s="53"/>
      <c r="R65" s="1"/>
      <c r="S65" s="1"/>
      <c r="T65" s="53"/>
      <c r="U65" s="1"/>
      <c r="V65" s="1"/>
      <c r="W65" s="53"/>
      <c r="X65" s="1"/>
    </row>
    <row r="66" spans="1:24">
      <c r="A66" s="391"/>
      <c r="B66" s="3">
        <v>330000</v>
      </c>
      <c r="C66" s="3"/>
      <c r="D66" s="114">
        <v>44177</v>
      </c>
      <c r="E66" s="1">
        <v>30</v>
      </c>
      <c r="F66" s="32">
        <f t="shared" si="10"/>
        <v>44207</v>
      </c>
      <c r="G66" s="54"/>
      <c r="H66" s="54"/>
      <c r="I66" s="54"/>
      <c r="J66" s="120">
        <f t="shared" si="11"/>
        <v>-11</v>
      </c>
      <c r="K66" s="66">
        <f t="shared" si="5"/>
        <v>330000</v>
      </c>
      <c r="L66" s="56">
        <f t="shared" si="6"/>
        <v>0</v>
      </c>
      <c r="M66" s="66">
        <f t="shared" si="7"/>
        <v>0</v>
      </c>
      <c r="N66" s="66">
        <f t="shared" si="8"/>
        <v>0</v>
      </c>
      <c r="O66" s="66">
        <f t="shared" si="9"/>
        <v>0</v>
      </c>
      <c r="P66" s="39"/>
      <c r="Q66" s="53"/>
      <c r="R66" s="1"/>
      <c r="S66" s="1"/>
      <c r="T66" s="53"/>
      <c r="U66" s="1"/>
      <c r="V66" s="1"/>
      <c r="W66" s="53"/>
      <c r="X66" s="1"/>
    </row>
    <row r="67" spans="1:24">
      <c r="A67" s="391"/>
      <c r="B67" s="3">
        <v>350000</v>
      </c>
      <c r="C67" s="3"/>
      <c r="D67" s="114">
        <v>44141</v>
      </c>
      <c r="E67" s="1">
        <v>30</v>
      </c>
      <c r="F67" s="32">
        <f t="shared" si="10"/>
        <v>44171</v>
      </c>
      <c r="G67" s="54"/>
      <c r="H67" s="54"/>
      <c r="I67" s="54"/>
      <c r="J67" s="120">
        <f t="shared" si="11"/>
        <v>25</v>
      </c>
      <c r="K67" s="66">
        <f t="shared" si="5"/>
        <v>0</v>
      </c>
      <c r="L67" s="56">
        <f t="shared" si="6"/>
        <v>350000</v>
      </c>
      <c r="M67" s="66">
        <f t="shared" si="7"/>
        <v>0</v>
      </c>
      <c r="N67" s="66">
        <f t="shared" si="8"/>
        <v>0</v>
      </c>
      <c r="O67" s="66">
        <f t="shared" si="9"/>
        <v>0</v>
      </c>
      <c r="P67" s="39"/>
      <c r="Q67" s="53"/>
      <c r="R67" s="1"/>
      <c r="S67" s="1"/>
      <c r="T67" s="53"/>
      <c r="U67" s="1"/>
      <c r="V67" s="1"/>
      <c r="W67" s="53"/>
      <c r="X67" s="1"/>
    </row>
    <row r="68" spans="1:24">
      <c r="A68" s="391"/>
      <c r="B68" s="3">
        <v>300000</v>
      </c>
      <c r="C68" s="3"/>
      <c r="D68" s="114">
        <v>44152</v>
      </c>
      <c r="E68" s="1">
        <v>30</v>
      </c>
      <c r="F68" s="32">
        <f t="shared" si="10"/>
        <v>44182</v>
      </c>
      <c r="G68" s="54"/>
      <c r="H68" s="54"/>
      <c r="I68" s="54"/>
      <c r="J68" s="120">
        <f t="shared" si="11"/>
        <v>14</v>
      </c>
      <c r="K68" s="66">
        <f t="shared" si="5"/>
        <v>0</v>
      </c>
      <c r="L68" s="56">
        <f t="shared" si="6"/>
        <v>300000</v>
      </c>
      <c r="M68" s="66">
        <f t="shared" si="7"/>
        <v>0</v>
      </c>
      <c r="N68" s="66">
        <f t="shared" si="8"/>
        <v>0</v>
      </c>
      <c r="O68" s="66">
        <f t="shared" si="9"/>
        <v>0</v>
      </c>
      <c r="P68" s="39"/>
      <c r="Q68" s="53"/>
      <c r="R68" s="1"/>
      <c r="S68" s="1"/>
      <c r="T68" s="53"/>
      <c r="U68" s="1"/>
      <c r="V68" s="1"/>
      <c r="W68" s="53"/>
      <c r="X68" s="1"/>
    </row>
    <row r="69" spans="1:24">
      <c r="A69" s="391"/>
      <c r="B69" s="3">
        <v>64000</v>
      </c>
      <c r="C69" s="3"/>
      <c r="D69" s="114">
        <v>44147</v>
      </c>
      <c r="E69" s="1">
        <v>30</v>
      </c>
      <c r="F69" s="32">
        <f t="shared" si="10"/>
        <v>44177</v>
      </c>
      <c r="G69" s="54"/>
      <c r="H69" s="54"/>
      <c r="I69" s="54"/>
      <c r="J69" s="120">
        <f t="shared" si="11"/>
        <v>19</v>
      </c>
      <c r="K69" s="66">
        <f t="shared" si="5"/>
        <v>0</v>
      </c>
      <c r="L69" s="56">
        <f t="shared" si="6"/>
        <v>64000</v>
      </c>
      <c r="M69" s="66">
        <f t="shared" si="7"/>
        <v>0</v>
      </c>
      <c r="N69" s="66">
        <f t="shared" si="8"/>
        <v>0</v>
      </c>
      <c r="O69" s="66">
        <f t="shared" si="9"/>
        <v>0</v>
      </c>
      <c r="P69" s="39"/>
      <c r="Q69" s="53"/>
      <c r="R69" s="1"/>
      <c r="S69" s="1"/>
      <c r="T69" s="53"/>
      <c r="U69" s="1"/>
      <c r="V69" s="1"/>
      <c r="W69" s="53"/>
      <c r="X69" s="1"/>
    </row>
    <row r="70" spans="1:24">
      <c r="A70" s="391"/>
      <c r="B70" s="3">
        <v>90000</v>
      </c>
      <c r="C70" s="3"/>
      <c r="D70" s="114">
        <v>44166</v>
      </c>
      <c r="E70" s="1">
        <v>30</v>
      </c>
      <c r="F70" s="32">
        <f t="shared" si="10"/>
        <v>44196</v>
      </c>
      <c r="G70" s="54"/>
      <c r="H70" s="54"/>
      <c r="I70" s="54"/>
      <c r="J70" s="120">
        <f t="shared" si="11"/>
        <v>0</v>
      </c>
      <c r="K70" s="66">
        <f t="shared" si="5"/>
        <v>90000</v>
      </c>
      <c r="L70" s="56">
        <f t="shared" si="6"/>
        <v>0</v>
      </c>
      <c r="M70" s="66">
        <f t="shared" si="7"/>
        <v>0</v>
      </c>
      <c r="N70" s="66">
        <f t="shared" si="8"/>
        <v>0</v>
      </c>
      <c r="O70" s="66">
        <f t="shared" si="9"/>
        <v>0</v>
      </c>
      <c r="P70" s="39"/>
      <c r="Q70" s="53"/>
      <c r="R70" s="1"/>
      <c r="S70" s="1"/>
      <c r="T70" s="53"/>
      <c r="U70" s="1"/>
      <c r="V70" s="1"/>
      <c r="W70" s="53"/>
      <c r="X70" s="1"/>
    </row>
    <row r="71" spans="1:24">
      <c r="A71" s="391"/>
      <c r="B71" s="3">
        <v>29000</v>
      </c>
      <c r="C71" s="3"/>
      <c r="D71" s="114">
        <v>44189</v>
      </c>
      <c r="E71" s="1">
        <v>30</v>
      </c>
      <c r="F71" s="32">
        <f t="shared" si="10"/>
        <v>44219</v>
      </c>
      <c r="G71" s="54"/>
      <c r="H71" s="54"/>
      <c r="I71" s="54"/>
      <c r="J71" s="120">
        <f t="shared" si="11"/>
        <v>-23</v>
      </c>
      <c r="K71" s="66">
        <f t="shared" si="5"/>
        <v>29000</v>
      </c>
      <c r="L71" s="56">
        <f t="shared" si="6"/>
        <v>0</v>
      </c>
      <c r="M71" s="66">
        <f t="shared" si="7"/>
        <v>0</v>
      </c>
      <c r="N71" s="66">
        <f t="shared" si="8"/>
        <v>0</v>
      </c>
      <c r="O71" s="66">
        <f t="shared" si="9"/>
        <v>0</v>
      </c>
      <c r="P71" s="39"/>
      <c r="Q71" s="53"/>
      <c r="R71" s="1"/>
      <c r="S71" s="1"/>
      <c r="T71" s="53"/>
      <c r="U71" s="1"/>
      <c r="V71" s="1"/>
      <c r="W71" s="53"/>
      <c r="X71" s="1"/>
    </row>
    <row r="72" spans="1:24">
      <c r="A72" s="391"/>
      <c r="B72" s="3">
        <v>13000</v>
      </c>
      <c r="C72" s="3"/>
      <c r="D72" s="114">
        <v>44193</v>
      </c>
      <c r="E72" s="1">
        <v>30</v>
      </c>
      <c r="F72" s="32">
        <f t="shared" si="10"/>
        <v>44223</v>
      </c>
      <c r="G72" s="54"/>
      <c r="H72" s="54"/>
      <c r="I72" s="54"/>
      <c r="J72" s="120">
        <f t="shared" si="11"/>
        <v>-27</v>
      </c>
      <c r="K72" s="66">
        <f t="shared" si="5"/>
        <v>13000</v>
      </c>
      <c r="L72" s="56">
        <f t="shared" si="6"/>
        <v>0</v>
      </c>
      <c r="M72" s="66">
        <f t="shared" si="7"/>
        <v>0</v>
      </c>
      <c r="N72" s="66">
        <f t="shared" si="8"/>
        <v>0</v>
      </c>
      <c r="O72" s="66">
        <f t="shared" si="9"/>
        <v>0</v>
      </c>
      <c r="P72" s="39"/>
      <c r="Q72" s="53"/>
      <c r="R72" s="1"/>
      <c r="S72" s="1"/>
      <c r="T72" s="53"/>
      <c r="U72" s="1"/>
      <c r="V72" s="1"/>
      <c r="W72" s="53"/>
      <c r="X72" s="1"/>
    </row>
    <row r="73" spans="1:24">
      <c r="A73" s="391"/>
      <c r="B73" s="3">
        <v>1800000</v>
      </c>
      <c r="C73" s="3"/>
      <c r="D73" s="114">
        <v>44187</v>
      </c>
      <c r="E73" s="1">
        <v>30</v>
      </c>
      <c r="F73" s="32">
        <f t="shared" si="10"/>
        <v>44217</v>
      </c>
      <c r="G73" s="54"/>
      <c r="H73" s="54"/>
      <c r="I73" s="54"/>
      <c r="J73" s="120">
        <f t="shared" si="11"/>
        <v>-21</v>
      </c>
      <c r="K73" s="66">
        <f t="shared" ref="K73:K78" si="12">IF(J73&lt;=0,B73,0)</f>
        <v>1800000</v>
      </c>
      <c r="L73" s="56">
        <f t="shared" ref="L73:L78" si="13">IF(AND(J73&gt;=1,J73&lt;=30),B73,0)</f>
        <v>0</v>
      </c>
      <c r="M73" s="66">
        <f t="shared" ref="M73:M78" si="14">IF(AND(J73&gt;=31,J73&lt;=60),B73,0)</f>
        <v>0</v>
      </c>
      <c r="N73" s="66">
        <f t="shared" ref="N73:N78" si="15">IF(AND(J73&gt;=61,J73&lt;=90),B73,0)</f>
        <v>0</v>
      </c>
      <c r="O73" s="66">
        <f t="shared" ref="O73:O78" si="16">IF(J73&gt;90,B73,0)</f>
        <v>0</v>
      </c>
      <c r="P73" s="39"/>
      <c r="Q73" s="53"/>
      <c r="R73" s="1"/>
      <c r="S73" s="1"/>
      <c r="T73" s="53"/>
      <c r="U73" s="1"/>
      <c r="V73" s="1"/>
      <c r="W73" s="53"/>
      <c r="X73" s="1"/>
    </row>
    <row r="74" spans="1:24">
      <c r="A74" s="391"/>
      <c r="B74" s="3">
        <v>534000</v>
      </c>
      <c r="C74" s="3"/>
      <c r="D74" s="114">
        <v>44195</v>
      </c>
      <c r="E74" s="1">
        <v>30</v>
      </c>
      <c r="F74" s="32">
        <f t="shared" si="10"/>
        <v>44225</v>
      </c>
      <c r="G74" s="54"/>
      <c r="H74" s="54"/>
      <c r="I74" s="54"/>
      <c r="J74" s="120">
        <f t="shared" si="11"/>
        <v>-29</v>
      </c>
      <c r="K74" s="66">
        <f t="shared" si="12"/>
        <v>534000</v>
      </c>
      <c r="L74" s="56">
        <f t="shared" si="13"/>
        <v>0</v>
      </c>
      <c r="M74" s="66">
        <f t="shared" si="14"/>
        <v>0</v>
      </c>
      <c r="N74" s="66">
        <f t="shared" si="15"/>
        <v>0</v>
      </c>
      <c r="O74" s="66">
        <f t="shared" si="16"/>
        <v>0</v>
      </c>
      <c r="P74" s="39"/>
      <c r="Q74" s="53"/>
      <c r="R74" s="1"/>
      <c r="S74" s="1"/>
      <c r="T74" s="53"/>
      <c r="U74" s="1"/>
      <c r="V74" s="1"/>
      <c r="W74" s="53"/>
      <c r="X74" s="1"/>
    </row>
    <row r="75" spans="1:24">
      <c r="A75" s="391"/>
      <c r="B75" s="3">
        <v>235000</v>
      </c>
      <c r="C75" s="3"/>
      <c r="D75" s="114">
        <v>44189</v>
      </c>
      <c r="E75" s="1">
        <v>30</v>
      </c>
      <c r="F75" s="32">
        <f t="shared" si="10"/>
        <v>44219</v>
      </c>
      <c r="G75" s="54"/>
      <c r="H75" s="54"/>
      <c r="I75" s="54"/>
      <c r="J75" s="120">
        <f t="shared" si="11"/>
        <v>-23</v>
      </c>
      <c r="K75" s="66">
        <f t="shared" si="12"/>
        <v>235000</v>
      </c>
      <c r="L75" s="56">
        <f t="shared" si="13"/>
        <v>0</v>
      </c>
      <c r="M75" s="66">
        <f t="shared" si="14"/>
        <v>0</v>
      </c>
      <c r="N75" s="66">
        <f t="shared" si="15"/>
        <v>0</v>
      </c>
      <c r="O75" s="66">
        <f t="shared" si="16"/>
        <v>0</v>
      </c>
      <c r="P75" s="39"/>
      <c r="Q75" s="53"/>
      <c r="R75" s="1"/>
      <c r="S75" s="1"/>
      <c r="T75" s="53"/>
      <c r="U75" s="1"/>
      <c r="V75" s="1"/>
      <c r="W75" s="53"/>
      <c r="X75" s="1"/>
    </row>
    <row r="76" spans="1:24">
      <c r="A76" s="391"/>
      <c r="B76" s="3">
        <v>200000</v>
      </c>
      <c r="C76" s="3"/>
      <c r="D76" s="114">
        <v>44175</v>
      </c>
      <c r="E76" s="1">
        <v>30</v>
      </c>
      <c r="F76" s="32">
        <f t="shared" si="10"/>
        <v>44205</v>
      </c>
      <c r="G76" s="54"/>
      <c r="H76" s="54"/>
      <c r="I76" s="54"/>
      <c r="J76" s="120">
        <f t="shared" si="11"/>
        <v>-9</v>
      </c>
      <c r="K76" s="66">
        <f t="shared" si="12"/>
        <v>200000</v>
      </c>
      <c r="L76" s="56">
        <f t="shared" si="13"/>
        <v>0</v>
      </c>
      <c r="M76" s="66">
        <f t="shared" si="14"/>
        <v>0</v>
      </c>
      <c r="N76" s="66">
        <f t="shared" si="15"/>
        <v>0</v>
      </c>
      <c r="O76" s="66">
        <f t="shared" si="16"/>
        <v>0</v>
      </c>
      <c r="P76" s="39"/>
      <c r="Q76" s="53"/>
      <c r="R76" s="1"/>
      <c r="S76" s="1"/>
      <c r="T76" s="53"/>
      <c r="U76" s="1"/>
      <c r="V76" s="1"/>
      <c r="W76" s="53"/>
      <c r="X76" s="1"/>
    </row>
    <row r="77" spans="1:24">
      <c r="A77" s="391"/>
      <c r="B77" s="3">
        <v>195000</v>
      </c>
      <c r="C77" s="3"/>
      <c r="D77" s="114">
        <v>44187</v>
      </c>
      <c r="E77" s="1">
        <v>30</v>
      </c>
      <c r="F77" s="32">
        <f t="shared" si="10"/>
        <v>44217</v>
      </c>
      <c r="G77" s="54"/>
      <c r="H77" s="54"/>
      <c r="I77" s="54"/>
      <c r="J77" s="120">
        <f t="shared" si="11"/>
        <v>-21</v>
      </c>
      <c r="K77" s="66">
        <f t="shared" si="12"/>
        <v>195000</v>
      </c>
      <c r="L77" s="56">
        <f t="shared" si="13"/>
        <v>0</v>
      </c>
      <c r="M77" s="66">
        <f t="shared" si="14"/>
        <v>0</v>
      </c>
      <c r="N77" s="66">
        <f t="shared" si="15"/>
        <v>0</v>
      </c>
      <c r="O77" s="66">
        <f t="shared" si="16"/>
        <v>0</v>
      </c>
      <c r="P77" s="39"/>
      <c r="Q77" s="53"/>
      <c r="R77" s="1"/>
      <c r="S77" s="1"/>
      <c r="T77" s="53"/>
      <c r="U77" s="1"/>
      <c r="V77" s="1"/>
      <c r="W77" s="53"/>
      <c r="X77" s="1"/>
    </row>
    <row r="78" spans="1:24">
      <c r="A78" s="391"/>
      <c r="B78" s="3">
        <v>35000</v>
      </c>
      <c r="C78" s="3"/>
      <c r="D78" s="114">
        <v>44159</v>
      </c>
      <c r="E78" s="1">
        <v>30</v>
      </c>
      <c r="F78" s="32">
        <f t="shared" ref="F78" si="17">D78+E78</f>
        <v>44189</v>
      </c>
      <c r="G78" s="54"/>
      <c r="H78" s="54"/>
      <c r="I78" s="54"/>
      <c r="J78" s="120">
        <f t="shared" si="11"/>
        <v>7</v>
      </c>
      <c r="K78" s="66">
        <f t="shared" si="12"/>
        <v>0</v>
      </c>
      <c r="L78" s="56">
        <f t="shared" si="13"/>
        <v>35000</v>
      </c>
      <c r="M78" s="66">
        <f t="shared" si="14"/>
        <v>0</v>
      </c>
      <c r="N78" s="66">
        <f t="shared" si="15"/>
        <v>0</v>
      </c>
      <c r="O78" s="66">
        <f t="shared" si="16"/>
        <v>0</v>
      </c>
      <c r="P78" s="39"/>
      <c r="Q78" s="53"/>
      <c r="R78" s="1"/>
      <c r="S78" s="1"/>
      <c r="T78" s="53"/>
      <c r="U78" s="1"/>
      <c r="V78" s="1"/>
      <c r="W78" s="53"/>
      <c r="X78" s="1"/>
    </row>
    <row r="79" spans="1:24">
      <c r="A79" s="391" t="s">
        <v>9</v>
      </c>
      <c r="B79" s="25">
        <v>68160000</v>
      </c>
      <c r="C79" s="1"/>
      <c r="D79" s="32"/>
      <c r="E79" s="1"/>
      <c r="F79" s="32"/>
      <c r="G79" s="27">
        <f>B79</f>
        <v>68160000</v>
      </c>
      <c r="H79" s="54"/>
      <c r="I79" s="54"/>
      <c r="J79" s="119"/>
      <c r="K79" s="66"/>
      <c r="L79" s="56"/>
      <c r="M79" s="66"/>
      <c r="N79" s="66"/>
      <c r="O79" s="66"/>
      <c r="P79" s="39"/>
      <c r="Q79" s="53"/>
      <c r="R79" s="1"/>
      <c r="S79" s="1"/>
      <c r="T79" s="53"/>
      <c r="U79" s="1"/>
      <c r="V79" s="1"/>
      <c r="W79" s="53"/>
      <c r="X79" s="1"/>
    </row>
    <row r="80" spans="1:24">
      <c r="A80" s="391"/>
      <c r="B80" s="26">
        <v>11935000</v>
      </c>
      <c r="C80" s="1"/>
      <c r="D80" s="32">
        <v>44151</v>
      </c>
      <c r="E80" s="1">
        <v>30</v>
      </c>
      <c r="F80" s="32">
        <f>D80+E80</f>
        <v>44181</v>
      </c>
      <c r="G80" s="54"/>
      <c r="H80" s="54"/>
      <c r="I80" s="54"/>
      <c r="J80" s="120">
        <f>$A$3-F80</f>
        <v>15</v>
      </c>
      <c r="K80" s="66">
        <f t="shared" ref="K80:K86" si="18">IF(J80&lt;=0,B80,0)</f>
        <v>0</v>
      </c>
      <c r="L80" s="56">
        <f t="shared" ref="L80:L86" si="19">IF(AND(J80&gt;=1,J80&lt;=30),B80,0)</f>
        <v>11935000</v>
      </c>
      <c r="M80" s="66">
        <f t="shared" ref="M80:M86" si="20">IF(AND(J80&gt;=31,J80&lt;=60),B80,0)</f>
        <v>0</v>
      </c>
      <c r="N80" s="66">
        <f t="shared" ref="N80:N86" si="21">IF(AND(J80&gt;=61,J80&lt;=90),B80,0)</f>
        <v>0</v>
      </c>
      <c r="O80" s="66">
        <f t="shared" ref="O80:O86" si="22">IF(J80&gt;90,B80,0)</f>
        <v>0</v>
      </c>
      <c r="P80" s="39">
        <v>11935000</v>
      </c>
      <c r="Q80" s="53">
        <v>44204</v>
      </c>
      <c r="R80" s="1"/>
      <c r="S80" s="1"/>
      <c r="T80" s="53"/>
      <c r="U80" s="1"/>
      <c r="V80" s="1"/>
      <c r="W80" s="53"/>
      <c r="X80" s="1"/>
    </row>
    <row r="81" spans="1:24">
      <c r="A81" s="391"/>
      <c r="B81" s="26">
        <v>4812500</v>
      </c>
      <c r="C81" s="1"/>
      <c r="D81" s="32">
        <v>44151</v>
      </c>
      <c r="E81" s="1">
        <v>30</v>
      </c>
      <c r="F81" s="32">
        <f t="shared" ref="F81:F86" si="23">D81+E81</f>
        <v>44181</v>
      </c>
      <c r="G81" s="54"/>
      <c r="H81" s="54"/>
      <c r="I81" s="54"/>
      <c r="J81" s="120">
        <f t="shared" ref="J81:J86" si="24">$A$3-F81</f>
        <v>15</v>
      </c>
      <c r="K81" s="66">
        <f t="shared" si="18"/>
        <v>0</v>
      </c>
      <c r="L81" s="56">
        <f t="shared" si="19"/>
        <v>4812500</v>
      </c>
      <c r="M81" s="66">
        <f t="shared" si="20"/>
        <v>0</v>
      </c>
      <c r="N81" s="66">
        <f t="shared" si="21"/>
        <v>0</v>
      </c>
      <c r="O81" s="66">
        <f t="shared" si="22"/>
        <v>0</v>
      </c>
      <c r="P81" s="39">
        <v>4812500</v>
      </c>
      <c r="Q81" s="53">
        <v>44204</v>
      </c>
      <c r="R81" s="1"/>
      <c r="S81" s="1"/>
      <c r="T81" s="53"/>
      <c r="U81" s="1"/>
      <c r="V81" s="1"/>
      <c r="W81" s="53"/>
      <c r="X81" s="1"/>
    </row>
    <row r="82" spans="1:24">
      <c r="A82" s="391"/>
      <c r="B82" s="26">
        <v>14700000</v>
      </c>
      <c r="C82" s="1"/>
      <c r="D82" s="32">
        <v>44155</v>
      </c>
      <c r="E82" s="1">
        <v>30</v>
      </c>
      <c r="F82" s="32">
        <f t="shared" si="23"/>
        <v>44185</v>
      </c>
      <c r="G82" s="54"/>
      <c r="H82" s="54"/>
      <c r="I82" s="54"/>
      <c r="J82" s="120">
        <f t="shared" si="24"/>
        <v>11</v>
      </c>
      <c r="K82" s="66">
        <f t="shared" si="18"/>
        <v>0</v>
      </c>
      <c r="L82" s="56">
        <f t="shared" si="19"/>
        <v>14700000</v>
      </c>
      <c r="M82" s="66">
        <f t="shared" si="20"/>
        <v>0</v>
      </c>
      <c r="N82" s="66">
        <f t="shared" si="21"/>
        <v>0</v>
      </c>
      <c r="O82" s="66">
        <f t="shared" si="22"/>
        <v>0</v>
      </c>
      <c r="P82" s="39">
        <v>14700000</v>
      </c>
      <c r="Q82" s="53">
        <v>44201</v>
      </c>
      <c r="R82" s="1"/>
      <c r="S82" s="1"/>
      <c r="T82" s="53"/>
      <c r="U82" s="1"/>
      <c r="V82" s="1"/>
      <c r="W82" s="53"/>
      <c r="X82" s="1"/>
    </row>
    <row r="83" spans="1:24">
      <c r="A83" s="391"/>
      <c r="B83" s="26">
        <v>4812500</v>
      </c>
      <c r="C83" s="1"/>
      <c r="D83" s="32">
        <v>44160</v>
      </c>
      <c r="E83" s="1">
        <v>30</v>
      </c>
      <c r="F83" s="32">
        <f t="shared" si="23"/>
        <v>44190</v>
      </c>
      <c r="G83" s="54"/>
      <c r="H83" s="54"/>
      <c r="I83" s="54"/>
      <c r="J83" s="120">
        <f t="shared" si="24"/>
        <v>6</v>
      </c>
      <c r="K83" s="66">
        <f t="shared" si="18"/>
        <v>0</v>
      </c>
      <c r="L83" s="56">
        <f t="shared" si="19"/>
        <v>4812500</v>
      </c>
      <c r="M83" s="66">
        <f t="shared" si="20"/>
        <v>0</v>
      </c>
      <c r="N83" s="66">
        <f t="shared" si="21"/>
        <v>0</v>
      </c>
      <c r="O83" s="66">
        <f t="shared" si="22"/>
        <v>0</v>
      </c>
      <c r="P83" s="39">
        <v>4812500</v>
      </c>
      <c r="Q83" s="53">
        <v>44209</v>
      </c>
      <c r="R83" s="1"/>
      <c r="S83" s="1"/>
      <c r="T83" s="53"/>
      <c r="U83" s="1"/>
      <c r="V83" s="1"/>
      <c r="W83" s="53"/>
      <c r="X83" s="1"/>
    </row>
    <row r="84" spans="1:24">
      <c r="A84" s="391"/>
      <c r="B84" s="26">
        <v>11000000</v>
      </c>
      <c r="C84" s="1"/>
      <c r="D84" s="32">
        <v>44169</v>
      </c>
      <c r="E84" s="1">
        <v>30</v>
      </c>
      <c r="F84" s="32">
        <f t="shared" si="23"/>
        <v>44199</v>
      </c>
      <c r="G84" s="54"/>
      <c r="H84" s="54"/>
      <c r="I84" s="54"/>
      <c r="J84" s="120">
        <f>$A$3-F84</f>
        <v>-3</v>
      </c>
      <c r="K84" s="66">
        <f t="shared" si="18"/>
        <v>11000000</v>
      </c>
      <c r="L84" s="56">
        <f t="shared" si="19"/>
        <v>0</v>
      </c>
      <c r="M84" s="66">
        <f t="shared" si="20"/>
        <v>0</v>
      </c>
      <c r="N84" s="66">
        <f t="shared" si="21"/>
        <v>0</v>
      </c>
      <c r="O84" s="66">
        <f t="shared" si="22"/>
        <v>0</v>
      </c>
      <c r="P84" s="39">
        <v>11000000</v>
      </c>
      <c r="Q84" s="53">
        <v>44209</v>
      </c>
      <c r="R84" s="1"/>
      <c r="S84" s="1"/>
      <c r="T84" s="53"/>
      <c r="U84" s="1"/>
      <c r="V84" s="1"/>
      <c r="W84" s="53"/>
      <c r="X84" s="1"/>
    </row>
    <row r="85" spans="1:24">
      <c r="A85" s="391"/>
      <c r="B85" s="26">
        <v>11000000</v>
      </c>
      <c r="C85" s="1"/>
      <c r="D85" s="32">
        <v>44180</v>
      </c>
      <c r="E85" s="1">
        <v>30</v>
      </c>
      <c r="F85" s="32">
        <f t="shared" si="23"/>
        <v>44210</v>
      </c>
      <c r="G85" s="54"/>
      <c r="H85" s="54"/>
      <c r="I85" s="54"/>
      <c r="J85" s="120">
        <f t="shared" si="24"/>
        <v>-14</v>
      </c>
      <c r="K85" s="66">
        <f t="shared" si="18"/>
        <v>11000000</v>
      </c>
      <c r="L85" s="56">
        <f t="shared" si="19"/>
        <v>0</v>
      </c>
      <c r="M85" s="66">
        <f t="shared" si="20"/>
        <v>0</v>
      </c>
      <c r="N85" s="66">
        <f t="shared" si="21"/>
        <v>0</v>
      </c>
      <c r="O85" s="66">
        <f t="shared" si="22"/>
        <v>0</v>
      </c>
      <c r="P85" s="39">
        <v>11000000</v>
      </c>
      <c r="Q85" s="53">
        <v>44216</v>
      </c>
      <c r="R85" s="1"/>
      <c r="S85" s="1"/>
      <c r="T85" s="53"/>
      <c r="U85" s="1"/>
      <c r="V85" s="1"/>
      <c r="W85" s="53"/>
      <c r="X85" s="1"/>
    </row>
    <row r="86" spans="1:24">
      <c r="A86" s="391"/>
      <c r="B86" s="26">
        <v>9900000</v>
      </c>
      <c r="C86" s="1"/>
      <c r="D86" s="32">
        <v>44195</v>
      </c>
      <c r="E86" s="1">
        <v>30</v>
      </c>
      <c r="F86" s="32">
        <f t="shared" si="23"/>
        <v>44225</v>
      </c>
      <c r="G86" s="54"/>
      <c r="H86" s="54"/>
      <c r="I86" s="54"/>
      <c r="J86" s="120">
        <f t="shared" si="24"/>
        <v>-29</v>
      </c>
      <c r="K86" s="66">
        <f t="shared" si="18"/>
        <v>9900000</v>
      </c>
      <c r="L86" s="56">
        <f t="shared" si="19"/>
        <v>0</v>
      </c>
      <c r="M86" s="66">
        <f t="shared" si="20"/>
        <v>0</v>
      </c>
      <c r="N86" s="66">
        <f t="shared" si="21"/>
        <v>0</v>
      </c>
      <c r="O86" s="66">
        <f t="shared" si="22"/>
        <v>0</v>
      </c>
      <c r="P86" s="39">
        <v>9900000</v>
      </c>
      <c r="Q86" s="53">
        <v>44238</v>
      </c>
      <c r="R86" s="1"/>
      <c r="S86" s="1"/>
      <c r="T86" s="53"/>
      <c r="U86" s="1"/>
      <c r="V86" s="1"/>
      <c r="W86" s="53"/>
      <c r="X86" s="1"/>
    </row>
    <row r="87" spans="1:24">
      <c r="A87" s="391" t="s">
        <v>10</v>
      </c>
      <c r="B87" s="25">
        <v>76510308</v>
      </c>
      <c r="C87" s="1"/>
      <c r="D87" s="32"/>
      <c r="E87" s="1"/>
      <c r="F87" s="32"/>
      <c r="G87" s="54">
        <f>B87</f>
        <v>76510308</v>
      </c>
      <c r="H87" s="54"/>
      <c r="I87" s="54"/>
      <c r="J87" s="119"/>
      <c r="K87" s="66"/>
      <c r="L87" s="56"/>
      <c r="M87" s="66"/>
      <c r="N87" s="66"/>
      <c r="O87" s="66"/>
      <c r="P87" s="39"/>
      <c r="Q87" s="53"/>
      <c r="R87" s="1"/>
      <c r="S87" s="1"/>
      <c r="T87" s="53"/>
      <c r="U87" s="1"/>
      <c r="V87" s="1"/>
      <c r="W87" s="53"/>
      <c r="X87" s="1"/>
    </row>
    <row r="88" spans="1:24">
      <c r="A88" s="391"/>
      <c r="B88" s="26">
        <v>17242169</v>
      </c>
      <c r="C88" s="1"/>
      <c r="D88" s="32">
        <v>44133</v>
      </c>
      <c r="E88" s="1">
        <v>30</v>
      </c>
      <c r="F88" s="32">
        <f t="shared" ref="F88:F91" si="25">D88+E88</f>
        <v>44163</v>
      </c>
      <c r="G88" s="54"/>
      <c r="H88" s="54"/>
      <c r="I88" s="54"/>
      <c r="J88" s="120">
        <f t="shared" ref="J88:J91" si="26">$A$3-F88</f>
        <v>33</v>
      </c>
      <c r="K88" s="66">
        <f t="shared" ref="K88:K91" si="27">IF(J88&lt;=0,B88,0)</f>
        <v>0</v>
      </c>
      <c r="L88" s="56">
        <f t="shared" ref="L88:L91" si="28">IF(AND(J88&gt;=1,J88&lt;=30),B88,0)</f>
        <v>0</v>
      </c>
      <c r="M88" s="66">
        <f t="shared" ref="M88:M91" si="29">IF(AND(J88&gt;=31,J88&lt;=60),B88,0)</f>
        <v>17242169</v>
      </c>
      <c r="N88" s="66">
        <f t="shared" ref="N88:N91" si="30">IF(AND(J88&gt;=61,J88&lt;=90),B88,0)</f>
        <v>0</v>
      </c>
      <c r="O88" s="66">
        <f t="shared" ref="O88:O91" si="31">IF(J88&gt;90,B88,0)</f>
        <v>0</v>
      </c>
      <c r="P88" s="39">
        <v>17242169</v>
      </c>
      <c r="Q88" s="53">
        <v>44209</v>
      </c>
      <c r="R88" s="1"/>
      <c r="S88" s="1"/>
      <c r="T88" s="53"/>
      <c r="U88" s="1"/>
      <c r="V88" s="1"/>
      <c r="W88" s="53"/>
      <c r="X88" s="1"/>
    </row>
    <row r="89" spans="1:24">
      <c r="A89" s="391"/>
      <c r="B89" s="26">
        <v>8684270</v>
      </c>
      <c r="C89" s="1"/>
      <c r="D89" s="32">
        <v>44137</v>
      </c>
      <c r="E89" s="1">
        <v>30</v>
      </c>
      <c r="F89" s="32">
        <f t="shared" si="25"/>
        <v>44167</v>
      </c>
      <c r="G89" s="54"/>
      <c r="H89" s="54"/>
      <c r="I89" s="54"/>
      <c r="J89" s="120">
        <f t="shared" si="26"/>
        <v>29</v>
      </c>
      <c r="K89" s="66">
        <f t="shared" si="27"/>
        <v>0</v>
      </c>
      <c r="L89" s="56">
        <f t="shared" si="28"/>
        <v>8684270</v>
      </c>
      <c r="M89" s="66">
        <f t="shared" si="29"/>
        <v>0</v>
      </c>
      <c r="N89" s="66">
        <f t="shared" si="30"/>
        <v>0</v>
      </c>
      <c r="O89" s="66">
        <f t="shared" si="31"/>
        <v>0</v>
      </c>
      <c r="P89" s="39">
        <v>8684270</v>
      </c>
      <c r="Q89" s="53">
        <v>44209</v>
      </c>
      <c r="R89" s="1"/>
      <c r="S89" s="1"/>
      <c r="T89" s="53"/>
      <c r="U89" s="1"/>
      <c r="V89" s="1"/>
      <c r="W89" s="53"/>
      <c r="X89" s="1"/>
    </row>
    <row r="90" spans="1:24">
      <c r="A90" s="391"/>
      <c r="B90" s="87">
        <f>53452608-2868739</f>
        <v>50583869</v>
      </c>
      <c r="C90" s="1"/>
      <c r="D90" s="32">
        <v>44195</v>
      </c>
      <c r="E90" s="1">
        <v>30</v>
      </c>
      <c r="F90" s="32">
        <f t="shared" si="25"/>
        <v>44225</v>
      </c>
      <c r="G90" s="54"/>
      <c r="H90" s="54"/>
      <c r="I90" s="54"/>
      <c r="J90" s="120">
        <f t="shared" si="26"/>
        <v>-29</v>
      </c>
      <c r="K90" s="66">
        <f t="shared" si="27"/>
        <v>50583869</v>
      </c>
      <c r="L90" s="56">
        <f t="shared" si="28"/>
        <v>0</v>
      </c>
      <c r="M90" s="66">
        <f t="shared" si="29"/>
        <v>0</v>
      </c>
      <c r="N90" s="66">
        <f t="shared" si="30"/>
        <v>0</v>
      </c>
      <c r="O90" s="66">
        <f t="shared" si="31"/>
        <v>0</v>
      </c>
      <c r="P90" s="39">
        <v>53452608</v>
      </c>
      <c r="Q90" s="53">
        <v>44263</v>
      </c>
      <c r="R90" s="1"/>
      <c r="S90" s="1"/>
      <c r="T90" s="53"/>
      <c r="U90" s="1"/>
      <c r="V90" s="1"/>
      <c r="W90" s="53"/>
      <c r="X90" s="1"/>
    </row>
    <row r="91" spans="1:24">
      <c r="A91" s="1" t="s">
        <v>11</v>
      </c>
      <c r="B91" s="25">
        <v>36960000</v>
      </c>
      <c r="C91" s="1"/>
      <c r="D91" s="32">
        <v>44154</v>
      </c>
      <c r="E91" s="1">
        <v>30</v>
      </c>
      <c r="F91" s="32">
        <f t="shared" si="25"/>
        <v>44184</v>
      </c>
      <c r="G91" s="54">
        <f t="shared" ref="G91:G92" si="32">B91</f>
        <v>36960000</v>
      </c>
      <c r="H91" s="54"/>
      <c r="I91" s="54"/>
      <c r="J91" s="120">
        <f t="shared" si="26"/>
        <v>12</v>
      </c>
      <c r="K91" s="66">
        <f t="shared" si="27"/>
        <v>0</v>
      </c>
      <c r="L91" s="56">
        <f t="shared" si="28"/>
        <v>36960000</v>
      </c>
      <c r="M91" s="66">
        <f t="shared" si="29"/>
        <v>0</v>
      </c>
      <c r="N91" s="66">
        <f t="shared" si="30"/>
        <v>0</v>
      </c>
      <c r="O91" s="66">
        <f t="shared" si="31"/>
        <v>0</v>
      </c>
      <c r="P91" s="39">
        <v>36960000</v>
      </c>
      <c r="Q91" s="53">
        <v>44209</v>
      </c>
      <c r="R91" s="1"/>
      <c r="S91" s="1"/>
      <c r="T91" s="53"/>
      <c r="U91" s="1"/>
      <c r="V91" s="1"/>
      <c r="W91" s="53"/>
      <c r="X91" s="1"/>
    </row>
    <row r="92" spans="1:24">
      <c r="A92" s="391" t="s">
        <v>12</v>
      </c>
      <c r="B92" s="25">
        <v>203598058</v>
      </c>
      <c r="C92" s="1"/>
      <c r="D92" s="32"/>
      <c r="E92" s="1"/>
      <c r="F92" s="32"/>
      <c r="G92" s="54">
        <f t="shared" si="32"/>
        <v>203598058</v>
      </c>
      <c r="H92" s="54"/>
      <c r="I92" s="54"/>
      <c r="J92" s="119"/>
      <c r="K92" s="66"/>
      <c r="L92" s="56"/>
      <c r="M92" s="66"/>
      <c r="N92" s="66"/>
      <c r="O92" s="66"/>
      <c r="P92" s="39"/>
      <c r="Q92" s="53"/>
      <c r="R92" s="1"/>
      <c r="S92" s="1"/>
      <c r="T92" s="53"/>
      <c r="U92" s="1"/>
      <c r="V92" s="1"/>
      <c r="W92" s="53"/>
      <c r="X92" s="1"/>
    </row>
    <row r="93" spans="1:24">
      <c r="A93" s="391"/>
      <c r="B93" s="26">
        <v>709500</v>
      </c>
      <c r="C93" s="1"/>
      <c r="D93" s="32">
        <v>44138</v>
      </c>
      <c r="E93" s="1">
        <v>30</v>
      </c>
      <c r="F93" s="32">
        <f t="shared" ref="F93:F116" si="33">D93+E93</f>
        <v>44168</v>
      </c>
      <c r="G93" s="54"/>
      <c r="H93" s="54"/>
      <c r="I93" s="54"/>
      <c r="J93" s="120">
        <f t="shared" ref="J93:J115" si="34">$A$3-F93</f>
        <v>28</v>
      </c>
      <c r="K93" s="66">
        <f t="shared" ref="K93:K116" si="35">IF(J93&lt;=0,B93,0)</f>
        <v>0</v>
      </c>
      <c r="L93" s="56">
        <f t="shared" ref="L93:L116" si="36">IF(AND(J93&gt;=1,J93&lt;=30),B93,0)</f>
        <v>709500</v>
      </c>
      <c r="M93" s="66">
        <f t="shared" ref="M93:M116" si="37">IF(AND(J93&gt;=31,J93&lt;=60),B93,0)</f>
        <v>0</v>
      </c>
      <c r="N93" s="66">
        <f t="shared" ref="N93:N116" si="38">IF(AND(J93&gt;=61,J93&lt;=90),B93,0)</f>
        <v>0</v>
      </c>
      <c r="O93" s="66">
        <f t="shared" ref="O93:O116" si="39">IF(J93&gt;90,B93,0)</f>
        <v>0</v>
      </c>
      <c r="P93" s="39"/>
      <c r="Q93" s="53"/>
      <c r="R93" s="1"/>
      <c r="S93" s="1"/>
      <c r="T93" s="53"/>
      <c r="U93" s="1"/>
      <c r="V93" s="1"/>
      <c r="W93" s="53"/>
      <c r="X93" s="1"/>
    </row>
    <row r="94" spans="1:24">
      <c r="A94" s="391"/>
      <c r="B94" s="26">
        <v>1221000</v>
      </c>
      <c r="C94" s="1"/>
      <c r="D94" s="32">
        <v>44138</v>
      </c>
      <c r="E94" s="1">
        <v>30</v>
      </c>
      <c r="F94" s="32">
        <f t="shared" si="33"/>
        <v>44168</v>
      </c>
      <c r="G94" s="54"/>
      <c r="H94" s="54"/>
      <c r="I94" s="54"/>
      <c r="J94" s="120">
        <f t="shared" si="34"/>
        <v>28</v>
      </c>
      <c r="K94" s="66">
        <f t="shared" si="35"/>
        <v>0</v>
      </c>
      <c r="L94" s="56">
        <f t="shared" si="36"/>
        <v>1221000</v>
      </c>
      <c r="M94" s="66">
        <f t="shared" si="37"/>
        <v>0</v>
      </c>
      <c r="N94" s="66">
        <f t="shared" si="38"/>
        <v>0</v>
      </c>
      <c r="O94" s="66">
        <f t="shared" si="39"/>
        <v>0</v>
      </c>
      <c r="P94" s="39">
        <v>709500</v>
      </c>
      <c r="Q94" s="53">
        <v>44202</v>
      </c>
      <c r="R94" s="1"/>
      <c r="S94" s="1"/>
      <c r="T94" s="53"/>
      <c r="U94" s="1"/>
      <c r="V94" s="1"/>
      <c r="W94" s="53"/>
      <c r="X94" s="1"/>
    </row>
    <row r="95" spans="1:24">
      <c r="A95" s="391"/>
      <c r="B95" s="26">
        <v>11838750</v>
      </c>
      <c r="C95" s="1"/>
      <c r="D95" s="32">
        <v>44141</v>
      </c>
      <c r="E95" s="1">
        <v>30</v>
      </c>
      <c r="F95" s="32">
        <f t="shared" si="33"/>
        <v>44171</v>
      </c>
      <c r="G95" s="54"/>
      <c r="H95" s="54"/>
      <c r="I95" s="54"/>
      <c r="J95" s="120">
        <f t="shared" si="34"/>
        <v>25</v>
      </c>
      <c r="K95" s="66">
        <f t="shared" si="35"/>
        <v>0</v>
      </c>
      <c r="L95" s="56">
        <f t="shared" si="36"/>
        <v>11838750</v>
      </c>
      <c r="M95" s="66">
        <f t="shared" si="37"/>
        <v>0</v>
      </c>
      <c r="N95" s="66">
        <f t="shared" si="38"/>
        <v>0</v>
      </c>
      <c r="O95" s="66">
        <f t="shared" si="39"/>
        <v>0</v>
      </c>
      <c r="P95" s="39">
        <v>1221000</v>
      </c>
      <c r="Q95" s="53">
        <v>44202</v>
      </c>
      <c r="R95" s="1"/>
      <c r="S95" s="1"/>
      <c r="T95" s="53"/>
      <c r="U95" s="1"/>
      <c r="V95" s="1"/>
      <c r="W95" s="53"/>
      <c r="X95" s="1"/>
    </row>
    <row r="96" spans="1:24">
      <c r="A96" s="391"/>
      <c r="B96" s="26">
        <v>8320000</v>
      </c>
      <c r="C96" s="1"/>
      <c r="D96" s="32">
        <v>44131</v>
      </c>
      <c r="E96" s="1">
        <v>30</v>
      </c>
      <c r="F96" s="32">
        <f t="shared" si="33"/>
        <v>44161</v>
      </c>
      <c r="G96" s="54"/>
      <c r="H96" s="54"/>
      <c r="I96" s="54"/>
      <c r="J96" s="120">
        <f t="shared" si="34"/>
        <v>35</v>
      </c>
      <c r="K96" s="66">
        <f t="shared" si="35"/>
        <v>0</v>
      </c>
      <c r="L96" s="56">
        <f t="shared" si="36"/>
        <v>0</v>
      </c>
      <c r="M96" s="66">
        <f t="shared" si="37"/>
        <v>8320000</v>
      </c>
      <c r="N96" s="66">
        <f t="shared" si="38"/>
        <v>0</v>
      </c>
      <c r="O96" s="66">
        <f t="shared" si="39"/>
        <v>0</v>
      </c>
      <c r="P96" s="39">
        <v>16153500</v>
      </c>
      <c r="Q96" s="53">
        <v>44204</v>
      </c>
      <c r="R96" s="1"/>
      <c r="S96" s="1"/>
      <c r="T96" s="53"/>
      <c r="U96" s="1"/>
      <c r="V96" s="1"/>
      <c r="W96" s="53"/>
      <c r="X96" s="1"/>
    </row>
    <row r="97" spans="1:24">
      <c r="A97" s="391"/>
      <c r="B97" s="26">
        <v>2270400</v>
      </c>
      <c r="C97" s="1"/>
      <c r="D97" s="32">
        <v>44131</v>
      </c>
      <c r="E97" s="1">
        <v>30</v>
      </c>
      <c r="F97" s="32">
        <f t="shared" si="33"/>
        <v>44161</v>
      </c>
      <c r="G97" s="54"/>
      <c r="H97" s="54"/>
      <c r="I97" s="54"/>
      <c r="J97" s="120">
        <f t="shared" si="34"/>
        <v>35</v>
      </c>
      <c r="K97" s="66">
        <f t="shared" si="35"/>
        <v>0</v>
      </c>
      <c r="L97" s="56">
        <f t="shared" si="36"/>
        <v>0</v>
      </c>
      <c r="M97" s="66">
        <f t="shared" si="37"/>
        <v>2270400</v>
      </c>
      <c r="N97" s="66">
        <f t="shared" si="38"/>
        <v>0</v>
      </c>
      <c r="O97" s="66">
        <f t="shared" si="39"/>
        <v>0</v>
      </c>
      <c r="P97" s="39">
        <v>7378800</v>
      </c>
      <c r="Q97" s="53">
        <v>44204</v>
      </c>
      <c r="R97" s="1"/>
      <c r="S97" s="1"/>
      <c r="T97" s="53"/>
      <c r="U97" s="1"/>
      <c r="V97" s="1"/>
      <c r="W97" s="53"/>
      <c r="X97" s="1"/>
    </row>
    <row r="98" spans="1:24">
      <c r="A98" s="391"/>
      <c r="B98" s="26">
        <v>7378800</v>
      </c>
      <c r="C98" s="1"/>
      <c r="D98" s="32">
        <v>44150</v>
      </c>
      <c r="E98" s="1">
        <v>30</v>
      </c>
      <c r="F98" s="32">
        <f t="shared" si="33"/>
        <v>44180</v>
      </c>
      <c r="G98" s="54"/>
      <c r="H98" s="54"/>
      <c r="I98" s="54"/>
      <c r="J98" s="120">
        <f t="shared" si="34"/>
        <v>16</v>
      </c>
      <c r="K98" s="66">
        <f t="shared" si="35"/>
        <v>0</v>
      </c>
      <c r="L98" s="56">
        <f t="shared" si="36"/>
        <v>7378800</v>
      </c>
      <c r="M98" s="66">
        <f t="shared" si="37"/>
        <v>0</v>
      </c>
      <c r="N98" s="66">
        <f t="shared" si="38"/>
        <v>0</v>
      </c>
      <c r="O98" s="66">
        <f t="shared" si="39"/>
        <v>0</v>
      </c>
      <c r="P98" s="39">
        <v>7392000</v>
      </c>
      <c r="Q98" s="53">
        <v>44204</v>
      </c>
      <c r="R98" s="1"/>
      <c r="S98" s="1"/>
      <c r="T98" s="53"/>
      <c r="U98" s="1"/>
      <c r="V98" s="1"/>
      <c r="W98" s="53"/>
      <c r="X98" s="1"/>
    </row>
    <row r="99" spans="1:24">
      <c r="A99" s="391"/>
      <c r="B99" s="26">
        <v>7392000</v>
      </c>
      <c r="C99" s="1"/>
      <c r="D99" s="32">
        <v>44150</v>
      </c>
      <c r="E99" s="1">
        <v>30</v>
      </c>
      <c r="F99" s="32">
        <f t="shared" si="33"/>
        <v>44180</v>
      </c>
      <c r="G99" s="54"/>
      <c r="H99" s="54"/>
      <c r="I99" s="54"/>
      <c r="J99" s="120">
        <f t="shared" si="34"/>
        <v>16</v>
      </c>
      <c r="K99" s="66">
        <f t="shared" si="35"/>
        <v>0</v>
      </c>
      <c r="L99" s="56">
        <f t="shared" si="36"/>
        <v>7392000</v>
      </c>
      <c r="M99" s="66">
        <f t="shared" si="37"/>
        <v>0</v>
      </c>
      <c r="N99" s="66">
        <f t="shared" si="38"/>
        <v>0</v>
      </c>
      <c r="O99" s="66">
        <f t="shared" si="39"/>
        <v>0</v>
      </c>
      <c r="P99" s="39">
        <v>15052125</v>
      </c>
      <c r="Q99" s="53">
        <v>44204</v>
      </c>
      <c r="R99" s="1"/>
      <c r="S99" s="1"/>
      <c r="T99" s="53"/>
      <c r="U99" s="1"/>
      <c r="V99" s="1"/>
      <c r="W99" s="53"/>
      <c r="X99" s="1"/>
    </row>
    <row r="100" spans="1:24">
      <c r="A100" s="391"/>
      <c r="B100" s="26">
        <v>15052125</v>
      </c>
      <c r="C100" s="1"/>
      <c r="D100" s="32">
        <v>44150</v>
      </c>
      <c r="E100" s="1">
        <v>30</v>
      </c>
      <c r="F100" s="32">
        <f t="shared" si="33"/>
        <v>44180</v>
      </c>
      <c r="G100" s="54"/>
      <c r="H100" s="54"/>
      <c r="I100" s="54"/>
      <c r="J100" s="120">
        <f t="shared" si="34"/>
        <v>16</v>
      </c>
      <c r="K100" s="66">
        <f t="shared" si="35"/>
        <v>0</v>
      </c>
      <c r="L100" s="56">
        <f t="shared" si="36"/>
        <v>15052125</v>
      </c>
      <c r="M100" s="66">
        <f t="shared" si="37"/>
        <v>0</v>
      </c>
      <c r="N100" s="66">
        <f t="shared" si="38"/>
        <v>0</v>
      </c>
      <c r="O100" s="66">
        <f t="shared" si="39"/>
        <v>0</v>
      </c>
      <c r="P100" s="39">
        <v>1468500</v>
      </c>
      <c r="Q100" s="53">
        <v>44209</v>
      </c>
      <c r="R100" s="1"/>
      <c r="S100" s="1"/>
      <c r="T100" s="53"/>
      <c r="U100" s="1"/>
      <c r="V100" s="1"/>
      <c r="W100" s="53"/>
      <c r="X100" s="1"/>
    </row>
    <row r="101" spans="1:24">
      <c r="A101" s="391"/>
      <c r="B101" s="26">
        <v>16153500</v>
      </c>
      <c r="C101" s="1"/>
      <c r="D101" s="32">
        <v>44144</v>
      </c>
      <c r="E101" s="1">
        <v>30</v>
      </c>
      <c r="F101" s="32">
        <f t="shared" si="33"/>
        <v>44174</v>
      </c>
      <c r="G101" s="54"/>
      <c r="H101" s="54"/>
      <c r="I101" s="54"/>
      <c r="J101" s="120">
        <f t="shared" si="34"/>
        <v>22</v>
      </c>
      <c r="K101" s="66">
        <f t="shared" si="35"/>
        <v>0</v>
      </c>
      <c r="L101" s="56">
        <f t="shared" si="36"/>
        <v>16153500</v>
      </c>
      <c r="M101" s="66">
        <f t="shared" si="37"/>
        <v>0</v>
      </c>
      <c r="N101" s="66">
        <f t="shared" si="38"/>
        <v>0</v>
      </c>
      <c r="O101" s="66">
        <f t="shared" si="39"/>
        <v>0</v>
      </c>
      <c r="P101" s="39">
        <v>25486340</v>
      </c>
      <c r="Q101" s="53">
        <v>44242</v>
      </c>
      <c r="R101" s="1"/>
      <c r="S101" s="1"/>
      <c r="T101" s="53"/>
      <c r="U101" s="1"/>
      <c r="V101" s="1"/>
      <c r="W101" s="53"/>
      <c r="X101" s="1"/>
    </row>
    <row r="102" spans="1:24">
      <c r="A102" s="391"/>
      <c r="B102" s="26">
        <v>1642143</v>
      </c>
      <c r="C102" s="1"/>
      <c r="D102" s="32">
        <v>44160</v>
      </c>
      <c r="E102" s="1">
        <v>30</v>
      </c>
      <c r="F102" s="32">
        <f t="shared" si="33"/>
        <v>44190</v>
      </c>
      <c r="G102" s="54"/>
      <c r="H102" s="54"/>
      <c r="I102" s="54"/>
      <c r="J102" s="120">
        <f t="shared" si="34"/>
        <v>6</v>
      </c>
      <c r="K102" s="66">
        <f t="shared" si="35"/>
        <v>0</v>
      </c>
      <c r="L102" s="56">
        <f t="shared" si="36"/>
        <v>1642143</v>
      </c>
      <c r="M102" s="66">
        <f t="shared" si="37"/>
        <v>0</v>
      </c>
      <c r="N102" s="66">
        <f t="shared" si="38"/>
        <v>0</v>
      </c>
      <c r="O102" s="66">
        <f t="shared" si="39"/>
        <v>0</v>
      </c>
      <c r="P102" s="39">
        <v>18947500</v>
      </c>
      <c r="Q102" s="53">
        <v>44246</v>
      </c>
      <c r="R102" s="1"/>
      <c r="S102" s="1"/>
      <c r="T102" s="53"/>
      <c r="U102" s="1"/>
      <c r="V102" s="1"/>
      <c r="W102" s="53"/>
      <c r="X102" s="1"/>
    </row>
    <row r="103" spans="1:24">
      <c r="A103" s="391"/>
      <c r="B103" s="26">
        <v>25486340</v>
      </c>
      <c r="C103" s="1"/>
      <c r="D103" s="32">
        <v>44186</v>
      </c>
      <c r="E103" s="1">
        <v>30</v>
      </c>
      <c r="F103" s="32">
        <f t="shared" si="33"/>
        <v>44216</v>
      </c>
      <c r="G103" s="54"/>
      <c r="H103" s="54"/>
      <c r="I103" s="54"/>
      <c r="J103" s="120">
        <f t="shared" si="34"/>
        <v>-20</v>
      </c>
      <c r="K103" s="66">
        <f t="shared" si="35"/>
        <v>25486340</v>
      </c>
      <c r="L103" s="56">
        <f t="shared" si="36"/>
        <v>0</v>
      </c>
      <c r="M103" s="66">
        <f t="shared" si="37"/>
        <v>0</v>
      </c>
      <c r="N103" s="66">
        <f t="shared" si="38"/>
        <v>0</v>
      </c>
      <c r="O103" s="66">
        <f t="shared" si="39"/>
        <v>0</v>
      </c>
      <c r="P103" s="39">
        <v>4664000</v>
      </c>
      <c r="Q103" s="53">
        <v>44246</v>
      </c>
      <c r="R103" s="1"/>
      <c r="S103" s="1"/>
      <c r="T103" s="53"/>
      <c r="U103" s="1"/>
      <c r="V103" s="1"/>
      <c r="W103" s="53"/>
      <c r="X103" s="1"/>
    </row>
    <row r="104" spans="1:24">
      <c r="A104" s="391"/>
      <c r="B104" s="26">
        <v>1749000</v>
      </c>
      <c r="C104" s="1"/>
      <c r="D104" s="32">
        <v>44194</v>
      </c>
      <c r="E104" s="1">
        <v>30</v>
      </c>
      <c r="F104" s="32">
        <f t="shared" si="33"/>
        <v>44224</v>
      </c>
      <c r="G104" s="54"/>
      <c r="H104" s="54"/>
      <c r="I104" s="54"/>
      <c r="J104" s="120">
        <f t="shared" si="34"/>
        <v>-28</v>
      </c>
      <c r="K104" s="66">
        <f t="shared" si="35"/>
        <v>1749000</v>
      </c>
      <c r="L104" s="56">
        <f t="shared" si="36"/>
        <v>0</v>
      </c>
      <c r="M104" s="66">
        <f t="shared" si="37"/>
        <v>0</v>
      </c>
      <c r="N104" s="66">
        <f t="shared" si="38"/>
        <v>0</v>
      </c>
      <c r="O104" s="66">
        <f t="shared" si="39"/>
        <v>0</v>
      </c>
      <c r="P104" s="39">
        <v>9768000</v>
      </c>
      <c r="Q104" s="53">
        <v>44246</v>
      </c>
      <c r="R104" s="1"/>
      <c r="S104" s="1"/>
      <c r="T104" s="53"/>
      <c r="U104" s="1"/>
      <c r="V104" s="1"/>
      <c r="W104" s="53"/>
      <c r="X104" s="1"/>
    </row>
    <row r="105" spans="1:24">
      <c r="A105" s="391"/>
      <c r="B105" s="26">
        <v>2915000</v>
      </c>
      <c r="C105" s="1"/>
      <c r="D105" s="32">
        <v>44194</v>
      </c>
      <c r="E105" s="1">
        <v>30</v>
      </c>
      <c r="F105" s="32">
        <f t="shared" si="33"/>
        <v>44224</v>
      </c>
      <c r="G105" s="54"/>
      <c r="H105" s="54"/>
      <c r="I105" s="54"/>
      <c r="J105" s="120">
        <f t="shared" si="34"/>
        <v>-28</v>
      </c>
      <c r="K105" s="66">
        <f t="shared" si="35"/>
        <v>2915000</v>
      </c>
      <c r="L105" s="56">
        <f t="shared" si="36"/>
        <v>0</v>
      </c>
      <c r="M105" s="66">
        <f t="shared" si="37"/>
        <v>0</v>
      </c>
      <c r="N105" s="66">
        <f t="shared" si="38"/>
        <v>0</v>
      </c>
      <c r="O105" s="66">
        <f t="shared" si="39"/>
        <v>0</v>
      </c>
      <c r="P105" s="39">
        <v>4395600</v>
      </c>
      <c r="Q105" s="53">
        <v>44246</v>
      </c>
      <c r="R105" s="1"/>
      <c r="S105" s="1"/>
      <c r="T105" s="53"/>
      <c r="U105" s="1"/>
      <c r="V105" s="1"/>
      <c r="W105" s="53"/>
      <c r="X105" s="1"/>
    </row>
    <row r="106" spans="1:24">
      <c r="A106" s="391"/>
      <c r="B106" s="26">
        <v>8547000</v>
      </c>
      <c r="C106" s="1"/>
      <c r="D106" s="32">
        <v>44194</v>
      </c>
      <c r="E106" s="1">
        <v>30</v>
      </c>
      <c r="F106" s="32">
        <f t="shared" si="33"/>
        <v>44224</v>
      </c>
      <c r="G106" s="54"/>
      <c r="H106" s="54"/>
      <c r="I106" s="54"/>
      <c r="J106" s="120">
        <f t="shared" si="34"/>
        <v>-28</v>
      </c>
      <c r="K106" s="66">
        <f t="shared" si="35"/>
        <v>8547000</v>
      </c>
      <c r="L106" s="56">
        <f t="shared" si="36"/>
        <v>0</v>
      </c>
      <c r="M106" s="66">
        <f t="shared" si="37"/>
        <v>0</v>
      </c>
      <c r="N106" s="66">
        <f t="shared" si="38"/>
        <v>0</v>
      </c>
      <c r="O106" s="66">
        <f t="shared" si="39"/>
        <v>0</v>
      </c>
      <c r="P106" s="39">
        <v>9328000</v>
      </c>
      <c r="Q106" s="53">
        <v>44272</v>
      </c>
      <c r="R106" s="1"/>
      <c r="S106" s="1"/>
      <c r="T106" s="53"/>
      <c r="U106" s="1"/>
      <c r="V106" s="1"/>
      <c r="W106" s="53"/>
      <c r="X106" s="1"/>
    </row>
    <row r="107" spans="1:24">
      <c r="A107" s="391"/>
      <c r="B107" s="26">
        <v>18947500</v>
      </c>
      <c r="C107" s="1"/>
      <c r="D107" s="32">
        <v>44188</v>
      </c>
      <c r="E107" s="1">
        <v>30</v>
      </c>
      <c r="F107" s="32">
        <f t="shared" si="33"/>
        <v>44218</v>
      </c>
      <c r="G107" s="54"/>
      <c r="H107" s="54"/>
      <c r="I107" s="54"/>
      <c r="J107" s="120">
        <f t="shared" si="34"/>
        <v>-22</v>
      </c>
      <c r="K107" s="66">
        <f t="shared" si="35"/>
        <v>18947500</v>
      </c>
      <c r="L107" s="56">
        <f t="shared" si="36"/>
        <v>0</v>
      </c>
      <c r="M107" s="66">
        <f t="shared" si="37"/>
        <v>0</v>
      </c>
      <c r="N107" s="66">
        <f t="shared" si="38"/>
        <v>0</v>
      </c>
      <c r="O107" s="66">
        <f t="shared" si="39"/>
        <v>0</v>
      </c>
      <c r="P107" s="39">
        <v>11782650</v>
      </c>
      <c r="Q107" s="53">
        <v>44272</v>
      </c>
      <c r="R107" s="1"/>
      <c r="S107" s="1"/>
      <c r="T107" s="53"/>
      <c r="U107" s="1"/>
      <c r="V107" s="1"/>
      <c r="W107" s="53"/>
      <c r="X107" s="1"/>
    </row>
    <row r="108" spans="1:24">
      <c r="A108" s="391"/>
      <c r="B108" s="26">
        <v>4664000</v>
      </c>
      <c r="C108" s="1"/>
      <c r="D108" s="32">
        <v>44188</v>
      </c>
      <c r="E108" s="1">
        <v>30</v>
      </c>
      <c r="F108" s="32">
        <f t="shared" si="33"/>
        <v>44218</v>
      </c>
      <c r="G108" s="54"/>
      <c r="H108" s="54"/>
      <c r="I108" s="54"/>
      <c r="J108" s="120">
        <f t="shared" si="34"/>
        <v>-22</v>
      </c>
      <c r="K108" s="66">
        <f t="shared" si="35"/>
        <v>4664000</v>
      </c>
      <c r="L108" s="56">
        <f t="shared" si="36"/>
        <v>0</v>
      </c>
      <c r="M108" s="66">
        <f t="shared" si="37"/>
        <v>0</v>
      </c>
      <c r="N108" s="66">
        <f t="shared" si="38"/>
        <v>0</v>
      </c>
      <c r="O108" s="66">
        <f t="shared" si="39"/>
        <v>0</v>
      </c>
      <c r="P108" s="39">
        <v>21062250</v>
      </c>
      <c r="Q108" s="53">
        <v>44272</v>
      </c>
      <c r="R108" s="1"/>
      <c r="S108" s="1"/>
      <c r="T108" s="53"/>
      <c r="U108" s="1"/>
      <c r="V108" s="1"/>
      <c r="W108" s="53"/>
      <c r="X108" s="1"/>
    </row>
    <row r="109" spans="1:24">
      <c r="A109" s="391"/>
      <c r="B109" s="26">
        <v>9768000</v>
      </c>
      <c r="C109" s="1"/>
      <c r="D109" s="32">
        <v>44188</v>
      </c>
      <c r="E109" s="1">
        <v>30</v>
      </c>
      <c r="F109" s="32">
        <f t="shared" si="33"/>
        <v>44218</v>
      </c>
      <c r="G109" s="54"/>
      <c r="H109" s="54"/>
      <c r="I109" s="54"/>
      <c r="J109" s="120">
        <f t="shared" si="34"/>
        <v>-22</v>
      </c>
      <c r="K109" s="66">
        <f t="shared" si="35"/>
        <v>9768000</v>
      </c>
      <c r="L109" s="56">
        <f t="shared" si="36"/>
        <v>0</v>
      </c>
      <c r="M109" s="66">
        <f t="shared" si="37"/>
        <v>0</v>
      </c>
      <c r="N109" s="66">
        <f t="shared" si="38"/>
        <v>0</v>
      </c>
      <c r="O109" s="66">
        <f t="shared" si="39"/>
        <v>0</v>
      </c>
      <c r="P109" s="39">
        <v>4884000</v>
      </c>
      <c r="Q109" s="53">
        <v>44272</v>
      </c>
      <c r="R109" s="1"/>
      <c r="S109" s="1"/>
      <c r="T109" s="53"/>
      <c r="U109" s="1"/>
      <c r="V109" s="1"/>
      <c r="W109" s="53"/>
      <c r="X109" s="1"/>
    </row>
    <row r="110" spans="1:24">
      <c r="A110" s="391"/>
      <c r="B110" s="26">
        <v>4395600</v>
      </c>
      <c r="C110" s="1"/>
      <c r="D110" s="32">
        <v>44188</v>
      </c>
      <c r="E110" s="1">
        <v>30</v>
      </c>
      <c r="F110" s="32">
        <f t="shared" si="33"/>
        <v>44218</v>
      </c>
      <c r="G110" s="54"/>
      <c r="H110" s="54"/>
      <c r="I110" s="54"/>
      <c r="J110" s="120">
        <f t="shared" si="34"/>
        <v>-22</v>
      </c>
      <c r="K110" s="66">
        <f t="shared" si="35"/>
        <v>4395600</v>
      </c>
      <c r="L110" s="56">
        <f t="shared" si="36"/>
        <v>0</v>
      </c>
      <c r="M110" s="66">
        <f t="shared" si="37"/>
        <v>0</v>
      </c>
      <c r="N110" s="66">
        <f t="shared" si="38"/>
        <v>0</v>
      </c>
      <c r="O110" s="66">
        <f t="shared" si="39"/>
        <v>0</v>
      </c>
      <c r="P110" s="39">
        <v>3206500</v>
      </c>
      <c r="Q110" s="53">
        <v>44272</v>
      </c>
      <c r="R110" s="1"/>
      <c r="S110" s="1"/>
      <c r="T110" s="53"/>
      <c r="U110" s="1"/>
      <c r="V110" s="1"/>
      <c r="W110" s="53"/>
      <c r="X110" s="1"/>
    </row>
    <row r="111" spans="1:24">
      <c r="A111" s="391"/>
      <c r="B111" s="26">
        <v>9328000</v>
      </c>
      <c r="C111" s="1"/>
      <c r="D111" s="32">
        <v>44189</v>
      </c>
      <c r="E111" s="1">
        <v>30</v>
      </c>
      <c r="F111" s="32">
        <f t="shared" si="33"/>
        <v>44219</v>
      </c>
      <c r="G111" s="54"/>
      <c r="H111" s="54"/>
      <c r="I111" s="54"/>
      <c r="J111" s="120">
        <f t="shared" si="34"/>
        <v>-23</v>
      </c>
      <c r="K111" s="66">
        <f t="shared" si="35"/>
        <v>9328000</v>
      </c>
      <c r="L111" s="56">
        <f t="shared" si="36"/>
        <v>0</v>
      </c>
      <c r="M111" s="66">
        <f t="shared" si="37"/>
        <v>0</v>
      </c>
      <c r="N111" s="66">
        <f t="shared" si="38"/>
        <v>0</v>
      </c>
      <c r="O111" s="66">
        <f t="shared" si="39"/>
        <v>0</v>
      </c>
      <c r="P111" s="39">
        <v>4884000</v>
      </c>
      <c r="Q111" s="53">
        <v>44272</v>
      </c>
      <c r="R111" s="1"/>
      <c r="S111" s="1"/>
      <c r="T111" s="53"/>
      <c r="U111" s="1"/>
      <c r="V111" s="1"/>
      <c r="W111" s="53"/>
      <c r="X111" s="1"/>
    </row>
    <row r="112" spans="1:24">
      <c r="A112" s="391"/>
      <c r="B112" s="26">
        <v>11782650</v>
      </c>
      <c r="C112" s="1"/>
      <c r="D112" s="32">
        <v>44189</v>
      </c>
      <c r="E112" s="1">
        <v>30</v>
      </c>
      <c r="F112" s="32">
        <f t="shared" si="33"/>
        <v>44219</v>
      </c>
      <c r="G112" s="54"/>
      <c r="H112" s="54"/>
      <c r="I112" s="54"/>
      <c r="J112" s="120">
        <f t="shared" si="34"/>
        <v>-23</v>
      </c>
      <c r="K112" s="66">
        <f t="shared" si="35"/>
        <v>11782650</v>
      </c>
      <c r="L112" s="56">
        <f t="shared" si="36"/>
        <v>0</v>
      </c>
      <c r="M112" s="66">
        <f t="shared" si="37"/>
        <v>0</v>
      </c>
      <c r="N112" s="66">
        <f t="shared" si="38"/>
        <v>0</v>
      </c>
      <c r="O112" s="66">
        <f t="shared" si="39"/>
        <v>0</v>
      </c>
      <c r="P112" s="39">
        <v>22283250</v>
      </c>
      <c r="Q112" s="53">
        <v>44272</v>
      </c>
      <c r="R112" s="1"/>
      <c r="S112" s="1"/>
      <c r="T112" s="53"/>
      <c r="U112" s="1"/>
      <c r="V112" s="1"/>
      <c r="W112" s="53"/>
      <c r="X112" s="1"/>
    </row>
    <row r="113" spans="1:24">
      <c r="A113" s="391"/>
      <c r="B113" s="26">
        <v>21062250</v>
      </c>
      <c r="C113" s="1"/>
      <c r="D113" s="32">
        <v>44189</v>
      </c>
      <c r="E113" s="1">
        <v>30</v>
      </c>
      <c r="F113" s="32">
        <f t="shared" si="33"/>
        <v>44219</v>
      </c>
      <c r="G113" s="54"/>
      <c r="H113" s="54"/>
      <c r="I113" s="54"/>
      <c r="J113" s="120">
        <f t="shared" si="34"/>
        <v>-23</v>
      </c>
      <c r="K113" s="66">
        <f t="shared" si="35"/>
        <v>21062250</v>
      </c>
      <c r="L113" s="56">
        <f t="shared" si="36"/>
        <v>0</v>
      </c>
      <c r="M113" s="66">
        <f t="shared" si="37"/>
        <v>0</v>
      </c>
      <c r="N113" s="66">
        <f t="shared" si="38"/>
        <v>0</v>
      </c>
      <c r="O113" s="66">
        <f t="shared" si="39"/>
        <v>0</v>
      </c>
      <c r="P113" s="39">
        <v>1749000</v>
      </c>
      <c r="Q113" s="53">
        <v>44245</v>
      </c>
      <c r="R113" s="1"/>
      <c r="S113" s="4"/>
      <c r="T113" s="53"/>
      <c r="U113" s="1"/>
      <c r="V113" s="1"/>
      <c r="W113" s="53"/>
      <c r="X113" s="1"/>
    </row>
    <row r="114" spans="1:24">
      <c r="A114" s="391"/>
      <c r="B114" s="26">
        <v>4884000</v>
      </c>
      <c r="C114" s="1"/>
      <c r="D114" s="32">
        <v>44189</v>
      </c>
      <c r="E114" s="1">
        <v>30</v>
      </c>
      <c r="F114" s="32">
        <f t="shared" si="33"/>
        <v>44219</v>
      </c>
      <c r="G114" s="54"/>
      <c r="H114" s="54"/>
      <c r="I114" s="54"/>
      <c r="J114" s="120">
        <f t="shared" si="34"/>
        <v>-23</v>
      </c>
      <c r="K114" s="66">
        <f t="shared" si="35"/>
        <v>4884000</v>
      </c>
      <c r="L114" s="56">
        <f t="shared" si="36"/>
        <v>0</v>
      </c>
      <c r="M114" s="66">
        <f t="shared" si="37"/>
        <v>0</v>
      </c>
      <c r="N114" s="66">
        <f t="shared" si="38"/>
        <v>0</v>
      </c>
      <c r="O114" s="66">
        <f t="shared" si="39"/>
        <v>0</v>
      </c>
      <c r="P114" s="39">
        <v>2915000</v>
      </c>
      <c r="Q114" s="53">
        <v>44245</v>
      </c>
      <c r="R114" s="1"/>
      <c r="S114" s="1"/>
      <c r="T114" s="53"/>
      <c r="U114" s="1"/>
      <c r="V114" s="1"/>
      <c r="W114" s="53"/>
      <c r="X114" s="1"/>
    </row>
    <row r="115" spans="1:24">
      <c r="A115" s="391"/>
      <c r="B115" s="26">
        <v>3206500</v>
      </c>
      <c r="C115" s="1"/>
      <c r="D115" s="32">
        <v>44189</v>
      </c>
      <c r="E115" s="1">
        <v>30</v>
      </c>
      <c r="F115" s="32">
        <f t="shared" ref="F115" si="40">D115+E115</f>
        <v>44219</v>
      </c>
      <c r="G115" s="54"/>
      <c r="H115" s="54"/>
      <c r="I115" s="54"/>
      <c r="J115" s="120">
        <f t="shared" si="34"/>
        <v>-23</v>
      </c>
      <c r="K115" s="66">
        <f t="shared" si="35"/>
        <v>3206500</v>
      </c>
      <c r="L115" s="56">
        <f t="shared" si="36"/>
        <v>0</v>
      </c>
      <c r="M115" s="66">
        <f t="shared" si="37"/>
        <v>0</v>
      </c>
      <c r="N115" s="66">
        <f t="shared" si="38"/>
        <v>0</v>
      </c>
      <c r="O115" s="66">
        <f t="shared" si="39"/>
        <v>0</v>
      </c>
      <c r="P115" s="39"/>
      <c r="Q115" s="53"/>
      <c r="R115" s="1"/>
      <c r="S115" s="1"/>
      <c r="T115" s="53"/>
      <c r="U115" s="1"/>
      <c r="V115" s="1"/>
      <c r="W115" s="53"/>
      <c r="X115" s="1"/>
    </row>
    <row r="116" spans="1:24">
      <c r="A116" s="391"/>
      <c r="B116" s="26">
        <v>4884000</v>
      </c>
      <c r="C116" s="1"/>
      <c r="D116" s="32">
        <v>44189</v>
      </c>
      <c r="E116" s="1">
        <v>30</v>
      </c>
      <c r="F116" s="32">
        <f t="shared" si="33"/>
        <v>44219</v>
      </c>
      <c r="G116" s="54"/>
      <c r="H116" s="54"/>
      <c r="I116" s="54"/>
      <c r="J116" s="120">
        <f t="shared" ref="J116:J123" si="41">$A$3-F116</f>
        <v>-23</v>
      </c>
      <c r="K116" s="66">
        <f t="shared" si="35"/>
        <v>4884000</v>
      </c>
      <c r="L116" s="56">
        <f t="shared" si="36"/>
        <v>0</v>
      </c>
      <c r="M116" s="66">
        <f t="shared" si="37"/>
        <v>0</v>
      </c>
      <c r="N116" s="66">
        <f t="shared" si="38"/>
        <v>0</v>
      </c>
      <c r="O116" s="66">
        <f t="shared" si="39"/>
        <v>0</v>
      </c>
      <c r="P116" s="39">
        <v>8547000</v>
      </c>
      <c r="Q116" s="53">
        <v>44245</v>
      </c>
      <c r="R116" s="1"/>
      <c r="S116" s="1"/>
      <c r="T116" s="53"/>
      <c r="U116" s="1"/>
      <c r="V116" s="1"/>
      <c r="W116" s="53"/>
      <c r="X116" s="1"/>
    </row>
    <row r="117" spans="1:24">
      <c r="A117" s="391" t="s">
        <v>13</v>
      </c>
      <c r="B117" s="25">
        <v>97963500</v>
      </c>
      <c r="C117" s="1"/>
      <c r="D117" s="32"/>
      <c r="E117" s="1"/>
      <c r="F117" s="32"/>
      <c r="G117" s="54">
        <f>B117</f>
        <v>97963500</v>
      </c>
      <c r="H117" s="54"/>
      <c r="I117" s="54"/>
      <c r="J117" s="119"/>
      <c r="K117" s="66"/>
      <c r="L117" s="56"/>
      <c r="M117" s="66"/>
      <c r="N117" s="66"/>
      <c r="O117" s="66"/>
      <c r="P117" s="39"/>
      <c r="Q117" s="53"/>
      <c r="R117" s="1"/>
      <c r="S117" s="1"/>
      <c r="T117" s="53"/>
      <c r="U117" s="1"/>
      <c r="V117" s="1"/>
      <c r="W117" s="53"/>
      <c r="X117" s="1"/>
    </row>
    <row r="118" spans="1:24">
      <c r="A118" s="391"/>
      <c r="B118" s="26">
        <v>34500500</v>
      </c>
      <c r="C118" s="1"/>
      <c r="D118" s="32">
        <v>44139</v>
      </c>
      <c r="E118" s="1">
        <v>30</v>
      </c>
      <c r="F118" s="32">
        <f t="shared" ref="F118:F123" si="42">D118+E118</f>
        <v>44169</v>
      </c>
      <c r="G118" s="54"/>
      <c r="H118" s="54"/>
      <c r="I118" s="54"/>
      <c r="J118" s="120">
        <f t="shared" si="41"/>
        <v>27</v>
      </c>
      <c r="K118" s="66">
        <f t="shared" ref="K118:K123" si="43">IF(J118&lt;=0,B118,0)</f>
        <v>0</v>
      </c>
      <c r="L118" s="56">
        <f t="shared" ref="L118:L123" si="44">IF(AND(J118&gt;=1,J118&lt;=30),B118,0)</f>
        <v>34500500</v>
      </c>
      <c r="M118" s="66">
        <f t="shared" ref="M118:M123" si="45">IF(AND(J118&gt;=31,J118&lt;=60),B118,0)</f>
        <v>0</v>
      </c>
      <c r="N118" s="66">
        <f t="shared" ref="N118:N123" si="46">IF(AND(J118&gt;=61,J118&lt;=90),B118,0)</f>
        <v>0</v>
      </c>
      <c r="O118" s="66">
        <f t="shared" ref="O118:O123" si="47">IF(J118&gt;90,B118,0)</f>
        <v>0</v>
      </c>
      <c r="P118" s="39">
        <v>34500500</v>
      </c>
      <c r="Q118" s="53">
        <v>44210</v>
      </c>
      <c r="R118" s="1"/>
      <c r="S118" s="1"/>
      <c r="T118" s="53"/>
      <c r="U118" s="1"/>
      <c r="V118" s="1"/>
      <c r="W118" s="53"/>
      <c r="X118" s="1"/>
    </row>
    <row r="119" spans="1:24">
      <c r="A119" s="391"/>
      <c r="B119" s="26">
        <v>4200000</v>
      </c>
      <c r="C119" s="1"/>
      <c r="D119" s="32">
        <v>44152</v>
      </c>
      <c r="E119" s="1">
        <v>30</v>
      </c>
      <c r="F119" s="32">
        <f t="shared" si="42"/>
        <v>44182</v>
      </c>
      <c r="G119" s="54"/>
      <c r="H119" s="54"/>
      <c r="I119" s="54"/>
      <c r="J119" s="120">
        <f t="shared" si="41"/>
        <v>14</v>
      </c>
      <c r="K119" s="66">
        <f t="shared" si="43"/>
        <v>0</v>
      </c>
      <c r="L119" s="56">
        <f t="shared" si="44"/>
        <v>4200000</v>
      </c>
      <c r="M119" s="66">
        <f t="shared" si="45"/>
        <v>0</v>
      </c>
      <c r="N119" s="66">
        <f t="shared" si="46"/>
        <v>0</v>
      </c>
      <c r="O119" s="66">
        <f t="shared" si="47"/>
        <v>0</v>
      </c>
      <c r="P119" s="39">
        <v>4200000</v>
      </c>
      <c r="Q119" s="53">
        <v>44204</v>
      </c>
      <c r="R119" s="1"/>
      <c r="S119" s="1"/>
      <c r="T119" s="53"/>
      <c r="U119" s="1"/>
      <c r="V119" s="1"/>
      <c r="W119" s="53"/>
      <c r="X119" s="1"/>
    </row>
    <row r="120" spans="1:24">
      <c r="A120" s="391"/>
      <c r="B120" s="26">
        <v>18710000</v>
      </c>
      <c r="C120" s="1"/>
      <c r="D120" s="32">
        <v>44184</v>
      </c>
      <c r="E120" s="1">
        <v>30</v>
      </c>
      <c r="F120" s="32">
        <f t="shared" si="42"/>
        <v>44214</v>
      </c>
      <c r="G120" s="54"/>
      <c r="H120" s="54"/>
      <c r="I120" s="54"/>
      <c r="J120" s="120">
        <f t="shared" si="41"/>
        <v>-18</v>
      </c>
      <c r="K120" s="66">
        <f t="shared" si="43"/>
        <v>18710000</v>
      </c>
      <c r="L120" s="56">
        <f t="shared" si="44"/>
        <v>0</v>
      </c>
      <c r="M120" s="66">
        <f t="shared" si="45"/>
        <v>0</v>
      </c>
      <c r="N120" s="66">
        <f t="shared" si="46"/>
        <v>0</v>
      </c>
      <c r="O120" s="66">
        <f t="shared" si="47"/>
        <v>0</v>
      </c>
      <c r="P120" s="39">
        <v>18710000</v>
      </c>
      <c r="Q120" s="53">
        <v>44230</v>
      </c>
      <c r="R120" s="1"/>
      <c r="S120" s="1"/>
      <c r="T120" s="53"/>
      <c r="U120" s="1"/>
      <c r="V120" s="1"/>
      <c r="W120" s="53"/>
      <c r="X120" s="1"/>
    </row>
    <row r="121" spans="1:24">
      <c r="A121" s="391"/>
      <c r="B121" s="26">
        <v>24750000</v>
      </c>
      <c r="C121" s="1"/>
      <c r="D121" s="32">
        <v>44184</v>
      </c>
      <c r="E121" s="1">
        <v>30</v>
      </c>
      <c r="F121" s="32">
        <f t="shared" si="42"/>
        <v>44214</v>
      </c>
      <c r="G121" s="54"/>
      <c r="H121" s="54"/>
      <c r="I121" s="54"/>
      <c r="J121" s="120">
        <f t="shared" si="41"/>
        <v>-18</v>
      </c>
      <c r="K121" s="66">
        <f t="shared" si="43"/>
        <v>24750000</v>
      </c>
      <c r="L121" s="56">
        <f t="shared" si="44"/>
        <v>0</v>
      </c>
      <c r="M121" s="66">
        <f t="shared" si="45"/>
        <v>0</v>
      </c>
      <c r="N121" s="66">
        <f t="shared" si="46"/>
        <v>0</v>
      </c>
      <c r="O121" s="66">
        <f t="shared" si="47"/>
        <v>0</v>
      </c>
      <c r="P121" s="39">
        <v>24750000</v>
      </c>
      <c r="Q121" s="53">
        <v>44242</v>
      </c>
      <c r="R121" s="1"/>
      <c r="S121" s="1"/>
      <c r="T121" s="53"/>
      <c r="U121" s="1"/>
      <c r="V121" s="1"/>
      <c r="W121" s="53"/>
      <c r="X121" s="1"/>
    </row>
    <row r="122" spans="1:24">
      <c r="A122" s="391"/>
      <c r="B122" s="26">
        <v>9105500</v>
      </c>
      <c r="C122" s="1"/>
      <c r="D122" s="32">
        <v>44184</v>
      </c>
      <c r="E122" s="1">
        <v>30</v>
      </c>
      <c r="F122" s="32">
        <f t="shared" si="42"/>
        <v>44214</v>
      </c>
      <c r="G122" s="54"/>
      <c r="H122" s="54"/>
      <c r="I122" s="54"/>
      <c r="J122" s="120">
        <f t="shared" si="41"/>
        <v>-18</v>
      </c>
      <c r="K122" s="66">
        <f t="shared" si="43"/>
        <v>9105500</v>
      </c>
      <c r="L122" s="56">
        <f t="shared" si="44"/>
        <v>0</v>
      </c>
      <c r="M122" s="66">
        <f t="shared" si="45"/>
        <v>0</v>
      </c>
      <c r="N122" s="66">
        <f t="shared" si="46"/>
        <v>0</v>
      </c>
      <c r="O122" s="66">
        <f t="shared" si="47"/>
        <v>0</v>
      </c>
      <c r="P122" s="39">
        <v>9105500</v>
      </c>
      <c r="Q122" s="53">
        <v>44238</v>
      </c>
      <c r="R122" s="1"/>
      <c r="S122" s="1"/>
      <c r="T122" s="53"/>
      <c r="U122" s="1"/>
      <c r="V122" s="1"/>
      <c r="W122" s="53"/>
      <c r="X122" s="1"/>
    </row>
    <row r="123" spans="1:24">
      <c r="A123" s="391"/>
      <c r="B123" s="26">
        <v>6697500</v>
      </c>
      <c r="C123" s="1"/>
      <c r="D123" s="32">
        <v>44189</v>
      </c>
      <c r="E123" s="1">
        <v>30</v>
      </c>
      <c r="F123" s="32">
        <f t="shared" si="42"/>
        <v>44219</v>
      </c>
      <c r="G123" s="54"/>
      <c r="H123" s="54"/>
      <c r="I123" s="54"/>
      <c r="J123" s="120">
        <f t="shared" si="41"/>
        <v>-23</v>
      </c>
      <c r="K123" s="66">
        <f t="shared" si="43"/>
        <v>6697500</v>
      </c>
      <c r="L123" s="56">
        <f t="shared" si="44"/>
        <v>0</v>
      </c>
      <c r="M123" s="66">
        <f t="shared" si="45"/>
        <v>0</v>
      </c>
      <c r="N123" s="66">
        <f t="shared" si="46"/>
        <v>0</v>
      </c>
      <c r="O123" s="66">
        <f t="shared" si="47"/>
        <v>0</v>
      </c>
      <c r="P123" s="39">
        <v>6697500</v>
      </c>
      <c r="Q123" s="53">
        <v>44246</v>
      </c>
      <c r="R123" s="1"/>
      <c r="S123" s="1"/>
      <c r="T123" s="53"/>
      <c r="U123" s="1"/>
      <c r="V123" s="1"/>
      <c r="W123" s="53"/>
      <c r="X123" s="1"/>
    </row>
    <row r="124" spans="1:24">
      <c r="A124" s="391" t="s">
        <v>14</v>
      </c>
      <c r="B124" s="25">
        <v>54187705</v>
      </c>
      <c r="C124" s="1"/>
      <c r="D124" s="32"/>
      <c r="E124" s="1"/>
      <c r="F124" s="32"/>
      <c r="G124" s="54">
        <f>B124</f>
        <v>54187705</v>
      </c>
      <c r="H124" s="54"/>
      <c r="I124" s="54"/>
      <c r="J124" s="119"/>
      <c r="K124" s="66"/>
      <c r="L124" s="56"/>
      <c r="M124" s="66"/>
      <c r="N124" s="66"/>
      <c r="O124" s="66"/>
      <c r="P124" s="39"/>
      <c r="Q124" s="53"/>
      <c r="R124" s="1"/>
      <c r="S124" s="1"/>
      <c r="T124" s="53"/>
      <c r="U124" s="1"/>
      <c r="V124" s="1"/>
      <c r="W124" s="53"/>
      <c r="X124" s="1"/>
    </row>
    <row r="125" spans="1:24">
      <c r="A125" s="391"/>
      <c r="B125" s="26">
        <v>27093852</v>
      </c>
      <c r="C125" s="1"/>
      <c r="D125" s="32">
        <v>44083</v>
      </c>
      <c r="E125" s="1">
        <v>30</v>
      </c>
      <c r="F125" s="32">
        <f t="shared" ref="F125:F126" si="48">D125+E125</f>
        <v>44113</v>
      </c>
      <c r="G125" s="54"/>
      <c r="H125" s="54"/>
      <c r="I125" s="54"/>
      <c r="J125" s="120">
        <f t="shared" ref="J125:J126" si="49">$A$3-F125</f>
        <v>83</v>
      </c>
      <c r="K125" s="66">
        <f t="shared" ref="K125:K126" si="50">IF(J125&lt;=0,B125,0)</f>
        <v>0</v>
      </c>
      <c r="L125" s="56">
        <f t="shared" ref="L125:L126" si="51">IF(AND(J125&gt;=1,J125&lt;=30),B125,0)</f>
        <v>0</v>
      </c>
      <c r="M125" s="66">
        <f t="shared" ref="M125:M126" si="52">IF(AND(J125&gt;=31,J125&lt;=60),B125,0)</f>
        <v>0</v>
      </c>
      <c r="N125" s="66">
        <f t="shared" ref="N125:N126" si="53">IF(AND(J125&gt;=61,J125&lt;=90),B125,0)</f>
        <v>27093852</v>
      </c>
      <c r="O125" s="66">
        <f t="shared" ref="O125:O126" si="54">IF(J125&gt;90,B125,0)</f>
        <v>0</v>
      </c>
      <c r="P125" s="39">
        <v>27093852</v>
      </c>
      <c r="Q125" s="53">
        <v>44244</v>
      </c>
      <c r="R125" s="1"/>
      <c r="S125" s="1"/>
      <c r="T125" s="53"/>
      <c r="U125" s="1"/>
      <c r="V125" s="1"/>
      <c r="W125" s="53"/>
      <c r="X125" s="1"/>
    </row>
    <row r="126" spans="1:24">
      <c r="A126" s="391"/>
      <c r="B126" s="26">
        <v>27093852</v>
      </c>
      <c r="C126" s="1"/>
      <c r="D126" s="32">
        <v>44102</v>
      </c>
      <c r="E126" s="1">
        <v>30</v>
      </c>
      <c r="F126" s="32">
        <f t="shared" si="48"/>
        <v>44132</v>
      </c>
      <c r="G126" s="54"/>
      <c r="H126" s="54"/>
      <c r="I126" s="54"/>
      <c r="J126" s="120">
        <f t="shared" si="49"/>
        <v>64</v>
      </c>
      <c r="K126" s="66">
        <f t="shared" si="50"/>
        <v>0</v>
      </c>
      <c r="L126" s="56">
        <f t="shared" si="51"/>
        <v>0</v>
      </c>
      <c r="M126" s="66">
        <f t="shared" si="52"/>
        <v>0</v>
      </c>
      <c r="N126" s="66">
        <f t="shared" si="53"/>
        <v>27093852</v>
      </c>
      <c r="O126" s="66">
        <f t="shared" si="54"/>
        <v>0</v>
      </c>
      <c r="P126" s="39">
        <v>27093852</v>
      </c>
      <c r="Q126" s="53">
        <v>44237</v>
      </c>
      <c r="R126" s="1"/>
      <c r="S126" s="1"/>
      <c r="T126" s="53"/>
      <c r="U126" s="1"/>
      <c r="V126" s="1"/>
      <c r="W126" s="53"/>
      <c r="X126" s="1"/>
    </row>
    <row r="127" spans="1:24">
      <c r="A127" s="391" t="s">
        <v>15</v>
      </c>
      <c r="B127" s="25">
        <v>88969250</v>
      </c>
      <c r="C127" s="1"/>
      <c r="D127" s="32"/>
      <c r="E127" s="1"/>
      <c r="F127" s="32"/>
      <c r="G127" s="54">
        <f>B127</f>
        <v>88969250</v>
      </c>
      <c r="H127" s="54"/>
      <c r="I127" s="54"/>
      <c r="J127" s="119"/>
      <c r="K127" s="66"/>
      <c r="L127" s="56"/>
      <c r="M127" s="66"/>
      <c r="N127" s="66"/>
      <c r="O127" s="66"/>
      <c r="P127" s="39"/>
      <c r="Q127" s="53"/>
      <c r="R127" s="1"/>
      <c r="S127" s="1"/>
      <c r="T127" s="53"/>
      <c r="U127" s="1"/>
      <c r="V127" s="1"/>
      <c r="W127" s="53"/>
      <c r="X127" s="1"/>
    </row>
    <row r="128" spans="1:24">
      <c r="A128" s="391"/>
      <c r="B128" s="26">
        <v>22778000</v>
      </c>
      <c r="C128" s="1"/>
      <c r="D128" s="32">
        <v>44124</v>
      </c>
      <c r="E128" s="1">
        <v>30</v>
      </c>
      <c r="F128" s="32">
        <f t="shared" ref="F128:F131" si="55">D128+E128</f>
        <v>44154</v>
      </c>
      <c r="G128" s="54"/>
      <c r="H128" s="54"/>
      <c r="I128" s="54"/>
      <c r="J128" s="120">
        <f t="shared" ref="J128:J131" si="56">$A$3-F128</f>
        <v>42</v>
      </c>
      <c r="K128" s="66">
        <f t="shared" ref="K128:K131" si="57">IF(J128&lt;=0,B128,0)</f>
        <v>0</v>
      </c>
      <c r="L128" s="56">
        <f t="shared" ref="L128:L131" si="58">IF(AND(J128&gt;=1,J128&lt;=30),B128,0)</f>
        <v>0</v>
      </c>
      <c r="M128" s="66">
        <f t="shared" ref="M128:M131" si="59">IF(AND(J128&gt;=31,J128&lt;=60),B128,0)</f>
        <v>22778000</v>
      </c>
      <c r="N128" s="66">
        <f t="shared" ref="N128:N131" si="60">IF(AND(J128&gt;=61,J128&lt;=90),B128,0)</f>
        <v>0</v>
      </c>
      <c r="O128" s="66">
        <f t="shared" ref="O128:O131" si="61">IF(J128&gt;90,B128,0)</f>
        <v>0</v>
      </c>
      <c r="P128" s="39">
        <v>22778000</v>
      </c>
      <c r="Q128" s="53">
        <v>44209</v>
      </c>
      <c r="R128" s="1"/>
      <c r="S128" s="1"/>
      <c r="T128" s="53"/>
      <c r="U128" s="1"/>
      <c r="V128" s="1"/>
      <c r="W128" s="53"/>
      <c r="X128" s="1"/>
    </row>
    <row r="129" spans="1:24">
      <c r="A129" s="391"/>
      <c r="B129" s="26">
        <v>327000</v>
      </c>
      <c r="C129" s="1"/>
      <c r="D129" s="32">
        <v>44147</v>
      </c>
      <c r="E129" s="1">
        <v>30</v>
      </c>
      <c r="F129" s="32">
        <f t="shared" si="55"/>
        <v>44177</v>
      </c>
      <c r="G129" s="54"/>
      <c r="H129" s="54"/>
      <c r="I129" s="54"/>
      <c r="J129" s="120">
        <f t="shared" si="56"/>
        <v>19</v>
      </c>
      <c r="K129" s="66">
        <f t="shared" si="57"/>
        <v>0</v>
      </c>
      <c r="L129" s="56">
        <f t="shared" si="58"/>
        <v>327000</v>
      </c>
      <c r="M129" s="66">
        <f t="shared" si="59"/>
        <v>0</v>
      </c>
      <c r="N129" s="66">
        <f t="shared" si="60"/>
        <v>0</v>
      </c>
      <c r="O129" s="66">
        <f t="shared" si="61"/>
        <v>0</v>
      </c>
      <c r="P129" s="39">
        <v>327000</v>
      </c>
      <c r="Q129" s="53">
        <v>44209</v>
      </c>
      <c r="R129" s="1"/>
      <c r="S129" s="1"/>
      <c r="T129" s="53"/>
      <c r="U129" s="1"/>
      <c r="V129" s="1"/>
      <c r="W129" s="53"/>
      <c r="X129" s="1"/>
    </row>
    <row r="130" spans="1:24">
      <c r="A130" s="391"/>
      <c r="B130" s="26">
        <v>43279250</v>
      </c>
      <c r="C130" s="1"/>
      <c r="D130" s="32">
        <v>44151</v>
      </c>
      <c r="E130" s="1">
        <v>30</v>
      </c>
      <c r="F130" s="32">
        <f t="shared" si="55"/>
        <v>44181</v>
      </c>
      <c r="G130" s="54"/>
      <c r="H130" s="54"/>
      <c r="I130" s="54"/>
      <c r="J130" s="120">
        <f t="shared" si="56"/>
        <v>15</v>
      </c>
      <c r="K130" s="66">
        <f t="shared" si="57"/>
        <v>0</v>
      </c>
      <c r="L130" s="56">
        <f t="shared" si="58"/>
        <v>43279250</v>
      </c>
      <c r="M130" s="66">
        <f t="shared" si="59"/>
        <v>0</v>
      </c>
      <c r="N130" s="66">
        <f t="shared" si="60"/>
        <v>0</v>
      </c>
      <c r="O130" s="66">
        <f t="shared" si="61"/>
        <v>0</v>
      </c>
      <c r="P130" s="39">
        <v>43279250</v>
      </c>
      <c r="Q130" s="53">
        <v>44210</v>
      </c>
      <c r="R130" s="1"/>
      <c r="S130" s="1"/>
      <c r="T130" s="53"/>
      <c r="U130" s="1"/>
      <c r="V130" s="1"/>
      <c r="W130" s="53"/>
      <c r="X130" s="1"/>
    </row>
    <row r="131" spans="1:24">
      <c r="A131" s="391"/>
      <c r="B131" s="26">
        <v>22585000</v>
      </c>
      <c r="C131" s="1"/>
      <c r="D131" s="32">
        <v>44164</v>
      </c>
      <c r="E131" s="1">
        <v>30</v>
      </c>
      <c r="F131" s="32">
        <f t="shared" si="55"/>
        <v>44194</v>
      </c>
      <c r="G131" s="54"/>
      <c r="H131" s="54"/>
      <c r="I131" s="54"/>
      <c r="J131" s="120">
        <f t="shared" si="56"/>
        <v>2</v>
      </c>
      <c r="K131" s="66">
        <f t="shared" si="57"/>
        <v>0</v>
      </c>
      <c r="L131" s="56">
        <f t="shared" si="58"/>
        <v>22585000</v>
      </c>
      <c r="M131" s="66">
        <f t="shared" si="59"/>
        <v>0</v>
      </c>
      <c r="N131" s="66">
        <f t="shared" si="60"/>
        <v>0</v>
      </c>
      <c r="O131" s="66">
        <f t="shared" si="61"/>
        <v>0</v>
      </c>
      <c r="P131" s="39">
        <v>22585000</v>
      </c>
      <c r="Q131" s="53">
        <v>44221</v>
      </c>
      <c r="R131" s="1"/>
      <c r="S131" s="1"/>
      <c r="T131" s="53"/>
      <c r="U131" s="1"/>
      <c r="V131" s="1"/>
      <c r="W131" s="53"/>
      <c r="X131" s="1"/>
    </row>
    <row r="132" spans="1:24">
      <c r="A132" s="391" t="s">
        <v>16</v>
      </c>
      <c r="B132" s="25">
        <v>160875000</v>
      </c>
      <c r="C132" s="1"/>
      <c r="D132" s="32"/>
      <c r="E132" s="1"/>
      <c r="F132" s="32"/>
      <c r="G132" s="54">
        <f>B132</f>
        <v>160875000</v>
      </c>
      <c r="H132" s="54"/>
      <c r="I132" s="54"/>
      <c r="J132" s="119"/>
      <c r="K132" s="66"/>
      <c r="L132" s="56"/>
      <c r="M132" s="66"/>
      <c r="N132" s="66"/>
      <c r="O132" s="66"/>
      <c r="P132" s="39"/>
      <c r="Q132" s="53"/>
      <c r="R132" s="1"/>
      <c r="S132" s="1"/>
      <c r="T132" s="53"/>
      <c r="U132" s="1"/>
      <c r="V132" s="1"/>
      <c r="W132" s="53"/>
      <c r="X132" s="1"/>
    </row>
    <row r="133" spans="1:24">
      <c r="A133" s="391"/>
      <c r="B133" s="26">
        <v>53625000</v>
      </c>
      <c r="C133" s="1"/>
      <c r="D133" s="32">
        <v>44117</v>
      </c>
      <c r="E133" s="1">
        <v>30</v>
      </c>
      <c r="F133" s="32">
        <f t="shared" ref="F133:F136" si="62">D133+E133</f>
        <v>44147</v>
      </c>
      <c r="G133" s="54"/>
      <c r="H133" s="54"/>
      <c r="I133" s="54"/>
      <c r="J133" s="120">
        <f t="shared" ref="J133:J136" si="63">$A$3-F133</f>
        <v>49</v>
      </c>
      <c r="K133" s="66">
        <f t="shared" ref="K133:K136" si="64">IF(J133&lt;=0,B133,0)</f>
        <v>0</v>
      </c>
      <c r="L133" s="56">
        <f t="shared" ref="L133:L136" si="65">IF(AND(J133&gt;=1,J133&lt;=30),B133,0)</f>
        <v>0</v>
      </c>
      <c r="M133" s="66">
        <f t="shared" ref="M133:M136" si="66">IF(AND(J133&gt;=31,J133&lt;=60),B133,0)</f>
        <v>53625000</v>
      </c>
      <c r="N133" s="66">
        <f t="shared" ref="N133:N136" si="67">IF(AND(J133&gt;=61,J133&lt;=90),B133,0)</f>
        <v>0</v>
      </c>
      <c r="O133" s="66">
        <f t="shared" ref="O133:O136" si="68">IF(J133&gt;90,B133,0)</f>
        <v>0</v>
      </c>
      <c r="P133" s="39">
        <v>53625000</v>
      </c>
      <c r="Q133" s="53">
        <v>44202</v>
      </c>
      <c r="R133" s="1"/>
      <c r="S133" s="1"/>
      <c r="T133" s="53"/>
      <c r="U133" s="1"/>
      <c r="V133" s="1"/>
      <c r="W133" s="53"/>
      <c r="X133" s="1"/>
    </row>
    <row r="134" spans="1:24">
      <c r="A134" s="391"/>
      <c r="B134" s="26">
        <v>53625000</v>
      </c>
      <c r="C134" s="1"/>
      <c r="D134" s="32">
        <v>44147</v>
      </c>
      <c r="E134" s="1">
        <v>30</v>
      </c>
      <c r="F134" s="32">
        <f t="shared" si="62"/>
        <v>44177</v>
      </c>
      <c r="G134" s="54"/>
      <c r="H134" s="54"/>
      <c r="I134" s="54"/>
      <c r="J134" s="120">
        <f t="shared" si="63"/>
        <v>19</v>
      </c>
      <c r="K134" s="66">
        <f t="shared" si="64"/>
        <v>0</v>
      </c>
      <c r="L134" s="56">
        <f t="shared" si="65"/>
        <v>53625000</v>
      </c>
      <c r="M134" s="66">
        <f t="shared" si="66"/>
        <v>0</v>
      </c>
      <c r="N134" s="66">
        <f t="shared" si="67"/>
        <v>0</v>
      </c>
      <c r="O134" s="66">
        <f t="shared" si="68"/>
        <v>0</v>
      </c>
      <c r="P134" s="39">
        <v>53625000</v>
      </c>
      <c r="Q134" s="53">
        <v>44210</v>
      </c>
      <c r="R134" s="1"/>
      <c r="S134" s="1"/>
      <c r="T134" s="53"/>
      <c r="U134" s="1"/>
      <c r="V134" s="1"/>
      <c r="W134" s="53"/>
      <c r="X134" s="1"/>
    </row>
    <row r="135" spans="1:24">
      <c r="A135" s="391"/>
      <c r="B135" s="26">
        <v>53625000</v>
      </c>
      <c r="C135" s="1"/>
      <c r="D135" s="32">
        <v>44147</v>
      </c>
      <c r="E135" s="1">
        <v>30</v>
      </c>
      <c r="F135" s="32">
        <f t="shared" si="62"/>
        <v>44177</v>
      </c>
      <c r="G135" s="54"/>
      <c r="H135" s="54"/>
      <c r="I135" s="54"/>
      <c r="J135" s="120">
        <f t="shared" si="63"/>
        <v>19</v>
      </c>
      <c r="K135" s="66">
        <f t="shared" si="64"/>
        <v>0</v>
      </c>
      <c r="L135" s="56">
        <f t="shared" si="65"/>
        <v>53625000</v>
      </c>
      <c r="M135" s="66">
        <f t="shared" si="66"/>
        <v>0</v>
      </c>
      <c r="N135" s="66">
        <f t="shared" si="67"/>
        <v>0</v>
      </c>
      <c r="O135" s="66">
        <f t="shared" si="68"/>
        <v>0</v>
      </c>
      <c r="P135" s="39">
        <v>53625000</v>
      </c>
      <c r="Q135" s="53">
        <v>44216</v>
      </c>
      <c r="R135" s="1"/>
      <c r="S135" s="1"/>
      <c r="T135" s="53"/>
      <c r="U135" s="1"/>
      <c r="V135" s="1"/>
      <c r="W135" s="53"/>
      <c r="X135" s="1"/>
    </row>
    <row r="136" spans="1:24">
      <c r="A136" s="1" t="s">
        <v>17</v>
      </c>
      <c r="B136" s="25">
        <v>103752000</v>
      </c>
      <c r="C136" s="1"/>
      <c r="D136" s="32">
        <v>44137</v>
      </c>
      <c r="E136" s="1">
        <v>30</v>
      </c>
      <c r="F136" s="32">
        <f t="shared" si="62"/>
        <v>44167</v>
      </c>
      <c r="G136" s="54">
        <f t="shared" ref="G136:G137" si="69">B136</f>
        <v>103752000</v>
      </c>
      <c r="H136" s="54"/>
      <c r="I136" s="54"/>
      <c r="J136" s="120">
        <f t="shared" si="63"/>
        <v>29</v>
      </c>
      <c r="K136" s="66">
        <f t="shared" si="64"/>
        <v>0</v>
      </c>
      <c r="L136" s="56">
        <f t="shared" si="65"/>
        <v>103752000</v>
      </c>
      <c r="M136" s="66">
        <f t="shared" si="66"/>
        <v>0</v>
      </c>
      <c r="N136" s="66">
        <f t="shared" si="67"/>
        <v>0</v>
      </c>
      <c r="O136" s="66">
        <f t="shared" si="68"/>
        <v>0</v>
      </c>
      <c r="P136" s="39">
        <v>103752000</v>
      </c>
      <c r="Q136" s="53">
        <v>44202</v>
      </c>
      <c r="R136" s="1"/>
      <c r="S136" s="1"/>
      <c r="T136" s="53"/>
      <c r="U136" s="1"/>
      <c r="V136" s="1"/>
      <c r="W136" s="53"/>
      <c r="X136" s="1"/>
    </row>
    <row r="137" spans="1:24">
      <c r="A137" s="391" t="s">
        <v>18</v>
      </c>
      <c r="B137" s="25">
        <v>153134575</v>
      </c>
      <c r="C137" s="1"/>
      <c r="D137" s="32"/>
      <c r="E137" s="1"/>
      <c r="F137" s="32"/>
      <c r="G137" s="54">
        <f t="shared" si="69"/>
        <v>153134575</v>
      </c>
      <c r="H137" s="54"/>
      <c r="I137" s="54"/>
      <c r="J137" s="119"/>
      <c r="K137" s="66"/>
      <c r="L137" s="56"/>
      <c r="M137" s="66"/>
      <c r="N137" s="66"/>
      <c r="O137" s="66"/>
      <c r="P137" s="39"/>
      <c r="Q137" s="53"/>
      <c r="R137" s="1"/>
      <c r="S137" s="1"/>
      <c r="T137" s="53"/>
      <c r="U137" s="1"/>
      <c r="V137" s="1"/>
      <c r="W137" s="53"/>
      <c r="X137" s="1"/>
    </row>
    <row r="138" spans="1:24">
      <c r="A138" s="391"/>
      <c r="B138" s="26">
        <v>18906250</v>
      </c>
      <c r="C138" s="1"/>
      <c r="D138" s="32">
        <v>44159</v>
      </c>
      <c r="E138" s="1">
        <v>30</v>
      </c>
      <c r="F138" s="32">
        <f>D138+E138</f>
        <v>44189</v>
      </c>
      <c r="G138" s="54"/>
      <c r="H138" s="54"/>
      <c r="I138" s="54"/>
      <c r="J138" s="120">
        <f>$A$3-F138</f>
        <v>7</v>
      </c>
      <c r="K138" s="66">
        <f t="shared" ref="K138:K141" si="70">IF(J138&lt;=0,B138,0)</f>
        <v>0</v>
      </c>
      <c r="L138" s="56">
        <f t="shared" ref="L138:L141" si="71">IF(AND(J138&gt;=1,J138&lt;=30),B138,0)</f>
        <v>18906250</v>
      </c>
      <c r="M138" s="66">
        <f t="shared" ref="M138:M141" si="72">IF(AND(J138&gt;=31,J138&lt;=60),B138,0)</f>
        <v>0</v>
      </c>
      <c r="N138" s="66">
        <f t="shared" ref="N138:N141" si="73">IF(AND(J138&gt;=61,J138&lt;=90),B138,0)</f>
        <v>0</v>
      </c>
      <c r="O138" s="66">
        <f t="shared" ref="O138:O141" si="74">IF(J138&gt;90,B138,0)</f>
        <v>0</v>
      </c>
      <c r="P138" s="39">
        <v>18906250</v>
      </c>
      <c r="Q138" s="53">
        <v>44216</v>
      </c>
      <c r="R138" s="1"/>
      <c r="S138" s="1"/>
      <c r="T138" s="53"/>
      <c r="U138" s="1"/>
      <c r="V138" s="1"/>
      <c r="W138" s="53"/>
      <c r="X138" s="1"/>
    </row>
    <row r="139" spans="1:24">
      <c r="A139" s="391"/>
      <c r="B139" s="26">
        <v>2127125</v>
      </c>
      <c r="C139" s="1"/>
      <c r="D139" s="32">
        <v>44159</v>
      </c>
      <c r="E139" s="1">
        <v>30</v>
      </c>
      <c r="F139" s="32">
        <f t="shared" ref="F139:F141" si="75">D139+E139</f>
        <v>44189</v>
      </c>
      <c r="G139" s="54"/>
      <c r="H139" s="54"/>
      <c r="I139" s="54"/>
      <c r="J139" s="120">
        <f t="shared" ref="J139:J141" si="76">$A$3-F139</f>
        <v>7</v>
      </c>
      <c r="K139" s="66">
        <f t="shared" si="70"/>
        <v>0</v>
      </c>
      <c r="L139" s="56">
        <f t="shared" si="71"/>
        <v>2127125</v>
      </c>
      <c r="M139" s="66">
        <f t="shared" si="72"/>
        <v>0</v>
      </c>
      <c r="N139" s="66">
        <f t="shared" si="73"/>
        <v>0</v>
      </c>
      <c r="O139" s="66">
        <f t="shared" si="74"/>
        <v>0</v>
      </c>
      <c r="P139" s="39">
        <v>2127125</v>
      </c>
      <c r="Q139" s="53">
        <v>44216</v>
      </c>
      <c r="R139" s="1"/>
      <c r="S139" s="1"/>
      <c r="T139" s="53"/>
      <c r="U139" s="1"/>
      <c r="V139" s="1"/>
      <c r="W139" s="53"/>
      <c r="X139" s="1"/>
    </row>
    <row r="140" spans="1:24">
      <c r="A140" s="391"/>
      <c r="B140" s="26">
        <v>60596250</v>
      </c>
      <c r="C140" s="1"/>
      <c r="D140" s="32">
        <v>44193</v>
      </c>
      <c r="E140" s="1">
        <v>30</v>
      </c>
      <c r="F140" s="32">
        <f t="shared" si="75"/>
        <v>44223</v>
      </c>
      <c r="G140" s="54"/>
      <c r="H140" s="54"/>
      <c r="I140" s="54"/>
      <c r="J140" s="120">
        <f t="shared" si="76"/>
        <v>-27</v>
      </c>
      <c r="K140" s="66">
        <f t="shared" si="70"/>
        <v>60596250</v>
      </c>
      <c r="L140" s="56">
        <f t="shared" si="71"/>
        <v>0</v>
      </c>
      <c r="M140" s="66">
        <f t="shared" si="72"/>
        <v>0</v>
      </c>
      <c r="N140" s="66">
        <f t="shared" si="73"/>
        <v>0</v>
      </c>
      <c r="O140" s="66">
        <f t="shared" si="74"/>
        <v>0</v>
      </c>
      <c r="P140" s="39">
        <v>60596250</v>
      </c>
      <c r="Q140" s="53">
        <v>44228</v>
      </c>
      <c r="R140" s="1"/>
      <c r="S140" s="1"/>
      <c r="T140" s="53"/>
      <c r="U140" s="1"/>
      <c r="V140" s="1"/>
      <c r="W140" s="53"/>
      <c r="X140" s="1"/>
    </row>
    <row r="141" spans="1:24">
      <c r="A141" s="391"/>
      <c r="B141" s="26">
        <v>71504950</v>
      </c>
      <c r="C141" s="1"/>
      <c r="D141" s="32">
        <v>44194</v>
      </c>
      <c r="E141" s="1">
        <v>30</v>
      </c>
      <c r="F141" s="32">
        <f t="shared" si="75"/>
        <v>44224</v>
      </c>
      <c r="G141" s="54"/>
      <c r="H141" s="54"/>
      <c r="I141" s="54"/>
      <c r="J141" s="120">
        <f t="shared" si="76"/>
        <v>-28</v>
      </c>
      <c r="K141" s="66">
        <f t="shared" si="70"/>
        <v>71504950</v>
      </c>
      <c r="L141" s="56">
        <f t="shared" si="71"/>
        <v>0</v>
      </c>
      <c r="M141" s="66">
        <f t="shared" si="72"/>
        <v>0</v>
      </c>
      <c r="N141" s="66">
        <f t="shared" si="73"/>
        <v>0</v>
      </c>
      <c r="O141" s="66">
        <f t="shared" si="74"/>
        <v>0</v>
      </c>
      <c r="P141" s="39">
        <v>71504950</v>
      </c>
      <c r="Q141" s="53">
        <v>44229</v>
      </c>
      <c r="R141" s="1"/>
      <c r="S141" s="1"/>
      <c r="T141" s="53"/>
      <c r="U141" s="1"/>
      <c r="V141" s="1"/>
      <c r="W141" s="53"/>
      <c r="X141" s="1"/>
    </row>
    <row r="142" spans="1:24">
      <c r="A142" s="391" t="s">
        <v>19</v>
      </c>
      <c r="B142" s="25">
        <v>41843000</v>
      </c>
      <c r="C142" s="1"/>
      <c r="D142" s="32"/>
      <c r="E142" s="1"/>
      <c r="F142" s="32"/>
      <c r="G142" s="54">
        <f>B142</f>
        <v>41843000</v>
      </c>
      <c r="H142" s="54"/>
      <c r="I142" s="54"/>
      <c r="J142" s="119"/>
      <c r="K142" s="66"/>
      <c r="L142" s="56"/>
      <c r="M142" s="66"/>
      <c r="N142" s="66"/>
      <c r="O142" s="66"/>
      <c r="P142" s="39"/>
      <c r="Q142" s="53"/>
      <c r="R142" s="1"/>
      <c r="S142" s="1"/>
      <c r="T142" s="53"/>
      <c r="U142" s="1"/>
      <c r="V142" s="1"/>
      <c r="W142" s="53"/>
      <c r="X142" s="1"/>
    </row>
    <row r="143" spans="1:24">
      <c r="A143" s="391"/>
      <c r="B143" s="26">
        <v>9033000</v>
      </c>
      <c r="C143" s="1"/>
      <c r="D143" s="32">
        <v>44169</v>
      </c>
      <c r="E143" s="1">
        <v>30</v>
      </c>
      <c r="F143" s="32">
        <f t="shared" ref="F143:F146" si="77">D143+E143</f>
        <v>44199</v>
      </c>
      <c r="G143" s="54"/>
      <c r="H143" s="54"/>
      <c r="I143" s="54"/>
      <c r="J143" s="120">
        <f t="shared" ref="J143:J146" si="78">$A$3-F143</f>
        <v>-3</v>
      </c>
      <c r="K143" s="66">
        <f t="shared" ref="K143:K146" si="79">IF(J143&lt;=0,B143,0)</f>
        <v>9033000</v>
      </c>
      <c r="L143" s="56">
        <f t="shared" ref="L143:L146" si="80">IF(AND(J143&gt;=1,J143&lt;=30),B143,0)</f>
        <v>0</v>
      </c>
      <c r="M143" s="66">
        <f t="shared" ref="M143:M146" si="81">IF(AND(J143&gt;=31,J143&lt;=60),B143,0)</f>
        <v>0</v>
      </c>
      <c r="N143" s="66">
        <f t="shared" ref="N143:N146" si="82">IF(AND(J143&gt;=61,J143&lt;=90),B143,0)</f>
        <v>0</v>
      </c>
      <c r="O143" s="66">
        <f t="shared" ref="O143:O146" si="83">IF(J143&gt;90,B143,0)</f>
        <v>0</v>
      </c>
      <c r="P143" s="39">
        <v>9033000</v>
      </c>
      <c r="Q143" s="53">
        <v>44204</v>
      </c>
      <c r="R143" s="1"/>
      <c r="S143" s="1"/>
      <c r="T143" s="53"/>
      <c r="U143" s="1"/>
      <c r="V143" s="1"/>
      <c r="W143" s="53"/>
      <c r="X143" s="1"/>
    </row>
    <row r="144" spans="1:24">
      <c r="A144" s="391"/>
      <c r="B144" s="26">
        <v>31834000</v>
      </c>
      <c r="C144" s="1"/>
      <c r="D144" s="32">
        <v>44186</v>
      </c>
      <c r="E144" s="1">
        <v>30</v>
      </c>
      <c r="F144" s="32">
        <f t="shared" si="77"/>
        <v>44216</v>
      </c>
      <c r="G144" s="54"/>
      <c r="H144" s="54"/>
      <c r="I144" s="54"/>
      <c r="J144" s="120">
        <f t="shared" si="78"/>
        <v>-20</v>
      </c>
      <c r="K144" s="66">
        <f t="shared" si="79"/>
        <v>31834000</v>
      </c>
      <c r="L144" s="56">
        <f t="shared" si="80"/>
        <v>0</v>
      </c>
      <c r="M144" s="66">
        <f t="shared" si="81"/>
        <v>0</v>
      </c>
      <c r="N144" s="66">
        <f t="shared" si="82"/>
        <v>0</v>
      </c>
      <c r="O144" s="66">
        <f t="shared" si="83"/>
        <v>0</v>
      </c>
      <c r="P144" s="39">
        <v>31834000</v>
      </c>
      <c r="Q144" s="53">
        <v>44211</v>
      </c>
      <c r="R144" s="1"/>
      <c r="S144" s="1"/>
      <c r="T144" s="53"/>
      <c r="U144" s="1"/>
      <c r="V144" s="1"/>
      <c r="W144" s="53"/>
      <c r="X144" s="1"/>
    </row>
    <row r="145" spans="1:24">
      <c r="A145" s="391"/>
      <c r="B145" s="26">
        <v>376000</v>
      </c>
      <c r="C145" s="1"/>
      <c r="D145" s="32">
        <v>44186</v>
      </c>
      <c r="E145" s="1">
        <v>30</v>
      </c>
      <c r="F145" s="32">
        <f t="shared" si="77"/>
        <v>44216</v>
      </c>
      <c r="G145" s="54"/>
      <c r="H145" s="54"/>
      <c r="I145" s="54"/>
      <c r="J145" s="120">
        <f t="shared" si="78"/>
        <v>-20</v>
      </c>
      <c r="K145" s="66">
        <f t="shared" si="79"/>
        <v>376000</v>
      </c>
      <c r="L145" s="56">
        <f t="shared" si="80"/>
        <v>0</v>
      </c>
      <c r="M145" s="66">
        <f t="shared" si="81"/>
        <v>0</v>
      </c>
      <c r="N145" s="66">
        <f t="shared" si="82"/>
        <v>0</v>
      </c>
      <c r="O145" s="66">
        <f t="shared" si="83"/>
        <v>0</v>
      </c>
      <c r="P145" s="39">
        <v>600000</v>
      </c>
      <c r="Q145" s="53">
        <v>44211</v>
      </c>
      <c r="R145" s="1"/>
      <c r="S145" s="1"/>
      <c r="T145" s="53"/>
      <c r="U145" s="1"/>
      <c r="V145" s="1"/>
      <c r="W145" s="53"/>
      <c r="X145" s="1"/>
    </row>
    <row r="146" spans="1:24">
      <c r="A146" s="391"/>
      <c r="B146" s="26">
        <v>600000</v>
      </c>
      <c r="C146" s="1"/>
      <c r="D146" s="32">
        <v>44186</v>
      </c>
      <c r="E146" s="1">
        <v>30</v>
      </c>
      <c r="F146" s="32">
        <f t="shared" si="77"/>
        <v>44216</v>
      </c>
      <c r="G146" s="54"/>
      <c r="H146" s="54"/>
      <c r="I146" s="54"/>
      <c r="J146" s="120">
        <f t="shared" si="78"/>
        <v>-20</v>
      </c>
      <c r="K146" s="66">
        <f t="shared" si="79"/>
        <v>600000</v>
      </c>
      <c r="L146" s="56">
        <f t="shared" si="80"/>
        <v>0</v>
      </c>
      <c r="M146" s="66">
        <f t="shared" si="81"/>
        <v>0</v>
      </c>
      <c r="N146" s="66">
        <f t="shared" si="82"/>
        <v>0</v>
      </c>
      <c r="O146" s="66">
        <f t="shared" si="83"/>
        <v>0</v>
      </c>
      <c r="P146" s="39">
        <v>376000</v>
      </c>
      <c r="Q146" s="53">
        <v>44211</v>
      </c>
      <c r="R146" s="1"/>
      <c r="S146" s="1"/>
      <c r="T146" s="53"/>
      <c r="U146" s="1"/>
      <c r="V146" s="1"/>
      <c r="W146" s="53"/>
      <c r="X146" s="1"/>
    </row>
    <row r="147" spans="1:24">
      <c r="A147" s="387" t="s">
        <v>20</v>
      </c>
      <c r="B147" s="25">
        <v>120714000</v>
      </c>
      <c r="C147" s="1"/>
      <c r="D147" s="32"/>
      <c r="E147" s="1"/>
      <c r="F147" s="32"/>
      <c r="G147" s="54">
        <f>B147</f>
        <v>120714000</v>
      </c>
      <c r="H147" s="54"/>
      <c r="I147" s="54"/>
      <c r="J147" s="119"/>
      <c r="K147" s="66"/>
      <c r="L147" s="56"/>
      <c r="M147" s="66"/>
      <c r="N147" s="66"/>
      <c r="O147" s="66"/>
      <c r="P147" s="39"/>
      <c r="Q147" s="53"/>
      <c r="R147" s="1"/>
      <c r="S147" s="1"/>
      <c r="T147" s="53"/>
      <c r="U147" s="1"/>
      <c r="V147" s="1"/>
      <c r="W147" s="53"/>
      <c r="X147" s="1"/>
    </row>
    <row r="148" spans="1:24">
      <c r="A148" s="387"/>
      <c r="B148" s="26">
        <v>20790000</v>
      </c>
      <c r="C148" s="1"/>
      <c r="D148" s="32">
        <v>44186</v>
      </c>
      <c r="E148" s="1">
        <v>30</v>
      </c>
      <c r="F148" s="32">
        <f t="shared" ref="F148:F155" si="84">D148+E148</f>
        <v>44216</v>
      </c>
      <c r="G148" s="54"/>
      <c r="H148" s="54"/>
      <c r="I148" s="54"/>
      <c r="J148" s="120">
        <f t="shared" ref="J148:J155" si="85">$A$3-F148</f>
        <v>-20</v>
      </c>
      <c r="K148" s="66">
        <f t="shared" ref="K148:K155" si="86">IF(J148&lt;=0,B148,0)</f>
        <v>20790000</v>
      </c>
      <c r="L148" s="56">
        <f t="shared" ref="L148:L155" si="87">IF(AND(J148&gt;=1,J148&lt;=30),B148,0)</f>
        <v>0</v>
      </c>
      <c r="M148" s="66">
        <f t="shared" ref="M148:M155" si="88">IF(AND(J148&gt;=31,J148&lt;=60),B148,0)</f>
        <v>0</v>
      </c>
      <c r="N148" s="66">
        <f t="shared" ref="N148:N155" si="89">IF(AND(J148&gt;=61,J148&lt;=90),B148,0)</f>
        <v>0</v>
      </c>
      <c r="O148" s="66">
        <f t="shared" ref="O148:O155" si="90">IF(J148&gt;90,B148,0)</f>
        <v>0</v>
      </c>
      <c r="P148" s="39">
        <v>20790000</v>
      </c>
      <c r="Q148" s="53">
        <v>44229</v>
      </c>
      <c r="R148" s="1"/>
      <c r="S148" s="1"/>
      <c r="T148" s="53"/>
      <c r="U148" s="1"/>
      <c r="V148" s="1"/>
      <c r="W148" s="53"/>
      <c r="X148" s="1"/>
    </row>
    <row r="149" spans="1:24">
      <c r="A149" s="387"/>
      <c r="B149" s="26">
        <v>20790000</v>
      </c>
      <c r="C149" s="1"/>
      <c r="D149" s="32">
        <v>44186</v>
      </c>
      <c r="E149" s="1">
        <v>30</v>
      </c>
      <c r="F149" s="32">
        <f t="shared" si="84"/>
        <v>44216</v>
      </c>
      <c r="G149" s="54"/>
      <c r="H149" s="54"/>
      <c r="I149" s="54"/>
      <c r="J149" s="120">
        <f t="shared" si="85"/>
        <v>-20</v>
      </c>
      <c r="K149" s="66">
        <f t="shared" si="86"/>
        <v>20790000</v>
      </c>
      <c r="L149" s="56">
        <f t="shared" si="87"/>
        <v>0</v>
      </c>
      <c r="M149" s="66">
        <f t="shared" si="88"/>
        <v>0</v>
      </c>
      <c r="N149" s="66">
        <f t="shared" si="89"/>
        <v>0</v>
      </c>
      <c r="O149" s="66">
        <f t="shared" si="90"/>
        <v>0</v>
      </c>
      <c r="P149" s="39">
        <v>20790000</v>
      </c>
      <c r="Q149" s="53">
        <v>44229</v>
      </c>
      <c r="R149" s="1"/>
      <c r="S149" s="1"/>
      <c r="T149" s="53"/>
      <c r="U149" s="1"/>
      <c r="V149" s="1"/>
      <c r="W149" s="53"/>
      <c r="X149" s="1"/>
    </row>
    <row r="150" spans="1:24">
      <c r="A150" s="387"/>
      <c r="B150" s="26">
        <v>20790000</v>
      </c>
      <c r="C150" s="1"/>
      <c r="D150" s="32">
        <v>44189</v>
      </c>
      <c r="E150" s="1">
        <v>30</v>
      </c>
      <c r="F150" s="32">
        <f t="shared" si="84"/>
        <v>44219</v>
      </c>
      <c r="G150" s="54"/>
      <c r="H150" s="54"/>
      <c r="I150" s="54"/>
      <c r="J150" s="120">
        <f t="shared" si="85"/>
        <v>-23</v>
      </c>
      <c r="K150" s="66">
        <f t="shared" si="86"/>
        <v>20790000</v>
      </c>
      <c r="L150" s="56">
        <f t="shared" si="87"/>
        <v>0</v>
      </c>
      <c r="M150" s="66">
        <f t="shared" si="88"/>
        <v>0</v>
      </c>
      <c r="N150" s="66">
        <f t="shared" si="89"/>
        <v>0</v>
      </c>
      <c r="O150" s="66">
        <f t="shared" si="90"/>
        <v>0</v>
      </c>
      <c r="P150" s="39">
        <v>20790000</v>
      </c>
      <c r="Q150" s="53">
        <v>44221</v>
      </c>
      <c r="R150" s="1"/>
      <c r="S150" s="1"/>
      <c r="T150" s="53"/>
      <c r="U150" s="1"/>
      <c r="V150" s="1"/>
      <c r="W150" s="53"/>
      <c r="X150" s="1"/>
    </row>
    <row r="151" spans="1:24">
      <c r="A151" s="387"/>
      <c r="B151" s="26">
        <v>20790000</v>
      </c>
      <c r="C151" s="1"/>
      <c r="D151" s="32">
        <v>44189</v>
      </c>
      <c r="E151" s="1">
        <v>30</v>
      </c>
      <c r="F151" s="32">
        <f t="shared" si="84"/>
        <v>44219</v>
      </c>
      <c r="G151" s="54"/>
      <c r="H151" s="54"/>
      <c r="I151" s="54"/>
      <c r="J151" s="120">
        <f t="shared" si="85"/>
        <v>-23</v>
      </c>
      <c r="K151" s="66">
        <f t="shared" si="86"/>
        <v>20790000</v>
      </c>
      <c r="L151" s="56">
        <f t="shared" si="87"/>
        <v>0</v>
      </c>
      <c r="M151" s="66">
        <f t="shared" si="88"/>
        <v>0</v>
      </c>
      <c r="N151" s="66">
        <f t="shared" si="89"/>
        <v>0</v>
      </c>
      <c r="O151" s="66">
        <f t="shared" si="90"/>
        <v>0</v>
      </c>
      <c r="P151" s="39">
        <v>20790000</v>
      </c>
      <c r="Q151" s="53">
        <v>44221</v>
      </c>
      <c r="R151" s="1"/>
      <c r="S151" s="1"/>
      <c r="T151" s="53"/>
      <c r="U151" s="1"/>
      <c r="V151" s="1"/>
      <c r="W151" s="53"/>
      <c r="X151" s="1"/>
    </row>
    <row r="152" spans="1:24">
      <c r="A152" s="387"/>
      <c r="B152" s="26">
        <v>12474000</v>
      </c>
      <c r="C152" s="1"/>
      <c r="D152" s="32">
        <v>44189</v>
      </c>
      <c r="E152" s="1">
        <v>30</v>
      </c>
      <c r="F152" s="32">
        <f t="shared" si="84"/>
        <v>44219</v>
      </c>
      <c r="G152" s="54"/>
      <c r="H152" s="54"/>
      <c r="I152" s="54"/>
      <c r="J152" s="120">
        <f t="shared" si="85"/>
        <v>-23</v>
      </c>
      <c r="K152" s="66">
        <f t="shared" si="86"/>
        <v>12474000</v>
      </c>
      <c r="L152" s="56">
        <f t="shared" si="87"/>
        <v>0</v>
      </c>
      <c r="M152" s="66">
        <f t="shared" si="88"/>
        <v>0</v>
      </c>
      <c r="N152" s="66">
        <f t="shared" si="89"/>
        <v>0</v>
      </c>
      <c r="O152" s="66">
        <f t="shared" si="90"/>
        <v>0</v>
      </c>
      <c r="P152" s="39">
        <v>12474000</v>
      </c>
      <c r="Q152" s="53">
        <v>44221</v>
      </c>
      <c r="R152" s="1"/>
      <c r="S152" s="1"/>
      <c r="T152" s="53"/>
      <c r="U152" s="1"/>
      <c r="V152" s="1"/>
      <c r="W152" s="53"/>
      <c r="X152" s="1"/>
    </row>
    <row r="153" spans="1:24">
      <c r="A153" s="387"/>
      <c r="B153" s="26">
        <v>25080000</v>
      </c>
      <c r="C153" s="1"/>
      <c r="D153" s="32">
        <v>44194</v>
      </c>
      <c r="E153" s="1">
        <v>30</v>
      </c>
      <c r="F153" s="32">
        <f t="shared" si="84"/>
        <v>44224</v>
      </c>
      <c r="G153" s="54"/>
      <c r="H153" s="54"/>
      <c r="I153" s="54"/>
      <c r="J153" s="120">
        <f t="shared" si="85"/>
        <v>-28</v>
      </c>
      <c r="K153" s="66">
        <f t="shared" si="86"/>
        <v>25080000</v>
      </c>
      <c r="L153" s="56">
        <f t="shared" si="87"/>
        <v>0</v>
      </c>
      <c r="M153" s="66">
        <f t="shared" si="88"/>
        <v>0</v>
      </c>
      <c r="N153" s="66">
        <f t="shared" si="89"/>
        <v>0</v>
      </c>
      <c r="O153" s="66">
        <f t="shared" si="90"/>
        <v>0</v>
      </c>
      <c r="P153" s="39">
        <v>25080000</v>
      </c>
      <c r="Q153" s="53">
        <v>44238</v>
      </c>
      <c r="R153" s="1"/>
      <c r="S153" s="1"/>
      <c r="T153" s="53"/>
      <c r="U153" s="1"/>
      <c r="V153" s="1"/>
      <c r="W153" s="53"/>
      <c r="X153" s="1"/>
    </row>
    <row r="154" spans="1:24">
      <c r="A154" s="1" t="s">
        <v>21</v>
      </c>
      <c r="B154" s="25">
        <v>115500000</v>
      </c>
      <c r="C154" s="1"/>
      <c r="D154" s="32">
        <v>44187</v>
      </c>
      <c r="E154" s="1">
        <v>30</v>
      </c>
      <c r="F154" s="32">
        <f t="shared" si="84"/>
        <v>44217</v>
      </c>
      <c r="G154" s="54">
        <f t="shared" ref="G154:G155" si="91">B154</f>
        <v>115500000</v>
      </c>
      <c r="H154" s="54"/>
      <c r="I154" s="54"/>
      <c r="J154" s="120">
        <f t="shared" si="85"/>
        <v>-21</v>
      </c>
      <c r="K154" s="66">
        <f t="shared" si="86"/>
        <v>115500000</v>
      </c>
      <c r="L154" s="56">
        <f t="shared" si="87"/>
        <v>0</v>
      </c>
      <c r="M154" s="66">
        <f t="shared" si="88"/>
        <v>0</v>
      </c>
      <c r="N154" s="66">
        <f t="shared" si="89"/>
        <v>0</v>
      </c>
      <c r="O154" s="66">
        <f t="shared" si="90"/>
        <v>0</v>
      </c>
      <c r="P154" s="39">
        <v>115500000</v>
      </c>
      <c r="Q154" s="53">
        <v>44235</v>
      </c>
      <c r="R154" s="1"/>
      <c r="S154" s="1"/>
      <c r="T154" s="53"/>
      <c r="U154" s="1"/>
      <c r="V154" s="1"/>
      <c r="W154" s="53"/>
      <c r="X154" s="1"/>
    </row>
    <row r="155" spans="1:24">
      <c r="A155" s="1" t="s">
        <v>22</v>
      </c>
      <c r="B155" s="25">
        <v>30555800</v>
      </c>
      <c r="C155" s="1"/>
      <c r="D155" s="32">
        <v>44189</v>
      </c>
      <c r="E155" s="1">
        <v>30</v>
      </c>
      <c r="F155" s="32">
        <f t="shared" si="84"/>
        <v>44219</v>
      </c>
      <c r="G155" s="54">
        <f t="shared" si="91"/>
        <v>30555800</v>
      </c>
      <c r="H155" s="54"/>
      <c r="I155" s="54"/>
      <c r="J155" s="120">
        <f t="shared" si="85"/>
        <v>-23</v>
      </c>
      <c r="K155" s="66">
        <f t="shared" si="86"/>
        <v>30555800</v>
      </c>
      <c r="L155" s="56">
        <f t="shared" si="87"/>
        <v>0</v>
      </c>
      <c r="M155" s="66">
        <f t="shared" si="88"/>
        <v>0</v>
      </c>
      <c r="N155" s="66">
        <f t="shared" si="89"/>
        <v>0</v>
      </c>
      <c r="O155" s="66">
        <f t="shared" si="90"/>
        <v>0</v>
      </c>
      <c r="P155" s="39">
        <v>30555800</v>
      </c>
      <c r="Q155" s="53">
        <v>44232</v>
      </c>
      <c r="R155" s="1"/>
      <c r="S155" s="1"/>
      <c r="T155" s="53"/>
      <c r="U155" s="1"/>
      <c r="V155" s="1"/>
      <c r="W155" s="53"/>
      <c r="X155" s="1"/>
    </row>
    <row r="156" spans="1:24">
      <c r="A156" s="391" t="s">
        <v>23</v>
      </c>
      <c r="B156" s="25">
        <v>52600020</v>
      </c>
      <c r="C156" s="1"/>
      <c r="D156" s="32"/>
      <c r="E156" s="1"/>
      <c r="F156" s="32"/>
      <c r="G156" s="54">
        <f>B156</f>
        <v>52600020</v>
      </c>
      <c r="H156" s="54"/>
      <c r="I156" s="54"/>
      <c r="J156" s="119"/>
      <c r="K156" s="66"/>
      <c r="L156" s="56"/>
      <c r="M156" s="66"/>
      <c r="N156" s="66"/>
      <c r="O156" s="66"/>
      <c r="P156" s="39"/>
      <c r="Q156" s="53"/>
      <c r="R156" s="1"/>
      <c r="S156" s="1"/>
      <c r="T156" s="53"/>
      <c r="U156" s="1"/>
      <c r="V156" s="1"/>
      <c r="W156" s="53"/>
      <c r="X156" s="1"/>
    </row>
    <row r="157" spans="1:24">
      <c r="A157" s="391"/>
      <c r="B157" s="26">
        <v>8750005</v>
      </c>
      <c r="C157" s="1"/>
      <c r="D157" s="32">
        <v>44154</v>
      </c>
      <c r="E157" s="1">
        <v>30</v>
      </c>
      <c r="F157" s="32">
        <f t="shared" ref="F157:F160" si="92">D157+E157</f>
        <v>44184</v>
      </c>
      <c r="G157" s="54"/>
      <c r="H157" s="54"/>
      <c r="I157" s="54"/>
      <c r="J157" s="120">
        <f t="shared" ref="J157:J160" si="93">$A$3-F157</f>
        <v>12</v>
      </c>
      <c r="K157" s="66">
        <f t="shared" ref="K157:K160" si="94">IF(J157&lt;=0,B157,0)</f>
        <v>0</v>
      </c>
      <c r="L157" s="56">
        <f t="shared" ref="L157:L160" si="95">IF(AND(J157&gt;=1,J157&lt;=30),B157,0)</f>
        <v>8750005</v>
      </c>
      <c r="M157" s="66">
        <f t="shared" ref="M157:M160" si="96">IF(AND(J157&gt;=31,J157&lt;=60),B157,0)</f>
        <v>0</v>
      </c>
      <c r="N157" s="66">
        <f t="shared" ref="N157:N160" si="97">IF(AND(J157&gt;=61,J157&lt;=90),B157,0)</f>
        <v>0</v>
      </c>
      <c r="O157" s="66">
        <f t="shared" ref="O157:O160" si="98">IF(J157&gt;90,B157,0)</f>
        <v>0</v>
      </c>
      <c r="P157" s="39">
        <v>8750005</v>
      </c>
      <c r="Q157" s="53">
        <v>44202</v>
      </c>
      <c r="R157" s="1"/>
      <c r="S157" s="1"/>
      <c r="T157" s="53"/>
      <c r="U157" s="1"/>
      <c r="V157" s="1"/>
      <c r="W157" s="53"/>
      <c r="X157" s="1"/>
    </row>
    <row r="158" spans="1:24">
      <c r="A158" s="391"/>
      <c r="B158" s="26">
        <v>8750005</v>
      </c>
      <c r="C158" s="1"/>
      <c r="D158" s="32">
        <v>44175</v>
      </c>
      <c r="E158" s="1">
        <v>30</v>
      </c>
      <c r="F158" s="32">
        <f t="shared" si="92"/>
        <v>44205</v>
      </c>
      <c r="G158" s="54"/>
      <c r="H158" s="54"/>
      <c r="I158" s="54"/>
      <c r="J158" s="120">
        <f t="shared" si="93"/>
        <v>-9</v>
      </c>
      <c r="K158" s="66">
        <f t="shared" si="94"/>
        <v>8750005</v>
      </c>
      <c r="L158" s="56">
        <f t="shared" si="95"/>
        <v>0</v>
      </c>
      <c r="M158" s="66">
        <f t="shared" si="96"/>
        <v>0</v>
      </c>
      <c r="N158" s="66">
        <f t="shared" si="97"/>
        <v>0</v>
      </c>
      <c r="O158" s="66">
        <f t="shared" si="98"/>
        <v>0</v>
      </c>
      <c r="P158" s="39">
        <v>8750005</v>
      </c>
      <c r="Q158" s="53">
        <v>44229</v>
      </c>
      <c r="R158" s="1"/>
      <c r="S158" s="1"/>
      <c r="T158" s="53"/>
      <c r="U158" s="1"/>
      <c r="V158" s="1"/>
      <c r="W158" s="53"/>
      <c r="X158" s="1"/>
    </row>
    <row r="159" spans="1:24">
      <c r="A159" s="391"/>
      <c r="B159" s="26">
        <v>4400000</v>
      </c>
      <c r="C159" s="1"/>
      <c r="D159" s="32">
        <v>44188</v>
      </c>
      <c r="E159" s="1">
        <v>30</v>
      </c>
      <c r="F159" s="32">
        <f t="shared" si="92"/>
        <v>44218</v>
      </c>
      <c r="G159" s="54"/>
      <c r="H159" s="54"/>
      <c r="I159" s="54"/>
      <c r="J159" s="120">
        <f t="shared" si="93"/>
        <v>-22</v>
      </c>
      <c r="K159" s="66">
        <f t="shared" si="94"/>
        <v>4400000</v>
      </c>
      <c r="L159" s="56">
        <f t="shared" si="95"/>
        <v>0</v>
      </c>
      <c r="M159" s="66">
        <f t="shared" si="96"/>
        <v>0</v>
      </c>
      <c r="N159" s="66">
        <f t="shared" si="97"/>
        <v>0</v>
      </c>
      <c r="O159" s="66">
        <f t="shared" si="98"/>
        <v>0</v>
      </c>
      <c r="P159" s="39">
        <v>4400000</v>
      </c>
      <c r="Q159" s="53">
        <v>44454</v>
      </c>
      <c r="R159" s="1"/>
      <c r="S159" s="1"/>
      <c r="T159" s="53"/>
      <c r="U159" s="1"/>
      <c r="V159" s="1"/>
      <c r="W159" s="53"/>
      <c r="X159" s="1"/>
    </row>
    <row r="160" spans="1:24">
      <c r="A160" s="391"/>
      <c r="B160" s="26">
        <v>30700000</v>
      </c>
      <c r="C160" s="1"/>
      <c r="D160" s="32">
        <v>44195</v>
      </c>
      <c r="E160" s="1">
        <v>30</v>
      </c>
      <c r="F160" s="32">
        <f t="shared" si="92"/>
        <v>44225</v>
      </c>
      <c r="G160" s="54"/>
      <c r="H160" s="54"/>
      <c r="I160" s="54"/>
      <c r="J160" s="120">
        <f t="shared" si="93"/>
        <v>-29</v>
      </c>
      <c r="K160" s="66">
        <f t="shared" si="94"/>
        <v>30700000</v>
      </c>
      <c r="L160" s="56">
        <f t="shared" si="95"/>
        <v>0</v>
      </c>
      <c r="M160" s="66">
        <f t="shared" si="96"/>
        <v>0</v>
      </c>
      <c r="N160" s="66">
        <f t="shared" si="97"/>
        <v>0</v>
      </c>
      <c r="O160" s="66">
        <f t="shared" si="98"/>
        <v>0</v>
      </c>
      <c r="P160" s="39">
        <v>30700000</v>
      </c>
      <c r="Q160" s="53">
        <v>44230</v>
      </c>
      <c r="R160" s="1"/>
      <c r="S160" s="1"/>
      <c r="T160" s="53"/>
      <c r="U160" s="1"/>
      <c r="V160" s="1"/>
      <c r="W160" s="53"/>
      <c r="X160" s="1"/>
    </row>
    <row r="161" spans="1:24">
      <c r="A161" s="391" t="s">
        <v>24</v>
      </c>
      <c r="B161" s="25">
        <v>36704000</v>
      </c>
      <c r="C161" s="1"/>
      <c r="D161" s="32"/>
      <c r="E161" s="1"/>
      <c r="F161" s="32"/>
      <c r="G161" s="54">
        <f>B161</f>
        <v>36704000</v>
      </c>
      <c r="H161" s="54"/>
      <c r="I161" s="54"/>
      <c r="J161" s="119"/>
      <c r="K161" s="66"/>
      <c r="L161" s="56"/>
      <c r="M161" s="66"/>
      <c r="N161" s="66"/>
      <c r="O161" s="66"/>
      <c r="P161" s="39"/>
      <c r="Q161" s="53"/>
      <c r="R161" s="1"/>
      <c r="S161" s="1"/>
      <c r="T161" s="53"/>
      <c r="U161" s="1"/>
      <c r="V161" s="1"/>
      <c r="W161" s="53"/>
      <c r="X161" s="1"/>
    </row>
    <row r="162" spans="1:24">
      <c r="A162" s="391"/>
      <c r="B162" s="26">
        <v>3144000</v>
      </c>
      <c r="C162" s="1"/>
      <c r="D162" s="32">
        <v>44158</v>
      </c>
      <c r="E162" s="1">
        <v>30</v>
      </c>
      <c r="F162" s="32">
        <f t="shared" ref="F162:F165" si="99">D162+E162</f>
        <v>44188</v>
      </c>
      <c r="G162" s="54"/>
      <c r="H162" s="54"/>
      <c r="I162" s="54"/>
      <c r="J162" s="120">
        <f t="shared" ref="J162:J165" si="100">$A$3-F162</f>
        <v>8</v>
      </c>
      <c r="K162" s="66">
        <f t="shared" ref="K162:K165" si="101">IF(J162&lt;=0,B162,0)</f>
        <v>0</v>
      </c>
      <c r="L162" s="56">
        <f t="shared" ref="L162:L165" si="102">IF(AND(J162&gt;=1,J162&lt;=30),B162,0)</f>
        <v>3144000</v>
      </c>
      <c r="M162" s="66">
        <f t="shared" ref="M162:M165" si="103">IF(AND(J162&gt;=31,J162&lt;=60),B162,0)</f>
        <v>0</v>
      </c>
      <c r="N162" s="66">
        <f t="shared" ref="N162:N165" si="104">IF(AND(J162&gt;=61,J162&lt;=90),B162,0)</f>
        <v>0</v>
      </c>
      <c r="O162" s="66">
        <f t="shared" ref="O162:O165" si="105">IF(J162&gt;90,B162,0)</f>
        <v>0</v>
      </c>
      <c r="P162" s="39">
        <v>3144000</v>
      </c>
      <c r="Q162" s="53">
        <v>44204</v>
      </c>
      <c r="R162" s="1"/>
      <c r="S162" s="1"/>
      <c r="T162" s="53"/>
      <c r="U162" s="1"/>
      <c r="V162" s="1"/>
      <c r="W162" s="53"/>
      <c r="X162" s="1"/>
    </row>
    <row r="163" spans="1:24">
      <c r="A163" s="391"/>
      <c r="B163" s="26">
        <v>3019000</v>
      </c>
      <c r="C163" s="1"/>
      <c r="D163" s="32">
        <v>44167</v>
      </c>
      <c r="E163" s="1">
        <v>30</v>
      </c>
      <c r="F163" s="32">
        <f t="shared" si="99"/>
        <v>44197</v>
      </c>
      <c r="G163" s="54"/>
      <c r="H163" s="54"/>
      <c r="I163" s="54"/>
      <c r="J163" s="120">
        <f t="shared" si="100"/>
        <v>-1</v>
      </c>
      <c r="K163" s="66">
        <f t="shared" si="101"/>
        <v>3019000</v>
      </c>
      <c r="L163" s="56">
        <f t="shared" si="102"/>
        <v>0</v>
      </c>
      <c r="M163" s="66">
        <f t="shared" si="103"/>
        <v>0</v>
      </c>
      <c r="N163" s="66">
        <f t="shared" si="104"/>
        <v>0</v>
      </c>
      <c r="O163" s="66">
        <f t="shared" si="105"/>
        <v>0</v>
      </c>
      <c r="P163" s="39">
        <v>3019000</v>
      </c>
      <c r="Q163" s="53">
        <v>44230</v>
      </c>
      <c r="R163" s="1"/>
      <c r="S163" s="1"/>
      <c r="T163" s="53"/>
      <c r="U163" s="1"/>
      <c r="V163" s="1"/>
      <c r="W163" s="53"/>
      <c r="X163" s="1"/>
    </row>
    <row r="164" spans="1:24">
      <c r="A164" s="391"/>
      <c r="B164" s="26">
        <v>11226000</v>
      </c>
      <c r="C164" s="1"/>
      <c r="D164" s="32">
        <v>44179</v>
      </c>
      <c r="E164" s="1">
        <v>30</v>
      </c>
      <c r="F164" s="32">
        <f t="shared" si="99"/>
        <v>44209</v>
      </c>
      <c r="G164" s="54"/>
      <c r="H164" s="54"/>
      <c r="I164" s="54"/>
      <c r="J164" s="120">
        <f t="shared" si="100"/>
        <v>-13</v>
      </c>
      <c r="K164" s="66">
        <f t="shared" si="101"/>
        <v>11226000</v>
      </c>
      <c r="L164" s="56">
        <f t="shared" si="102"/>
        <v>0</v>
      </c>
      <c r="M164" s="66">
        <f t="shared" si="103"/>
        <v>0</v>
      </c>
      <c r="N164" s="66">
        <f t="shared" si="104"/>
        <v>0</v>
      </c>
      <c r="O164" s="66">
        <f t="shared" si="105"/>
        <v>0</v>
      </c>
      <c r="P164" s="39">
        <v>11226000</v>
      </c>
      <c r="Q164" s="53">
        <v>44237</v>
      </c>
      <c r="R164" s="1"/>
      <c r="S164" s="1"/>
      <c r="T164" s="53"/>
      <c r="U164" s="1"/>
      <c r="V164" s="1"/>
      <c r="W164" s="53"/>
      <c r="X164" s="1"/>
    </row>
    <row r="165" spans="1:24">
      <c r="A165" s="391"/>
      <c r="B165" s="26">
        <v>19315000</v>
      </c>
      <c r="C165" s="1"/>
      <c r="D165" s="32">
        <v>44189</v>
      </c>
      <c r="E165" s="1">
        <v>30</v>
      </c>
      <c r="F165" s="32">
        <f t="shared" si="99"/>
        <v>44219</v>
      </c>
      <c r="G165" s="54"/>
      <c r="H165" s="54"/>
      <c r="I165" s="54"/>
      <c r="J165" s="120">
        <f t="shared" si="100"/>
        <v>-23</v>
      </c>
      <c r="K165" s="66">
        <f t="shared" si="101"/>
        <v>19315000</v>
      </c>
      <c r="L165" s="56">
        <f t="shared" si="102"/>
        <v>0</v>
      </c>
      <c r="M165" s="66">
        <f t="shared" si="103"/>
        <v>0</v>
      </c>
      <c r="N165" s="66">
        <f t="shared" si="104"/>
        <v>0</v>
      </c>
      <c r="O165" s="66">
        <f t="shared" si="105"/>
        <v>0</v>
      </c>
      <c r="P165" s="39">
        <v>19315000</v>
      </c>
      <c r="Q165" s="53">
        <v>44244</v>
      </c>
      <c r="R165" s="1"/>
      <c r="S165" s="1"/>
      <c r="T165" s="53"/>
      <c r="U165" s="1"/>
      <c r="V165" s="1"/>
      <c r="W165" s="53"/>
      <c r="X165" s="1"/>
    </row>
    <row r="166" spans="1:24">
      <c r="A166" s="391" t="s">
        <v>25</v>
      </c>
      <c r="B166" s="25">
        <v>67037375</v>
      </c>
      <c r="C166" s="1"/>
      <c r="D166" s="32"/>
      <c r="E166" s="1"/>
      <c r="F166" s="32"/>
      <c r="G166" s="54">
        <f>B166</f>
        <v>67037375</v>
      </c>
      <c r="H166" s="54"/>
      <c r="I166" s="54"/>
      <c r="J166" s="119"/>
      <c r="K166" s="66"/>
      <c r="L166" s="56"/>
      <c r="M166" s="66"/>
      <c r="N166" s="66"/>
      <c r="O166" s="66"/>
      <c r="P166" s="39"/>
      <c r="Q166" s="53"/>
      <c r="R166" s="1"/>
      <c r="S166" s="1"/>
      <c r="T166" s="53"/>
      <c r="U166" s="1"/>
      <c r="V166" s="1"/>
      <c r="W166" s="53"/>
      <c r="X166" s="1"/>
    </row>
    <row r="167" spans="1:24">
      <c r="A167" s="391"/>
      <c r="B167" s="26">
        <v>4938206</v>
      </c>
      <c r="C167" s="1"/>
      <c r="D167" s="32">
        <v>44183</v>
      </c>
      <c r="E167" s="1">
        <v>30</v>
      </c>
      <c r="F167" s="32">
        <f t="shared" ref="F167:F170" si="106">D167+E167</f>
        <v>44213</v>
      </c>
      <c r="G167" s="54"/>
      <c r="H167" s="54"/>
      <c r="I167" s="54"/>
      <c r="J167" s="120">
        <f t="shared" ref="J167:J170" si="107">$A$3-F167</f>
        <v>-17</v>
      </c>
      <c r="K167" s="66">
        <f t="shared" ref="K167:K170" si="108">IF(J167&lt;=0,B167,0)</f>
        <v>4938206</v>
      </c>
      <c r="L167" s="56">
        <f t="shared" ref="L167:L170" si="109">IF(AND(J167&gt;=1,J167&lt;=30),B167,0)</f>
        <v>0</v>
      </c>
      <c r="M167" s="66">
        <f t="shared" ref="M167:M170" si="110">IF(AND(J167&gt;=31,J167&lt;=60),B167,0)</f>
        <v>0</v>
      </c>
      <c r="N167" s="66">
        <f t="shared" ref="N167:N170" si="111">IF(AND(J167&gt;=61,J167&lt;=90),B167,0)</f>
        <v>0</v>
      </c>
      <c r="O167" s="66">
        <f t="shared" ref="O167:O170" si="112">IF(J167&gt;90,B167,0)</f>
        <v>0</v>
      </c>
      <c r="P167" s="39">
        <v>4938206</v>
      </c>
      <c r="Q167" s="53">
        <v>44203</v>
      </c>
      <c r="R167" s="1"/>
      <c r="S167" s="1"/>
      <c r="T167" s="53"/>
      <c r="U167" s="1"/>
      <c r="V167" s="1"/>
      <c r="W167" s="53"/>
      <c r="X167" s="1"/>
    </row>
    <row r="168" spans="1:24">
      <c r="A168" s="391"/>
      <c r="B168" s="26">
        <v>28200995</v>
      </c>
      <c r="C168" s="1"/>
      <c r="D168" s="32">
        <v>44184</v>
      </c>
      <c r="E168" s="1">
        <v>30</v>
      </c>
      <c r="F168" s="32">
        <f t="shared" si="106"/>
        <v>44214</v>
      </c>
      <c r="G168" s="54"/>
      <c r="H168" s="54"/>
      <c r="I168" s="54"/>
      <c r="J168" s="120">
        <f t="shared" si="107"/>
        <v>-18</v>
      </c>
      <c r="K168" s="66">
        <f t="shared" si="108"/>
        <v>28200995</v>
      </c>
      <c r="L168" s="56">
        <f t="shared" si="109"/>
        <v>0</v>
      </c>
      <c r="M168" s="66">
        <f t="shared" si="110"/>
        <v>0</v>
      </c>
      <c r="N168" s="66">
        <f t="shared" si="111"/>
        <v>0</v>
      </c>
      <c r="O168" s="66">
        <f t="shared" si="112"/>
        <v>0</v>
      </c>
      <c r="P168" s="39">
        <v>28200995</v>
      </c>
      <c r="Q168" s="53">
        <v>44214</v>
      </c>
      <c r="R168" s="1"/>
      <c r="S168" s="1"/>
      <c r="T168" s="53"/>
      <c r="U168" s="1"/>
      <c r="V168" s="1"/>
      <c r="W168" s="53"/>
      <c r="X168" s="1"/>
    </row>
    <row r="169" spans="1:24">
      <c r="A169" s="391"/>
      <c r="B169" s="26">
        <v>5625954</v>
      </c>
      <c r="C169" s="1"/>
      <c r="D169" s="32">
        <v>44194</v>
      </c>
      <c r="E169" s="1">
        <v>30</v>
      </c>
      <c r="F169" s="32">
        <f t="shared" si="106"/>
        <v>44224</v>
      </c>
      <c r="G169" s="54"/>
      <c r="H169" s="54"/>
      <c r="I169" s="54"/>
      <c r="J169" s="120">
        <f t="shared" si="107"/>
        <v>-28</v>
      </c>
      <c r="K169" s="66">
        <f t="shared" si="108"/>
        <v>5625954</v>
      </c>
      <c r="L169" s="56">
        <f t="shared" si="109"/>
        <v>0</v>
      </c>
      <c r="M169" s="66">
        <f t="shared" si="110"/>
        <v>0</v>
      </c>
      <c r="N169" s="66">
        <f t="shared" si="111"/>
        <v>0</v>
      </c>
      <c r="O169" s="66">
        <f t="shared" si="112"/>
        <v>0</v>
      </c>
      <c r="P169" s="39">
        <v>5625954</v>
      </c>
      <c r="Q169" s="53">
        <v>44203</v>
      </c>
      <c r="R169" s="1"/>
      <c r="S169" s="1"/>
      <c r="T169" s="53"/>
      <c r="U169" s="1"/>
      <c r="V169" s="1"/>
      <c r="W169" s="53"/>
      <c r="X169" s="1"/>
    </row>
    <row r="170" spans="1:24">
      <c r="A170" s="391"/>
      <c r="B170" s="26">
        <v>28272220</v>
      </c>
      <c r="C170" s="1"/>
      <c r="D170" s="32">
        <v>44194</v>
      </c>
      <c r="E170" s="1">
        <v>30</v>
      </c>
      <c r="F170" s="32">
        <f t="shared" si="106"/>
        <v>44224</v>
      </c>
      <c r="G170" s="54"/>
      <c r="H170" s="54"/>
      <c r="I170" s="54"/>
      <c r="J170" s="120">
        <f t="shared" si="107"/>
        <v>-28</v>
      </c>
      <c r="K170" s="66">
        <f t="shared" si="108"/>
        <v>28272220</v>
      </c>
      <c r="L170" s="56">
        <f t="shared" si="109"/>
        <v>0</v>
      </c>
      <c r="M170" s="66">
        <f t="shared" si="110"/>
        <v>0</v>
      </c>
      <c r="N170" s="66">
        <f t="shared" si="111"/>
        <v>0</v>
      </c>
      <c r="O170" s="66">
        <f t="shared" si="112"/>
        <v>0</v>
      </c>
      <c r="P170" s="39">
        <v>28272220</v>
      </c>
      <c r="Q170" s="53">
        <v>44221</v>
      </c>
      <c r="R170" s="1"/>
      <c r="S170" s="1"/>
      <c r="T170" s="53"/>
      <c r="U170" s="1"/>
      <c r="V170" s="1"/>
      <c r="W170" s="53"/>
      <c r="X170" s="1"/>
    </row>
    <row r="171" spans="1:24">
      <c r="A171" s="391" t="s">
        <v>26</v>
      </c>
      <c r="B171" s="25">
        <v>21988000</v>
      </c>
      <c r="C171" s="1"/>
      <c r="D171" s="32"/>
      <c r="E171" s="1"/>
      <c r="F171" s="32"/>
      <c r="G171" s="54">
        <f>B171</f>
        <v>21988000</v>
      </c>
      <c r="H171" s="54"/>
      <c r="I171" s="54"/>
      <c r="J171" s="119"/>
      <c r="K171" s="66"/>
      <c r="L171" s="56"/>
      <c r="M171" s="66"/>
      <c r="N171" s="66"/>
      <c r="O171" s="66"/>
      <c r="P171" s="39"/>
      <c r="Q171" s="53"/>
      <c r="R171" s="1"/>
      <c r="S171" s="1"/>
      <c r="T171" s="53"/>
      <c r="U171" s="1"/>
      <c r="V171" s="1"/>
      <c r="W171" s="53"/>
      <c r="X171" s="1"/>
    </row>
    <row r="172" spans="1:24">
      <c r="A172" s="391"/>
      <c r="B172" s="26">
        <v>10744000</v>
      </c>
      <c r="C172" s="1"/>
      <c r="D172" s="32">
        <v>44159</v>
      </c>
      <c r="E172" s="1">
        <v>30</v>
      </c>
      <c r="F172" s="32">
        <f t="shared" ref="F172:F173" si="113">D172+E172</f>
        <v>44189</v>
      </c>
      <c r="G172" s="54"/>
      <c r="H172" s="54"/>
      <c r="I172" s="54"/>
      <c r="J172" s="120">
        <f t="shared" ref="J172:J173" si="114">$A$3-F172</f>
        <v>7</v>
      </c>
      <c r="K172" s="66">
        <f t="shared" ref="K172:K173" si="115">IF(J172&lt;=0,B172,0)</f>
        <v>0</v>
      </c>
      <c r="L172" s="56">
        <f t="shared" ref="L172:L173" si="116">IF(AND(J172&gt;=1,J172&lt;=30),B172,0)</f>
        <v>10744000</v>
      </c>
      <c r="M172" s="66">
        <f t="shared" ref="M172:M173" si="117">IF(AND(J172&gt;=31,J172&lt;=60),B172,0)</f>
        <v>0</v>
      </c>
      <c r="N172" s="66">
        <f t="shared" ref="N172:N173" si="118">IF(AND(J172&gt;=61,J172&lt;=90),B172,0)</f>
        <v>0</v>
      </c>
      <c r="O172" s="66">
        <f t="shared" ref="O172:O173" si="119">IF(J172&gt;90,B172,0)</f>
        <v>0</v>
      </c>
      <c r="P172" s="39">
        <v>10744000</v>
      </c>
      <c r="Q172" s="53">
        <v>44209</v>
      </c>
      <c r="R172" s="1"/>
      <c r="S172" s="1"/>
      <c r="T172" s="53"/>
      <c r="U172" s="1"/>
      <c r="V172" s="1"/>
      <c r="W172" s="53"/>
      <c r="X172" s="1"/>
    </row>
    <row r="173" spans="1:24">
      <c r="A173" s="391"/>
      <c r="B173" s="26">
        <v>11244000</v>
      </c>
      <c r="C173" s="1"/>
      <c r="D173" s="32">
        <v>44186</v>
      </c>
      <c r="E173" s="1">
        <v>30</v>
      </c>
      <c r="F173" s="32">
        <f t="shared" si="113"/>
        <v>44216</v>
      </c>
      <c r="G173" s="54"/>
      <c r="H173" s="54"/>
      <c r="I173" s="54"/>
      <c r="J173" s="120">
        <f t="shared" si="114"/>
        <v>-20</v>
      </c>
      <c r="K173" s="66">
        <f t="shared" si="115"/>
        <v>11244000</v>
      </c>
      <c r="L173" s="56">
        <f t="shared" si="116"/>
        <v>0</v>
      </c>
      <c r="M173" s="66">
        <f t="shared" si="117"/>
        <v>0</v>
      </c>
      <c r="N173" s="66">
        <f t="shared" si="118"/>
        <v>0</v>
      </c>
      <c r="O173" s="66">
        <f t="shared" si="119"/>
        <v>0</v>
      </c>
      <c r="P173" s="39">
        <v>11244000</v>
      </c>
      <c r="Q173" s="53">
        <v>44230</v>
      </c>
      <c r="R173" s="1"/>
      <c r="S173" s="1"/>
      <c r="T173" s="53"/>
      <c r="U173" s="1"/>
      <c r="V173" s="1"/>
      <c r="W173" s="53"/>
      <c r="X173" s="1"/>
    </row>
    <row r="174" spans="1:24">
      <c r="A174" s="391" t="s">
        <v>27</v>
      </c>
      <c r="B174" s="25">
        <v>137195000</v>
      </c>
      <c r="C174" s="1"/>
      <c r="D174" s="32"/>
      <c r="E174" s="1"/>
      <c r="F174" s="32"/>
      <c r="G174" s="54">
        <f>B174</f>
        <v>137195000</v>
      </c>
      <c r="H174" s="54"/>
      <c r="I174" s="54"/>
      <c r="J174" s="119"/>
      <c r="K174" s="66"/>
      <c r="L174" s="56"/>
      <c r="M174" s="66"/>
      <c r="N174" s="66"/>
      <c r="O174" s="66"/>
      <c r="P174" s="39"/>
      <c r="Q174" s="53"/>
      <c r="R174" s="1"/>
      <c r="S174" s="1"/>
      <c r="T174" s="53"/>
      <c r="U174" s="1"/>
      <c r="V174" s="1"/>
      <c r="W174" s="53"/>
      <c r="X174" s="1"/>
    </row>
    <row r="175" spans="1:24">
      <c r="A175" s="391"/>
      <c r="B175" s="26">
        <v>8400000</v>
      </c>
      <c r="C175" s="1"/>
      <c r="D175" s="32">
        <v>44182</v>
      </c>
      <c r="E175" s="1">
        <v>30</v>
      </c>
      <c r="F175" s="32">
        <f t="shared" ref="F175:F178" si="120">D175+E175</f>
        <v>44212</v>
      </c>
      <c r="G175" s="54"/>
      <c r="H175" s="54"/>
      <c r="I175" s="54"/>
      <c r="J175" s="120">
        <f t="shared" ref="J175:J178" si="121">$A$3-F175</f>
        <v>-16</v>
      </c>
      <c r="K175" s="66">
        <f t="shared" ref="K175:K178" si="122">IF(J175&lt;=0,B175,0)</f>
        <v>8400000</v>
      </c>
      <c r="L175" s="56">
        <f t="shared" ref="L175:L178" si="123">IF(AND(J175&gt;=1,J175&lt;=30),B175,0)</f>
        <v>0</v>
      </c>
      <c r="M175" s="66">
        <f t="shared" ref="M175:M178" si="124">IF(AND(J175&gt;=31,J175&lt;=60),B175,0)</f>
        <v>0</v>
      </c>
      <c r="N175" s="66">
        <f t="shared" ref="N175:N178" si="125">IF(AND(J175&gt;=61,J175&lt;=90),B175,0)</f>
        <v>0</v>
      </c>
      <c r="O175" s="66">
        <f t="shared" ref="O175:O178" si="126">IF(J175&gt;90,B175,0)</f>
        <v>0</v>
      </c>
      <c r="P175" s="39">
        <v>8400000</v>
      </c>
      <c r="Q175" s="53">
        <v>44201</v>
      </c>
      <c r="R175" s="1"/>
      <c r="S175" s="1"/>
      <c r="T175" s="53"/>
      <c r="U175" s="1"/>
      <c r="V175" s="1"/>
      <c r="W175" s="53"/>
      <c r="X175" s="1"/>
    </row>
    <row r="176" spans="1:24">
      <c r="A176" s="391"/>
      <c r="B176" s="26">
        <v>71605000</v>
      </c>
      <c r="C176" s="1"/>
      <c r="D176" s="32">
        <v>44183</v>
      </c>
      <c r="E176" s="1">
        <v>30</v>
      </c>
      <c r="F176" s="32">
        <f t="shared" si="120"/>
        <v>44213</v>
      </c>
      <c r="G176" s="54"/>
      <c r="H176" s="54"/>
      <c r="I176" s="54"/>
      <c r="J176" s="120">
        <f t="shared" si="121"/>
        <v>-17</v>
      </c>
      <c r="K176" s="66">
        <f t="shared" si="122"/>
        <v>71605000</v>
      </c>
      <c r="L176" s="56">
        <f t="shared" si="123"/>
        <v>0</v>
      </c>
      <c r="M176" s="66">
        <f t="shared" si="124"/>
        <v>0</v>
      </c>
      <c r="N176" s="66">
        <f t="shared" si="125"/>
        <v>0</v>
      </c>
      <c r="O176" s="66">
        <f t="shared" si="126"/>
        <v>0</v>
      </c>
      <c r="P176" s="39">
        <v>71605000</v>
      </c>
      <c r="Q176" s="53">
        <v>44202</v>
      </c>
      <c r="R176" s="1"/>
      <c r="S176" s="1"/>
      <c r="T176" s="53"/>
      <c r="U176" s="1"/>
      <c r="V176" s="1"/>
      <c r="W176" s="53"/>
      <c r="X176" s="1"/>
    </row>
    <row r="177" spans="1:24">
      <c r="A177" s="391"/>
      <c r="B177" s="26">
        <v>15740000</v>
      </c>
      <c r="C177" s="1"/>
      <c r="D177" s="32">
        <v>44193</v>
      </c>
      <c r="E177" s="1">
        <v>30</v>
      </c>
      <c r="F177" s="32">
        <f t="shared" si="120"/>
        <v>44223</v>
      </c>
      <c r="G177" s="54"/>
      <c r="H177" s="54"/>
      <c r="I177" s="54"/>
      <c r="J177" s="120">
        <f t="shared" si="121"/>
        <v>-27</v>
      </c>
      <c r="K177" s="66">
        <f t="shared" si="122"/>
        <v>15740000</v>
      </c>
      <c r="L177" s="56">
        <f t="shared" si="123"/>
        <v>0</v>
      </c>
      <c r="M177" s="66">
        <f t="shared" si="124"/>
        <v>0</v>
      </c>
      <c r="N177" s="66">
        <f t="shared" si="125"/>
        <v>0</v>
      </c>
      <c r="O177" s="66">
        <f t="shared" si="126"/>
        <v>0</v>
      </c>
      <c r="P177" s="39">
        <v>15740000</v>
      </c>
      <c r="Q177" s="53">
        <v>44208</v>
      </c>
      <c r="R177" s="1"/>
      <c r="S177" s="1"/>
      <c r="T177" s="53"/>
      <c r="U177" s="1"/>
      <c r="V177" s="1"/>
      <c r="W177" s="53"/>
      <c r="X177" s="1"/>
    </row>
    <row r="178" spans="1:24">
      <c r="A178" s="391"/>
      <c r="B178" s="26">
        <v>41450000</v>
      </c>
      <c r="C178" s="1"/>
      <c r="D178" s="32">
        <v>44194</v>
      </c>
      <c r="E178" s="1">
        <v>30</v>
      </c>
      <c r="F178" s="32">
        <f t="shared" si="120"/>
        <v>44224</v>
      </c>
      <c r="G178" s="54"/>
      <c r="H178" s="54"/>
      <c r="I178" s="54"/>
      <c r="J178" s="120">
        <f t="shared" si="121"/>
        <v>-28</v>
      </c>
      <c r="K178" s="66">
        <f t="shared" si="122"/>
        <v>41450000</v>
      </c>
      <c r="L178" s="56">
        <f t="shared" si="123"/>
        <v>0</v>
      </c>
      <c r="M178" s="66">
        <f t="shared" si="124"/>
        <v>0</v>
      </c>
      <c r="N178" s="66">
        <f t="shared" si="125"/>
        <v>0</v>
      </c>
      <c r="O178" s="66">
        <f t="shared" si="126"/>
        <v>0</v>
      </c>
      <c r="P178" s="39">
        <v>41450000</v>
      </c>
      <c r="Q178" s="53">
        <v>44204</v>
      </c>
      <c r="R178" s="1"/>
      <c r="S178" s="1"/>
      <c r="T178" s="53"/>
      <c r="U178" s="1"/>
      <c r="V178" s="1"/>
      <c r="W178" s="53"/>
      <c r="X178" s="1"/>
    </row>
    <row r="179" spans="1:24">
      <c r="A179" s="391" t="s">
        <v>28</v>
      </c>
      <c r="B179" s="25">
        <v>21682000</v>
      </c>
      <c r="C179" s="1"/>
      <c r="D179" s="32"/>
      <c r="E179" s="1"/>
      <c r="F179" s="32"/>
      <c r="G179" s="54">
        <f>B179</f>
        <v>21682000</v>
      </c>
      <c r="H179" s="54"/>
      <c r="I179" s="54"/>
      <c r="J179" s="119"/>
      <c r="K179" s="66"/>
      <c r="L179" s="56"/>
      <c r="M179" s="66"/>
      <c r="N179" s="66"/>
      <c r="O179" s="66"/>
      <c r="P179" s="39"/>
      <c r="Q179" s="53"/>
      <c r="R179" s="1"/>
      <c r="S179" s="1"/>
      <c r="T179" s="53"/>
      <c r="U179" s="1"/>
      <c r="V179" s="1"/>
      <c r="W179" s="53"/>
      <c r="X179" s="1"/>
    </row>
    <row r="180" spans="1:24">
      <c r="A180" s="391"/>
      <c r="B180" s="26">
        <v>3094000</v>
      </c>
      <c r="C180" s="1"/>
      <c r="D180" s="32">
        <v>44152</v>
      </c>
      <c r="E180" s="1">
        <v>30</v>
      </c>
      <c r="F180" s="32">
        <f t="shared" ref="F180:F182" si="127">D180+E180</f>
        <v>44182</v>
      </c>
      <c r="G180" s="54"/>
      <c r="H180" s="54"/>
      <c r="I180" s="54"/>
      <c r="J180" s="120">
        <f t="shared" ref="J180:J182" si="128">$A$3-F180</f>
        <v>14</v>
      </c>
      <c r="K180" s="66">
        <f t="shared" ref="K180:K182" si="129">IF(J180&lt;=0,B180,0)</f>
        <v>0</v>
      </c>
      <c r="L180" s="56">
        <f t="shared" ref="L180:L182" si="130">IF(AND(J180&gt;=1,J180&lt;=30),B180,0)</f>
        <v>3094000</v>
      </c>
      <c r="M180" s="66">
        <f t="shared" ref="M180:M182" si="131">IF(AND(J180&gt;=31,J180&lt;=60),B180,0)</f>
        <v>0</v>
      </c>
      <c r="N180" s="66">
        <f t="shared" ref="N180:N182" si="132">IF(AND(J180&gt;=61,J180&lt;=90),B180,0)</f>
        <v>0</v>
      </c>
      <c r="O180" s="66">
        <f t="shared" ref="O180:O182" si="133">IF(J180&gt;90,B180,0)</f>
        <v>0</v>
      </c>
      <c r="P180" s="39">
        <v>3094000</v>
      </c>
      <c r="Q180" s="53">
        <v>44202</v>
      </c>
      <c r="R180" s="1"/>
      <c r="S180" s="1"/>
      <c r="T180" s="53"/>
      <c r="U180" s="1"/>
      <c r="V180" s="1"/>
      <c r="W180" s="53"/>
      <c r="X180" s="1"/>
    </row>
    <row r="181" spans="1:24">
      <c r="A181" s="391"/>
      <c r="B181" s="26">
        <v>6194000</v>
      </c>
      <c r="C181" s="1"/>
      <c r="D181" s="32">
        <v>44174</v>
      </c>
      <c r="E181" s="1">
        <v>30</v>
      </c>
      <c r="F181" s="32">
        <f t="shared" si="127"/>
        <v>44204</v>
      </c>
      <c r="G181" s="54"/>
      <c r="H181" s="54"/>
      <c r="I181" s="54"/>
      <c r="J181" s="120">
        <f t="shared" si="128"/>
        <v>-8</v>
      </c>
      <c r="K181" s="66">
        <f t="shared" si="129"/>
        <v>6194000</v>
      </c>
      <c r="L181" s="56">
        <f t="shared" si="130"/>
        <v>0</v>
      </c>
      <c r="M181" s="66">
        <f t="shared" si="131"/>
        <v>0</v>
      </c>
      <c r="N181" s="66">
        <f t="shared" si="132"/>
        <v>0</v>
      </c>
      <c r="O181" s="66">
        <f t="shared" si="133"/>
        <v>0</v>
      </c>
      <c r="P181" s="39">
        <v>6194000</v>
      </c>
      <c r="Q181" s="53">
        <v>44216</v>
      </c>
      <c r="R181" s="1"/>
      <c r="S181" s="1"/>
      <c r="T181" s="53"/>
      <c r="U181" s="1"/>
      <c r="V181" s="1"/>
      <c r="W181" s="53"/>
      <c r="X181" s="1"/>
    </row>
    <row r="182" spans="1:24">
      <c r="A182" s="391"/>
      <c r="B182" s="26">
        <v>12394000</v>
      </c>
      <c r="C182" s="1"/>
      <c r="D182" s="32">
        <v>44180</v>
      </c>
      <c r="E182" s="1">
        <v>30</v>
      </c>
      <c r="F182" s="32">
        <f t="shared" si="127"/>
        <v>44210</v>
      </c>
      <c r="G182" s="54"/>
      <c r="H182" s="54"/>
      <c r="I182" s="54"/>
      <c r="J182" s="120">
        <f t="shared" si="128"/>
        <v>-14</v>
      </c>
      <c r="K182" s="66">
        <f t="shared" si="129"/>
        <v>12394000</v>
      </c>
      <c r="L182" s="56">
        <f t="shared" si="130"/>
        <v>0</v>
      </c>
      <c r="M182" s="66">
        <f t="shared" si="131"/>
        <v>0</v>
      </c>
      <c r="N182" s="66">
        <f t="shared" si="132"/>
        <v>0</v>
      </c>
      <c r="O182" s="66">
        <f t="shared" si="133"/>
        <v>0</v>
      </c>
      <c r="P182" s="39">
        <v>12394000</v>
      </c>
      <c r="Q182" s="53">
        <v>44294</v>
      </c>
      <c r="R182" s="1"/>
      <c r="S182" s="1"/>
      <c r="T182" s="53"/>
      <c r="U182" s="1"/>
      <c r="V182" s="1"/>
      <c r="W182" s="53"/>
      <c r="X182" s="1"/>
    </row>
    <row r="183" spans="1:24">
      <c r="A183" s="391" t="s">
        <v>29</v>
      </c>
      <c r="B183" s="25">
        <v>55859090</v>
      </c>
      <c r="C183" s="1"/>
      <c r="D183" s="32"/>
      <c r="E183" s="1"/>
      <c r="F183" s="32"/>
      <c r="G183" s="54">
        <f>B183</f>
        <v>55859090</v>
      </c>
      <c r="H183" s="54"/>
      <c r="I183" s="54"/>
      <c r="J183" s="119"/>
      <c r="K183" s="66"/>
      <c r="L183" s="56"/>
      <c r="M183" s="66"/>
      <c r="N183" s="66"/>
      <c r="O183" s="66"/>
      <c r="P183" s="39"/>
      <c r="Q183" s="53"/>
      <c r="R183" s="1"/>
      <c r="S183" s="1"/>
      <c r="T183" s="53"/>
      <c r="U183" s="1"/>
      <c r="V183" s="1"/>
      <c r="W183" s="53"/>
      <c r="X183" s="1"/>
    </row>
    <row r="184" spans="1:24">
      <c r="A184" s="391"/>
      <c r="B184" s="89">
        <f>759090</f>
        <v>759090</v>
      </c>
      <c r="C184" s="1"/>
      <c r="D184" s="32">
        <v>44194</v>
      </c>
      <c r="E184" s="1">
        <v>30</v>
      </c>
      <c r="F184" s="32">
        <f t="shared" ref="F184:F191" si="134">D184+E184</f>
        <v>44224</v>
      </c>
      <c r="G184" s="54"/>
      <c r="H184" s="54"/>
      <c r="I184" s="54"/>
      <c r="J184" s="120">
        <f t="shared" ref="J184:J191" si="135">$A$3-F184</f>
        <v>-28</v>
      </c>
      <c r="K184" s="243">
        <f t="shared" ref="K184:K191" si="136">IF(J184&lt;=0,B184,0)</f>
        <v>759090</v>
      </c>
      <c r="L184" s="56">
        <f t="shared" ref="L184:L191" si="137">IF(AND(J184&gt;=1,J184&lt;=30),B184,0)</f>
        <v>0</v>
      </c>
      <c r="M184" s="243">
        <f t="shared" ref="M184:M191" si="138">IF(AND(J184&gt;=31,J184&lt;=60),B184,0)</f>
        <v>0</v>
      </c>
      <c r="N184" s="243">
        <f t="shared" ref="N184:N191" si="139">IF(AND(J184&gt;=61,J184&lt;=90),B184,0)</f>
        <v>0</v>
      </c>
      <c r="O184" s="243">
        <f t="shared" ref="O184:O191" si="140">IF(J184&gt;90,B184,0)</f>
        <v>0</v>
      </c>
      <c r="P184" s="39"/>
      <c r="Q184" s="53"/>
      <c r="R184" s="1"/>
      <c r="S184" s="1"/>
      <c r="T184" s="53"/>
      <c r="U184" s="1"/>
      <c r="V184" s="1"/>
      <c r="W184" s="53"/>
      <c r="X184" s="1"/>
    </row>
    <row r="185" spans="1:24">
      <c r="A185" s="391"/>
      <c r="B185" s="26">
        <v>8350000</v>
      </c>
      <c r="C185" s="1"/>
      <c r="D185" s="32">
        <v>44013</v>
      </c>
      <c r="E185" s="1">
        <v>30</v>
      </c>
      <c r="F185" s="32">
        <f t="shared" si="134"/>
        <v>44043</v>
      </c>
      <c r="G185" s="54"/>
      <c r="H185" s="54"/>
      <c r="I185" s="54"/>
      <c r="J185" s="120">
        <f t="shared" si="135"/>
        <v>153</v>
      </c>
      <c r="K185" s="66">
        <f t="shared" si="136"/>
        <v>0</v>
      </c>
      <c r="L185" s="56">
        <f t="shared" si="137"/>
        <v>0</v>
      </c>
      <c r="M185" s="66">
        <f t="shared" si="138"/>
        <v>0</v>
      </c>
      <c r="N185" s="66">
        <f t="shared" si="139"/>
        <v>0</v>
      </c>
      <c r="O185" s="66">
        <f t="shared" si="140"/>
        <v>8350000</v>
      </c>
      <c r="P185" s="39">
        <v>8350000</v>
      </c>
      <c r="Q185" s="53">
        <v>44202</v>
      </c>
      <c r="R185" s="1"/>
      <c r="S185" s="1"/>
      <c r="T185" s="53"/>
      <c r="U185" s="1"/>
      <c r="V185" s="1"/>
      <c r="W185" s="53"/>
      <c r="X185" s="1"/>
    </row>
    <row r="186" spans="1:24">
      <c r="A186" s="391"/>
      <c r="B186" s="26">
        <v>8350000</v>
      </c>
      <c r="C186" s="1"/>
      <c r="D186" s="32">
        <v>44053</v>
      </c>
      <c r="E186" s="1">
        <v>30</v>
      </c>
      <c r="F186" s="32">
        <f t="shared" si="134"/>
        <v>44083</v>
      </c>
      <c r="G186" s="54"/>
      <c r="H186" s="54"/>
      <c r="I186" s="54"/>
      <c r="J186" s="120">
        <f t="shared" si="135"/>
        <v>113</v>
      </c>
      <c r="K186" s="66">
        <f t="shared" si="136"/>
        <v>0</v>
      </c>
      <c r="L186" s="56">
        <f t="shared" si="137"/>
        <v>0</v>
      </c>
      <c r="M186" s="66">
        <f t="shared" si="138"/>
        <v>0</v>
      </c>
      <c r="N186" s="66">
        <f t="shared" si="139"/>
        <v>0</v>
      </c>
      <c r="O186" s="66">
        <f t="shared" si="140"/>
        <v>8350000</v>
      </c>
      <c r="P186" s="39">
        <v>8350000</v>
      </c>
      <c r="Q186" s="53">
        <v>44204</v>
      </c>
      <c r="R186" s="1"/>
      <c r="S186" s="1"/>
      <c r="T186" s="53"/>
      <c r="U186" s="1"/>
      <c r="V186" s="1"/>
      <c r="W186" s="53"/>
      <c r="X186" s="1"/>
    </row>
    <row r="187" spans="1:24">
      <c r="A187" s="391"/>
      <c r="B187" s="26">
        <v>8350000</v>
      </c>
      <c r="C187" s="1"/>
      <c r="D187" s="32">
        <v>44111</v>
      </c>
      <c r="E187" s="1">
        <v>30</v>
      </c>
      <c r="F187" s="32">
        <f t="shared" si="134"/>
        <v>44141</v>
      </c>
      <c r="G187" s="54"/>
      <c r="H187" s="54"/>
      <c r="I187" s="54"/>
      <c r="J187" s="120">
        <f t="shared" si="135"/>
        <v>55</v>
      </c>
      <c r="K187" s="66">
        <f t="shared" si="136"/>
        <v>0</v>
      </c>
      <c r="L187" s="56">
        <f t="shared" si="137"/>
        <v>0</v>
      </c>
      <c r="M187" s="66">
        <f t="shared" si="138"/>
        <v>8350000</v>
      </c>
      <c r="N187" s="66">
        <f t="shared" si="139"/>
        <v>0</v>
      </c>
      <c r="O187" s="66">
        <f t="shared" si="140"/>
        <v>0</v>
      </c>
      <c r="P187" s="39">
        <v>8350000</v>
      </c>
      <c r="Q187" s="53">
        <v>44210</v>
      </c>
      <c r="R187" s="1"/>
      <c r="S187" s="1"/>
      <c r="T187" s="53"/>
      <c r="U187" s="1"/>
      <c r="V187" s="1"/>
      <c r="W187" s="53"/>
      <c r="X187" s="1"/>
    </row>
    <row r="188" spans="1:24">
      <c r="A188" s="391"/>
      <c r="B188" s="26">
        <v>8350000</v>
      </c>
      <c r="C188" s="1"/>
      <c r="D188" s="32">
        <v>44136</v>
      </c>
      <c r="E188" s="1">
        <v>30</v>
      </c>
      <c r="F188" s="32">
        <f t="shared" si="134"/>
        <v>44166</v>
      </c>
      <c r="G188" s="54"/>
      <c r="H188" s="54"/>
      <c r="I188" s="54"/>
      <c r="J188" s="120">
        <f t="shared" si="135"/>
        <v>30</v>
      </c>
      <c r="K188" s="66">
        <f t="shared" si="136"/>
        <v>0</v>
      </c>
      <c r="L188" s="56">
        <f t="shared" si="137"/>
        <v>8350000</v>
      </c>
      <c r="M188" s="66">
        <f t="shared" si="138"/>
        <v>0</v>
      </c>
      <c r="N188" s="66">
        <f t="shared" si="139"/>
        <v>0</v>
      </c>
      <c r="O188" s="66">
        <f t="shared" si="140"/>
        <v>0</v>
      </c>
      <c r="P188" s="39">
        <v>8350000</v>
      </c>
      <c r="Q188" s="53">
        <v>44221</v>
      </c>
      <c r="R188" s="1"/>
      <c r="S188" s="1"/>
      <c r="T188" s="53"/>
      <c r="U188" s="1"/>
      <c r="V188" s="1"/>
      <c r="W188" s="53"/>
      <c r="X188" s="1"/>
    </row>
    <row r="189" spans="1:24">
      <c r="A189" s="391"/>
      <c r="B189" s="26">
        <v>5000000</v>
      </c>
      <c r="C189" s="1"/>
      <c r="D189" s="32">
        <v>44166</v>
      </c>
      <c r="E189" s="1">
        <v>30</v>
      </c>
      <c r="F189" s="32">
        <f t="shared" si="134"/>
        <v>44196</v>
      </c>
      <c r="G189" s="54"/>
      <c r="H189" s="54"/>
      <c r="I189" s="54"/>
      <c r="J189" s="120">
        <f t="shared" si="135"/>
        <v>0</v>
      </c>
      <c r="K189" s="66">
        <f t="shared" si="136"/>
        <v>5000000</v>
      </c>
      <c r="L189" s="56">
        <f t="shared" si="137"/>
        <v>0</v>
      </c>
      <c r="M189" s="66">
        <f t="shared" si="138"/>
        <v>0</v>
      </c>
      <c r="N189" s="66">
        <f t="shared" si="139"/>
        <v>0</v>
      </c>
      <c r="O189" s="66">
        <f t="shared" si="140"/>
        <v>0</v>
      </c>
      <c r="P189" s="39">
        <v>5000000</v>
      </c>
      <c r="Q189" s="53">
        <v>44238</v>
      </c>
      <c r="R189" s="1"/>
      <c r="S189" s="1"/>
      <c r="T189" s="53"/>
      <c r="U189" s="1"/>
      <c r="V189" s="1"/>
      <c r="W189" s="53"/>
      <c r="X189" s="1"/>
    </row>
    <row r="190" spans="1:24">
      <c r="A190" s="391"/>
      <c r="B190" s="26">
        <v>8350000</v>
      </c>
      <c r="C190" s="1"/>
      <c r="D190" s="32">
        <v>44194</v>
      </c>
      <c r="E190" s="1">
        <v>30</v>
      </c>
      <c r="F190" s="32">
        <f t="shared" si="134"/>
        <v>44224</v>
      </c>
      <c r="G190" s="54"/>
      <c r="H190" s="54"/>
      <c r="I190" s="54"/>
      <c r="J190" s="120">
        <f t="shared" si="135"/>
        <v>-28</v>
      </c>
      <c r="K190" s="66">
        <f t="shared" si="136"/>
        <v>8350000</v>
      </c>
      <c r="L190" s="56">
        <f t="shared" si="137"/>
        <v>0</v>
      </c>
      <c r="M190" s="66">
        <f t="shared" si="138"/>
        <v>0</v>
      </c>
      <c r="N190" s="66">
        <f t="shared" si="139"/>
        <v>0</v>
      </c>
      <c r="O190" s="66">
        <f t="shared" si="140"/>
        <v>0</v>
      </c>
      <c r="P190" s="39">
        <v>8350000</v>
      </c>
      <c r="Q190" s="53">
        <v>44242</v>
      </c>
      <c r="R190" s="1"/>
      <c r="S190" s="1"/>
      <c r="T190" s="53"/>
      <c r="U190" s="1"/>
      <c r="V190" s="1"/>
      <c r="W190" s="53"/>
      <c r="X190" s="1"/>
    </row>
    <row r="191" spans="1:24">
      <c r="A191" s="391"/>
      <c r="B191" s="26">
        <v>8350000</v>
      </c>
      <c r="C191" s="1"/>
      <c r="D191" s="32">
        <v>44195</v>
      </c>
      <c r="E191" s="1">
        <v>30</v>
      </c>
      <c r="F191" s="32">
        <f t="shared" si="134"/>
        <v>44225</v>
      </c>
      <c r="G191" s="54"/>
      <c r="H191" s="54"/>
      <c r="I191" s="54"/>
      <c r="J191" s="120">
        <f t="shared" si="135"/>
        <v>-29</v>
      </c>
      <c r="K191" s="66">
        <f t="shared" si="136"/>
        <v>8350000</v>
      </c>
      <c r="L191" s="56">
        <f t="shared" si="137"/>
        <v>0</v>
      </c>
      <c r="M191" s="66">
        <f t="shared" si="138"/>
        <v>0</v>
      </c>
      <c r="N191" s="66">
        <f t="shared" si="139"/>
        <v>0</v>
      </c>
      <c r="O191" s="66">
        <f t="shared" si="140"/>
        <v>0</v>
      </c>
      <c r="P191" s="39">
        <v>8350000</v>
      </c>
      <c r="Q191" s="53">
        <v>44246</v>
      </c>
      <c r="R191" s="1"/>
      <c r="S191" s="1"/>
      <c r="T191" s="53"/>
      <c r="U191" s="1"/>
      <c r="V191" s="1"/>
      <c r="W191" s="53"/>
      <c r="X191" s="1"/>
    </row>
    <row r="192" spans="1:24">
      <c r="A192" s="391" t="s">
        <v>30</v>
      </c>
      <c r="B192" s="25">
        <v>121285440</v>
      </c>
      <c r="C192" s="1"/>
      <c r="D192" s="32"/>
      <c r="E192" s="1"/>
      <c r="F192" s="32"/>
      <c r="G192" s="54">
        <f>B192</f>
        <v>121285440</v>
      </c>
      <c r="H192" s="54"/>
      <c r="I192" s="54"/>
      <c r="J192" s="119"/>
      <c r="K192" s="66"/>
      <c r="L192" s="56"/>
      <c r="M192" s="66"/>
      <c r="N192" s="66"/>
      <c r="O192" s="66"/>
      <c r="P192" s="39"/>
      <c r="Q192" s="53"/>
      <c r="R192" s="1"/>
      <c r="S192" s="1"/>
      <c r="T192" s="53"/>
      <c r="U192" s="1"/>
      <c r="V192" s="1"/>
      <c r="W192" s="53"/>
      <c r="X192" s="1"/>
    </row>
    <row r="193" spans="1:24">
      <c r="A193" s="391"/>
      <c r="B193" s="26">
        <v>46566720</v>
      </c>
      <c r="C193" s="1"/>
      <c r="D193" s="32">
        <v>43917</v>
      </c>
      <c r="E193" s="1">
        <v>30</v>
      </c>
      <c r="F193" s="32">
        <f t="shared" ref="F193:F194" si="141">D193+E193</f>
        <v>43947</v>
      </c>
      <c r="G193" s="54"/>
      <c r="H193" s="54"/>
      <c r="I193" s="54"/>
      <c r="J193" s="120">
        <f t="shared" ref="J193:J194" si="142">$A$3-F193</f>
        <v>249</v>
      </c>
      <c r="K193" s="66">
        <f t="shared" ref="K193:K194" si="143">IF(J193&lt;=0,B193,0)</f>
        <v>0</v>
      </c>
      <c r="L193" s="56">
        <f t="shared" ref="L193:L194" si="144">IF(AND(J193&gt;=1,J193&lt;=30),B193,0)</f>
        <v>0</v>
      </c>
      <c r="M193" s="66">
        <f t="shared" ref="M193:M194" si="145">IF(AND(J193&gt;=31,J193&lt;=60),B193,0)</f>
        <v>0</v>
      </c>
      <c r="N193" s="66">
        <f t="shared" ref="N193:N194" si="146">IF(AND(J193&gt;=61,J193&lt;=90),B193,0)</f>
        <v>0</v>
      </c>
      <c r="O193" s="66">
        <f t="shared" ref="O193:O194" si="147">IF(J193&gt;90,B193,0)</f>
        <v>46566720</v>
      </c>
      <c r="P193" s="39">
        <v>20696320</v>
      </c>
      <c r="Q193" s="53">
        <v>44256</v>
      </c>
      <c r="R193" s="1"/>
      <c r="S193" s="39">
        <v>25870400</v>
      </c>
      <c r="T193" s="53">
        <v>44295</v>
      </c>
      <c r="U193" s="1"/>
      <c r="V193" s="1"/>
      <c r="W193" s="53"/>
      <c r="X193" s="1"/>
    </row>
    <row r="194" spans="1:24">
      <c r="A194" s="391"/>
      <c r="B194" s="26">
        <v>74718720</v>
      </c>
      <c r="C194" s="1"/>
      <c r="D194" s="32">
        <v>43919</v>
      </c>
      <c r="E194" s="1">
        <v>30</v>
      </c>
      <c r="F194" s="32">
        <f t="shared" si="141"/>
        <v>43949</v>
      </c>
      <c r="G194" s="54"/>
      <c r="H194" s="54"/>
      <c r="I194" s="54"/>
      <c r="J194" s="120">
        <f t="shared" si="142"/>
        <v>247</v>
      </c>
      <c r="K194" s="66">
        <f t="shared" si="143"/>
        <v>0</v>
      </c>
      <c r="L194" s="56">
        <f t="shared" si="144"/>
        <v>0</v>
      </c>
      <c r="M194" s="66">
        <f t="shared" si="145"/>
        <v>0</v>
      </c>
      <c r="N194" s="66">
        <f t="shared" si="146"/>
        <v>0</v>
      </c>
      <c r="O194" s="66">
        <f t="shared" si="147"/>
        <v>74718720</v>
      </c>
      <c r="P194" s="39">
        <v>33208320</v>
      </c>
      <c r="Q194" s="53">
        <v>44256</v>
      </c>
      <c r="R194" s="1"/>
      <c r="S194" s="39">
        <v>41510400</v>
      </c>
      <c r="T194" s="53">
        <v>44295</v>
      </c>
      <c r="U194" s="1"/>
      <c r="V194" s="1"/>
      <c r="W194" s="53"/>
      <c r="X194" s="1"/>
    </row>
    <row r="195" spans="1:24">
      <c r="A195" s="391" t="s">
        <v>31</v>
      </c>
      <c r="B195" s="25">
        <v>51191692</v>
      </c>
      <c r="C195" s="1"/>
      <c r="D195" s="32"/>
      <c r="E195" s="1"/>
      <c r="F195" s="32"/>
      <c r="G195" s="54">
        <f>B195</f>
        <v>51191692</v>
      </c>
      <c r="H195" s="54"/>
      <c r="I195" s="54"/>
      <c r="J195" s="119"/>
      <c r="K195" s="66"/>
      <c r="L195" s="56"/>
      <c r="M195" s="66"/>
      <c r="N195" s="66"/>
      <c r="O195" s="66"/>
      <c r="P195" s="39"/>
      <c r="Q195" s="53"/>
      <c r="R195" s="1"/>
      <c r="S195" s="1"/>
      <c r="T195" s="53"/>
      <c r="U195" s="1"/>
      <c r="V195" s="1"/>
      <c r="W195" s="53"/>
      <c r="X195" s="1"/>
    </row>
    <row r="196" spans="1:24">
      <c r="A196" s="391"/>
      <c r="B196" s="27">
        <v>1559678</v>
      </c>
      <c r="C196" s="1"/>
      <c r="D196" s="57">
        <v>44111</v>
      </c>
      <c r="E196" s="1">
        <v>30</v>
      </c>
      <c r="F196" s="32">
        <f t="shared" ref="F196" si="148">D196+E196</f>
        <v>44141</v>
      </c>
      <c r="G196" s="54"/>
      <c r="H196" s="54"/>
      <c r="I196" s="54"/>
      <c r="J196" s="120">
        <f t="shared" ref="J196:J198" si="149">$A$3-F196</f>
        <v>55</v>
      </c>
      <c r="K196" s="66">
        <f t="shared" ref="K196:K198" si="150">IF(J196&lt;=0,B196,0)</f>
        <v>0</v>
      </c>
      <c r="L196" s="56">
        <f t="shared" ref="L196:L198" si="151">IF(AND(J196&gt;=1,J196&lt;=30),B196,0)</f>
        <v>0</v>
      </c>
      <c r="M196" s="66">
        <f t="shared" ref="M196:M198" si="152">IF(AND(J196&gt;=31,J196&lt;=60),B196,0)</f>
        <v>1559678</v>
      </c>
      <c r="N196" s="66">
        <f t="shared" ref="N196:N198" si="153">IF(AND(J196&gt;=61,J196&lt;=90),B196,0)</f>
        <v>0</v>
      </c>
      <c r="O196" s="66">
        <f t="shared" ref="O196:O198" si="154">IF(J196&gt;90,B196,0)</f>
        <v>0</v>
      </c>
      <c r="P196" s="39"/>
      <c r="Q196" s="53"/>
      <c r="R196" s="1"/>
      <c r="S196" s="1"/>
      <c r="T196" s="53"/>
      <c r="U196" s="1"/>
      <c r="V196" s="1"/>
      <c r="W196" s="53"/>
      <c r="X196" s="1"/>
    </row>
    <row r="197" spans="1:24">
      <c r="A197" s="391"/>
      <c r="B197" s="26">
        <v>44520010</v>
      </c>
      <c r="C197" s="1"/>
      <c r="D197" s="57">
        <v>44111</v>
      </c>
      <c r="E197" s="1">
        <v>30</v>
      </c>
      <c r="F197" s="32">
        <f t="shared" ref="F197:F198" si="155">D197+E197</f>
        <v>44141</v>
      </c>
      <c r="G197" s="54"/>
      <c r="H197" s="54"/>
      <c r="I197" s="54"/>
      <c r="J197" s="120">
        <f t="shared" si="149"/>
        <v>55</v>
      </c>
      <c r="K197" s="66">
        <f t="shared" si="150"/>
        <v>0</v>
      </c>
      <c r="L197" s="56">
        <f t="shared" si="151"/>
        <v>0</v>
      </c>
      <c r="M197" s="66">
        <f t="shared" si="152"/>
        <v>44520010</v>
      </c>
      <c r="N197" s="66">
        <f t="shared" si="153"/>
        <v>0</v>
      </c>
      <c r="O197" s="66">
        <f t="shared" si="154"/>
        <v>0</v>
      </c>
      <c r="P197" s="39">
        <v>13224011</v>
      </c>
      <c r="Q197" s="53">
        <v>44204</v>
      </c>
      <c r="R197" s="1"/>
      <c r="S197" s="39">
        <v>29680006</v>
      </c>
      <c r="T197" s="53">
        <v>44202</v>
      </c>
      <c r="U197" s="1"/>
      <c r="V197" s="58">
        <v>1615993</v>
      </c>
      <c r="W197" s="53">
        <v>44260</v>
      </c>
      <c r="X197" s="1"/>
    </row>
    <row r="198" spans="1:24">
      <c r="A198" s="391"/>
      <c r="B198" s="26">
        <v>5112004</v>
      </c>
      <c r="C198" s="1"/>
      <c r="D198" s="32">
        <v>44121</v>
      </c>
      <c r="E198" s="1">
        <v>30</v>
      </c>
      <c r="F198" s="32">
        <f t="shared" si="155"/>
        <v>44151</v>
      </c>
      <c r="G198" s="54"/>
      <c r="H198" s="54"/>
      <c r="I198" s="54"/>
      <c r="J198" s="120">
        <f t="shared" si="149"/>
        <v>45</v>
      </c>
      <c r="K198" s="66">
        <f t="shared" si="150"/>
        <v>0</v>
      </c>
      <c r="L198" s="56">
        <f t="shared" si="151"/>
        <v>0</v>
      </c>
      <c r="M198" s="66">
        <f t="shared" si="152"/>
        <v>5112004</v>
      </c>
      <c r="N198" s="66">
        <f t="shared" si="153"/>
        <v>0</v>
      </c>
      <c r="O198" s="66">
        <f t="shared" si="154"/>
        <v>0</v>
      </c>
      <c r="P198" s="39">
        <v>2750402</v>
      </c>
      <c r="Q198" s="53">
        <v>44202</v>
      </c>
      <c r="R198" s="1"/>
      <c r="S198" s="27">
        <f>B198-P198</f>
        <v>2361602</v>
      </c>
      <c r="T198" s="53">
        <v>44260</v>
      </c>
      <c r="U198" s="1"/>
      <c r="V198" s="1"/>
      <c r="W198" s="53"/>
      <c r="X198" s="1"/>
    </row>
    <row r="199" spans="1:24">
      <c r="A199" s="391" t="s">
        <v>32</v>
      </c>
      <c r="B199" s="25">
        <v>61897500</v>
      </c>
      <c r="C199" s="1"/>
      <c r="D199" s="32"/>
      <c r="E199" s="1"/>
      <c r="F199" s="32"/>
      <c r="G199" s="54">
        <f>B199</f>
        <v>61897500</v>
      </c>
      <c r="H199" s="54"/>
      <c r="I199" s="54"/>
      <c r="J199" s="119"/>
      <c r="K199" s="66"/>
      <c r="L199" s="56"/>
      <c r="M199" s="66"/>
      <c r="N199" s="66"/>
      <c r="O199" s="66"/>
      <c r="P199" s="39"/>
      <c r="Q199" s="53"/>
      <c r="R199" s="1"/>
      <c r="S199" s="1"/>
      <c r="T199" s="53"/>
      <c r="U199" s="1"/>
      <c r="V199" s="1"/>
      <c r="W199" s="53"/>
      <c r="X199" s="1"/>
    </row>
    <row r="200" spans="1:24">
      <c r="A200" s="391"/>
      <c r="B200" s="116">
        <v>1162500</v>
      </c>
      <c r="C200" s="1"/>
      <c r="D200" s="114">
        <v>44131</v>
      </c>
      <c r="E200" s="1">
        <v>30</v>
      </c>
      <c r="F200" s="32">
        <f t="shared" ref="F200:F201" si="156">D200+E200</f>
        <v>44161</v>
      </c>
      <c r="G200" s="54"/>
      <c r="H200" s="54"/>
      <c r="I200" s="54"/>
      <c r="J200" s="120">
        <f t="shared" ref="J200:J230" si="157">$A$3-F200</f>
        <v>35</v>
      </c>
      <c r="K200" s="66">
        <f t="shared" ref="K200:K230" si="158">IF(J200&lt;=0,B200,0)</f>
        <v>0</v>
      </c>
      <c r="L200" s="56">
        <f t="shared" ref="L200:L230" si="159">IF(AND(J200&gt;=1,J200&lt;=30),B200,0)</f>
        <v>0</v>
      </c>
      <c r="M200" s="66">
        <f t="shared" ref="M200:M230" si="160">IF(AND(J200&gt;=31,J200&lt;=60),B200,0)</f>
        <v>1162500</v>
      </c>
      <c r="N200" s="66">
        <f t="shared" ref="N200:N230" si="161">IF(AND(J200&gt;=61,J200&lt;=90),B200,0)</f>
        <v>0</v>
      </c>
      <c r="O200" s="66">
        <f t="shared" ref="O200:O230" si="162">IF(J200&gt;90,B200,0)</f>
        <v>0</v>
      </c>
      <c r="P200" s="39"/>
      <c r="Q200" s="53"/>
      <c r="R200" s="1"/>
      <c r="S200" s="1"/>
      <c r="T200" s="53"/>
      <c r="U200" s="1"/>
      <c r="V200" s="1"/>
      <c r="W200" s="53"/>
      <c r="X200" s="1"/>
    </row>
    <row r="201" spans="1:24">
      <c r="A201" s="391"/>
      <c r="B201" s="116">
        <v>900000</v>
      </c>
      <c r="C201" s="1"/>
      <c r="D201" s="114">
        <v>44135</v>
      </c>
      <c r="E201" s="1">
        <v>30</v>
      </c>
      <c r="F201" s="32">
        <f t="shared" si="156"/>
        <v>44165</v>
      </c>
      <c r="G201" s="54"/>
      <c r="H201" s="54"/>
      <c r="I201" s="54"/>
      <c r="J201" s="120">
        <f t="shared" si="157"/>
        <v>31</v>
      </c>
      <c r="K201" s="66">
        <f t="shared" si="158"/>
        <v>0</v>
      </c>
      <c r="L201" s="56">
        <f t="shared" si="159"/>
        <v>0</v>
      </c>
      <c r="M201" s="66">
        <f t="shared" si="160"/>
        <v>900000</v>
      </c>
      <c r="N201" s="66">
        <f t="shared" si="161"/>
        <v>0</v>
      </c>
      <c r="O201" s="66">
        <f t="shared" si="162"/>
        <v>0</v>
      </c>
      <c r="P201" s="39"/>
      <c r="Q201" s="53"/>
      <c r="R201" s="1"/>
      <c r="S201" s="1"/>
      <c r="T201" s="53"/>
      <c r="U201" s="1"/>
      <c r="V201" s="1"/>
      <c r="W201" s="53"/>
      <c r="X201" s="1"/>
    </row>
    <row r="202" spans="1:24">
      <c r="A202" s="391"/>
      <c r="B202" s="115">
        <v>115000</v>
      </c>
      <c r="C202" s="1"/>
      <c r="D202" s="114">
        <v>44137</v>
      </c>
      <c r="E202" s="1">
        <v>30</v>
      </c>
      <c r="F202" s="32">
        <f t="shared" ref="F202:F230" si="163">D202+E202</f>
        <v>44167</v>
      </c>
      <c r="G202" s="54"/>
      <c r="H202" s="54"/>
      <c r="I202" s="54"/>
      <c r="J202" s="120">
        <f t="shared" si="157"/>
        <v>29</v>
      </c>
      <c r="K202" s="66">
        <f t="shared" si="158"/>
        <v>0</v>
      </c>
      <c r="L202" s="56">
        <f t="shared" si="159"/>
        <v>115000</v>
      </c>
      <c r="M202" s="66">
        <f t="shared" si="160"/>
        <v>0</v>
      </c>
      <c r="N202" s="66">
        <f t="shared" si="161"/>
        <v>0</v>
      </c>
      <c r="O202" s="66">
        <f t="shared" si="162"/>
        <v>0</v>
      </c>
      <c r="P202" s="39">
        <v>1162500</v>
      </c>
      <c r="Q202" s="53">
        <v>44211</v>
      </c>
      <c r="R202" s="1"/>
      <c r="S202" s="27">
        <f>B202-P202</f>
        <v>-1047500</v>
      </c>
      <c r="T202" s="53">
        <v>44242</v>
      </c>
      <c r="U202" s="1"/>
      <c r="V202" s="1"/>
      <c r="W202" s="53"/>
      <c r="X202" s="1"/>
    </row>
    <row r="203" spans="1:24">
      <c r="A203" s="391"/>
      <c r="B203" s="115">
        <v>500000</v>
      </c>
      <c r="C203" s="1"/>
      <c r="D203" s="114">
        <v>44142</v>
      </c>
      <c r="E203" s="1">
        <v>30</v>
      </c>
      <c r="F203" s="32">
        <f t="shared" si="163"/>
        <v>44172</v>
      </c>
      <c r="G203" s="54"/>
      <c r="H203" s="54"/>
      <c r="I203" s="54"/>
      <c r="J203" s="120">
        <f t="shared" si="157"/>
        <v>24</v>
      </c>
      <c r="K203" s="66">
        <f t="shared" si="158"/>
        <v>0</v>
      </c>
      <c r="L203" s="56">
        <f t="shared" si="159"/>
        <v>500000</v>
      </c>
      <c r="M203" s="66">
        <f t="shared" si="160"/>
        <v>0</v>
      </c>
      <c r="N203" s="66">
        <f t="shared" si="161"/>
        <v>0</v>
      </c>
      <c r="O203" s="66">
        <f t="shared" si="162"/>
        <v>0</v>
      </c>
      <c r="P203" s="39">
        <v>4482500</v>
      </c>
      <c r="Q203" s="53">
        <v>44211</v>
      </c>
      <c r="R203" s="1"/>
      <c r="S203" s="1"/>
      <c r="T203" s="53"/>
      <c r="U203" s="1"/>
      <c r="V203" s="1"/>
      <c r="W203" s="53"/>
      <c r="X203" s="1"/>
    </row>
    <row r="204" spans="1:24">
      <c r="A204" s="391"/>
      <c r="B204" s="115">
        <v>4482500</v>
      </c>
      <c r="C204" s="1"/>
      <c r="D204" s="114">
        <v>44151</v>
      </c>
      <c r="E204" s="1">
        <v>30</v>
      </c>
      <c r="F204" s="32">
        <f t="shared" si="163"/>
        <v>44181</v>
      </c>
      <c r="G204" s="54"/>
      <c r="H204" s="54"/>
      <c r="I204" s="54"/>
      <c r="J204" s="120">
        <f t="shared" si="157"/>
        <v>15</v>
      </c>
      <c r="K204" s="66">
        <f t="shared" si="158"/>
        <v>0</v>
      </c>
      <c r="L204" s="56">
        <f t="shared" si="159"/>
        <v>4482500</v>
      </c>
      <c r="M204" s="66">
        <f t="shared" si="160"/>
        <v>0</v>
      </c>
      <c r="N204" s="66">
        <f t="shared" si="161"/>
        <v>0</v>
      </c>
      <c r="O204" s="66">
        <f t="shared" si="162"/>
        <v>0</v>
      </c>
      <c r="P204" s="39">
        <v>4495000</v>
      </c>
      <c r="Q204" s="53">
        <v>44211</v>
      </c>
      <c r="R204" s="1"/>
      <c r="S204" s="1"/>
      <c r="T204" s="53"/>
      <c r="U204" s="1"/>
      <c r="V204" s="1"/>
      <c r="W204" s="53"/>
      <c r="X204" s="1"/>
    </row>
    <row r="205" spans="1:24">
      <c r="A205" s="391"/>
      <c r="B205" s="115">
        <v>4495000</v>
      </c>
      <c r="C205" s="1"/>
      <c r="D205" s="114">
        <v>44152</v>
      </c>
      <c r="E205" s="1">
        <v>30</v>
      </c>
      <c r="F205" s="32">
        <f t="shared" si="163"/>
        <v>44182</v>
      </c>
      <c r="G205" s="54"/>
      <c r="H205" s="54"/>
      <c r="I205" s="54"/>
      <c r="J205" s="120">
        <f t="shared" si="157"/>
        <v>14</v>
      </c>
      <c r="K205" s="66">
        <f t="shared" si="158"/>
        <v>0</v>
      </c>
      <c r="L205" s="56">
        <f t="shared" si="159"/>
        <v>4495000</v>
      </c>
      <c r="M205" s="66">
        <f t="shared" si="160"/>
        <v>0</v>
      </c>
      <c r="N205" s="66">
        <f t="shared" si="161"/>
        <v>0</v>
      </c>
      <c r="O205" s="66">
        <f t="shared" si="162"/>
        <v>0</v>
      </c>
      <c r="P205" s="39">
        <v>3910000</v>
      </c>
      <c r="Q205" s="53">
        <v>44211</v>
      </c>
      <c r="R205" s="1"/>
      <c r="S205" s="1"/>
      <c r="T205" s="53"/>
      <c r="U205" s="1"/>
      <c r="V205" s="1"/>
      <c r="W205" s="53"/>
      <c r="X205" s="1"/>
    </row>
    <row r="206" spans="1:24">
      <c r="A206" s="391"/>
      <c r="B206" s="115">
        <v>3910000</v>
      </c>
      <c r="C206" s="1"/>
      <c r="D206" s="114">
        <v>44162</v>
      </c>
      <c r="E206" s="1">
        <v>30</v>
      </c>
      <c r="F206" s="32">
        <f t="shared" si="163"/>
        <v>44192</v>
      </c>
      <c r="G206" s="54"/>
      <c r="H206" s="54"/>
      <c r="I206" s="54"/>
      <c r="J206" s="120">
        <f t="shared" si="157"/>
        <v>4</v>
      </c>
      <c r="K206" s="66">
        <f t="shared" si="158"/>
        <v>0</v>
      </c>
      <c r="L206" s="56">
        <f t="shared" si="159"/>
        <v>3910000</v>
      </c>
      <c r="M206" s="66">
        <f t="shared" si="160"/>
        <v>0</v>
      </c>
      <c r="N206" s="66">
        <f t="shared" si="161"/>
        <v>0</v>
      </c>
      <c r="O206" s="66">
        <f t="shared" si="162"/>
        <v>0</v>
      </c>
      <c r="P206" s="39">
        <v>790000</v>
      </c>
      <c r="Q206" s="53">
        <v>44211</v>
      </c>
      <c r="R206" s="1"/>
      <c r="S206" s="1"/>
      <c r="T206" s="53"/>
      <c r="U206" s="1"/>
      <c r="V206" s="1"/>
      <c r="W206" s="53"/>
      <c r="X206" s="1"/>
    </row>
    <row r="207" spans="1:24">
      <c r="A207" s="391"/>
      <c r="B207" s="115">
        <v>790000</v>
      </c>
      <c r="C207" s="1"/>
      <c r="D207" s="114">
        <v>44165</v>
      </c>
      <c r="E207" s="1">
        <v>30</v>
      </c>
      <c r="F207" s="32">
        <f t="shared" si="163"/>
        <v>44195</v>
      </c>
      <c r="G207" s="54"/>
      <c r="H207" s="54"/>
      <c r="I207" s="54"/>
      <c r="J207" s="120">
        <f t="shared" si="157"/>
        <v>1</v>
      </c>
      <c r="K207" s="66">
        <f t="shared" si="158"/>
        <v>0</v>
      </c>
      <c r="L207" s="56">
        <f t="shared" si="159"/>
        <v>790000</v>
      </c>
      <c r="M207" s="66">
        <f t="shared" si="160"/>
        <v>0</v>
      </c>
      <c r="N207" s="66">
        <f t="shared" si="161"/>
        <v>0</v>
      </c>
      <c r="O207" s="66">
        <f t="shared" si="162"/>
        <v>0</v>
      </c>
      <c r="P207" s="39">
        <v>3262500</v>
      </c>
      <c r="Q207" s="53">
        <v>44242</v>
      </c>
      <c r="R207" s="1"/>
      <c r="S207" s="1"/>
      <c r="T207" s="53"/>
      <c r="U207" s="1"/>
      <c r="V207" s="1"/>
      <c r="W207" s="53"/>
      <c r="X207" s="1"/>
    </row>
    <row r="208" spans="1:24">
      <c r="A208" s="391"/>
      <c r="B208" s="115">
        <v>3262500</v>
      </c>
      <c r="C208" s="1"/>
      <c r="D208" s="114">
        <v>44168</v>
      </c>
      <c r="E208" s="1">
        <v>30</v>
      </c>
      <c r="F208" s="32">
        <f t="shared" si="163"/>
        <v>44198</v>
      </c>
      <c r="G208" s="54"/>
      <c r="H208" s="54"/>
      <c r="I208" s="54"/>
      <c r="J208" s="120">
        <f t="shared" si="157"/>
        <v>-2</v>
      </c>
      <c r="K208" s="66">
        <f t="shared" si="158"/>
        <v>3262500</v>
      </c>
      <c r="L208" s="56">
        <f t="shared" si="159"/>
        <v>0</v>
      </c>
      <c r="M208" s="66">
        <f t="shared" si="160"/>
        <v>0</v>
      </c>
      <c r="N208" s="66">
        <f t="shared" si="161"/>
        <v>0</v>
      </c>
      <c r="O208" s="66">
        <f t="shared" si="162"/>
        <v>0</v>
      </c>
      <c r="P208" s="39">
        <v>5180000</v>
      </c>
      <c r="Q208" s="53">
        <v>44211</v>
      </c>
      <c r="R208" s="1"/>
      <c r="S208" s="1"/>
      <c r="T208" s="53"/>
      <c r="U208" s="1"/>
      <c r="V208" s="1"/>
      <c r="W208" s="53"/>
      <c r="X208" s="1"/>
    </row>
    <row r="209" spans="1:24">
      <c r="A209" s="391"/>
      <c r="B209" s="115">
        <v>5180000</v>
      </c>
      <c r="C209" s="1"/>
      <c r="D209" s="114">
        <v>44173</v>
      </c>
      <c r="E209" s="1">
        <v>30</v>
      </c>
      <c r="F209" s="32">
        <f t="shared" si="163"/>
        <v>44203</v>
      </c>
      <c r="G209" s="54"/>
      <c r="H209" s="54"/>
      <c r="I209" s="54"/>
      <c r="J209" s="120">
        <f t="shared" si="157"/>
        <v>-7</v>
      </c>
      <c r="K209" s="66">
        <f t="shared" si="158"/>
        <v>5180000</v>
      </c>
      <c r="L209" s="56">
        <f t="shared" si="159"/>
        <v>0</v>
      </c>
      <c r="M209" s="66">
        <f t="shared" si="160"/>
        <v>0</v>
      </c>
      <c r="N209" s="66">
        <f t="shared" si="161"/>
        <v>0</v>
      </c>
      <c r="O209" s="66">
        <f t="shared" si="162"/>
        <v>0</v>
      </c>
      <c r="P209" s="39">
        <v>1160000</v>
      </c>
      <c r="Q209" s="53">
        <v>44242</v>
      </c>
      <c r="R209" s="1"/>
      <c r="S209" s="1"/>
      <c r="T209" s="53"/>
      <c r="U209" s="1"/>
      <c r="V209" s="1"/>
      <c r="W209" s="53"/>
      <c r="X209" s="1"/>
    </row>
    <row r="210" spans="1:24">
      <c r="A210" s="391"/>
      <c r="B210" s="115">
        <v>1160000</v>
      </c>
      <c r="C210" s="1"/>
      <c r="D210" s="114">
        <v>44177</v>
      </c>
      <c r="E210" s="1">
        <v>30</v>
      </c>
      <c r="F210" s="32">
        <f t="shared" si="163"/>
        <v>44207</v>
      </c>
      <c r="G210" s="54"/>
      <c r="H210" s="54"/>
      <c r="I210" s="54"/>
      <c r="J210" s="120">
        <f t="shared" si="157"/>
        <v>-11</v>
      </c>
      <c r="K210" s="66">
        <f t="shared" si="158"/>
        <v>1160000</v>
      </c>
      <c r="L210" s="56">
        <f t="shared" si="159"/>
        <v>0</v>
      </c>
      <c r="M210" s="66">
        <f t="shared" si="160"/>
        <v>0</v>
      </c>
      <c r="N210" s="66">
        <f t="shared" si="161"/>
        <v>0</v>
      </c>
      <c r="O210" s="66">
        <f t="shared" si="162"/>
        <v>0</v>
      </c>
      <c r="P210" s="39">
        <v>125000</v>
      </c>
      <c r="Q210" s="53">
        <v>44242</v>
      </c>
      <c r="R210" s="1"/>
      <c r="S210" s="1"/>
      <c r="T210" s="53"/>
      <c r="U210" s="1"/>
      <c r="V210" s="1"/>
      <c r="W210" s="53"/>
      <c r="X210" s="1"/>
    </row>
    <row r="211" spans="1:24">
      <c r="A211" s="391"/>
      <c r="B211" s="115">
        <v>125000</v>
      </c>
      <c r="C211" s="1"/>
      <c r="D211" s="114">
        <v>44182</v>
      </c>
      <c r="E211" s="1">
        <v>30</v>
      </c>
      <c r="F211" s="32">
        <f t="shared" si="163"/>
        <v>44212</v>
      </c>
      <c r="G211" s="54"/>
      <c r="H211" s="54"/>
      <c r="I211" s="54"/>
      <c r="J211" s="120">
        <f t="shared" si="157"/>
        <v>-16</v>
      </c>
      <c r="K211" s="66">
        <f t="shared" si="158"/>
        <v>125000</v>
      </c>
      <c r="L211" s="56">
        <f t="shared" si="159"/>
        <v>0</v>
      </c>
      <c r="M211" s="66">
        <f t="shared" si="160"/>
        <v>0</v>
      </c>
      <c r="N211" s="66">
        <f t="shared" si="161"/>
        <v>0</v>
      </c>
      <c r="O211" s="66">
        <f t="shared" si="162"/>
        <v>0</v>
      </c>
      <c r="P211" s="39">
        <v>3467500</v>
      </c>
      <c r="Q211" s="53">
        <v>44242</v>
      </c>
      <c r="R211" s="1"/>
      <c r="S211" s="1"/>
      <c r="T211" s="53"/>
      <c r="U211" s="1"/>
      <c r="V211" s="1"/>
      <c r="W211" s="53"/>
      <c r="X211" s="1"/>
    </row>
    <row r="212" spans="1:24">
      <c r="A212" s="391"/>
      <c r="B212" s="115">
        <v>3467500</v>
      </c>
      <c r="C212" s="1"/>
      <c r="D212" s="114">
        <v>44189</v>
      </c>
      <c r="E212" s="1">
        <v>30</v>
      </c>
      <c r="F212" s="32">
        <f t="shared" si="163"/>
        <v>44219</v>
      </c>
      <c r="G212" s="54"/>
      <c r="H212" s="54"/>
      <c r="I212" s="54"/>
      <c r="J212" s="120">
        <f t="shared" si="157"/>
        <v>-23</v>
      </c>
      <c r="K212" s="66">
        <f t="shared" si="158"/>
        <v>3467500</v>
      </c>
      <c r="L212" s="56">
        <f t="shared" si="159"/>
        <v>0</v>
      </c>
      <c r="M212" s="66">
        <f t="shared" si="160"/>
        <v>0</v>
      </c>
      <c r="N212" s="66">
        <f t="shared" si="161"/>
        <v>0</v>
      </c>
      <c r="O212" s="66">
        <f t="shared" si="162"/>
        <v>0</v>
      </c>
      <c r="P212" s="39">
        <v>1050000</v>
      </c>
      <c r="Q212" s="53">
        <v>44242</v>
      </c>
      <c r="R212" s="1"/>
      <c r="S212" s="1"/>
      <c r="T212" s="53"/>
      <c r="U212" s="1"/>
      <c r="V212" s="1"/>
      <c r="W212" s="53"/>
      <c r="X212" s="1"/>
    </row>
    <row r="213" spans="1:24">
      <c r="A213" s="391"/>
      <c r="B213" s="115">
        <v>1050000</v>
      </c>
      <c r="C213" s="1"/>
      <c r="D213" s="114">
        <v>44189</v>
      </c>
      <c r="E213" s="1">
        <v>30</v>
      </c>
      <c r="F213" s="32">
        <f t="shared" si="163"/>
        <v>44219</v>
      </c>
      <c r="G213" s="54"/>
      <c r="H213" s="54"/>
      <c r="I213" s="54"/>
      <c r="J213" s="120">
        <f t="shared" si="157"/>
        <v>-23</v>
      </c>
      <c r="K213" s="66">
        <f t="shared" si="158"/>
        <v>1050000</v>
      </c>
      <c r="L213" s="56">
        <f t="shared" si="159"/>
        <v>0</v>
      </c>
      <c r="M213" s="66">
        <f t="shared" si="160"/>
        <v>0</v>
      </c>
      <c r="N213" s="66">
        <f t="shared" si="161"/>
        <v>0</v>
      </c>
      <c r="O213" s="66">
        <f t="shared" si="162"/>
        <v>0</v>
      </c>
      <c r="P213" s="39">
        <v>2038000</v>
      </c>
      <c r="Q213" s="53">
        <v>44242</v>
      </c>
      <c r="R213" s="1"/>
      <c r="S213" s="1"/>
      <c r="T213" s="53"/>
      <c r="U213" s="1"/>
      <c r="V213" s="1"/>
      <c r="W213" s="53"/>
      <c r="X213" s="1"/>
    </row>
    <row r="214" spans="1:24">
      <c r="A214" s="391"/>
      <c r="B214" s="115">
        <v>2038000</v>
      </c>
      <c r="C214" s="1"/>
      <c r="D214" s="114">
        <v>44195</v>
      </c>
      <c r="E214" s="1">
        <v>30</v>
      </c>
      <c r="F214" s="32">
        <f t="shared" si="163"/>
        <v>44225</v>
      </c>
      <c r="G214" s="54"/>
      <c r="H214" s="54"/>
      <c r="I214" s="54"/>
      <c r="J214" s="120">
        <f t="shared" si="157"/>
        <v>-29</v>
      </c>
      <c r="K214" s="66">
        <f t="shared" si="158"/>
        <v>2038000</v>
      </c>
      <c r="L214" s="56">
        <f t="shared" si="159"/>
        <v>0</v>
      </c>
      <c r="M214" s="66">
        <f t="shared" si="160"/>
        <v>0</v>
      </c>
      <c r="N214" s="66">
        <f t="shared" si="161"/>
        <v>0</v>
      </c>
      <c r="O214" s="66">
        <f t="shared" si="162"/>
        <v>0</v>
      </c>
      <c r="P214" s="39">
        <v>320000</v>
      </c>
      <c r="Q214" s="53">
        <v>44242</v>
      </c>
      <c r="R214" s="1"/>
      <c r="S214" s="1"/>
      <c r="T214" s="53"/>
      <c r="U214" s="1"/>
      <c r="V214" s="1"/>
      <c r="W214" s="53"/>
      <c r="X214" s="1"/>
    </row>
    <row r="215" spans="1:24">
      <c r="A215" s="391"/>
      <c r="B215" s="115">
        <v>320000</v>
      </c>
      <c r="C215" s="1"/>
      <c r="D215" s="114">
        <v>44195</v>
      </c>
      <c r="E215" s="1">
        <v>30</v>
      </c>
      <c r="F215" s="32">
        <f t="shared" si="163"/>
        <v>44225</v>
      </c>
      <c r="G215" s="54"/>
      <c r="H215" s="54"/>
      <c r="I215" s="54"/>
      <c r="J215" s="120">
        <f t="shared" si="157"/>
        <v>-29</v>
      </c>
      <c r="K215" s="66">
        <f t="shared" si="158"/>
        <v>320000</v>
      </c>
      <c r="L215" s="56">
        <f t="shared" si="159"/>
        <v>0</v>
      </c>
      <c r="M215" s="66">
        <f t="shared" si="160"/>
        <v>0</v>
      </c>
      <c r="N215" s="66">
        <f t="shared" si="161"/>
        <v>0</v>
      </c>
      <c r="O215" s="66">
        <f t="shared" si="162"/>
        <v>0</v>
      </c>
      <c r="P215" s="39">
        <v>2273000</v>
      </c>
      <c r="Q215" s="53">
        <v>44242</v>
      </c>
      <c r="R215" s="1"/>
      <c r="S215" s="1"/>
      <c r="T215" s="53"/>
      <c r="U215" s="1"/>
      <c r="V215" s="1"/>
      <c r="W215" s="53"/>
      <c r="X215" s="1"/>
    </row>
    <row r="216" spans="1:24">
      <c r="A216" s="391"/>
      <c r="B216" s="115">
        <v>2273000</v>
      </c>
      <c r="C216" s="1"/>
      <c r="D216" s="114">
        <v>44195</v>
      </c>
      <c r="E216" s="1">
        <v>30</v>
      </c>
      <c r="F216" s="32">
        <f t="shared" si="163"/>
        <v>44225</v>
      </c>
      <c r="G216" s="54"/>
      <c r="H216" s="54"/>
      <c r="I216" s="54"/>
      <c r="J216" s="120">
        <f t="shared" si="157"/>
        <v>-29</v>
      </c>
      <c r="K216" s="66">
        <f t="shared" si="158"/>
        <v>2273000</v>
      </c>
      <c r="L216" s="56">
        <f t="shared" si="159"/>
        <v>0</v>
      </c>
      <c r="M216" s="66">
        <f t="shared" si="160"/>
        <v>0</v>
      </c>
      <c r="N216" s="66">
        <f t="shared" si="161"/>
        <v>0</v>
      </c>
      <c r="O216" s="66">
        <f t="shared" si="162"/>
        <v>0</v>
      </c>
      <c r="P216" s="59">
        <v>615000</v>
      </c>
      <c r="Q216" s="53">
        <v>44211</v>
      </c>
      <c r="R216" s="4"/>
      <c r="S216" s="27">
        <f>B216-P216</f>
        <v>1658000</v>
      </c>
      <c r="T216" s="53">
        <v>44242</v>
      </c>
      <c r="U216" s="1"/>
      <c r="V216" s="1"/>
      <c r="W216" s="53"/>
      <c r="X216" s="1"/>
    </row>
    <row r="217" spans="1:24">
      <c r="A217" s="391"/>
      <c r="B217" s="115">
        <v>960000</v>
      </c>
      <c r="C217" s="1"/>
      <c r="D217" s="114">
        <v>44140</v>
      </c>
      <c r="E217" s="1">
        <v>30</v>
      </c>
      <c r="F217" s="32">
        <f t="shared" si="163"/>
        <v>44170</v>
      </c>
      <c r="G217" s="54"/>
      <c r="H217" s="54"/>
      <c r="I217" s="54"/>
      <c r="J217" s="120">
        <f t="shared" si="157"/>
        <v>26</v>
      </c>
      <c r="K217" s="66">
        <f t="shared" si="158"/>
        <v>0</v>
      </c>
      <c r="L217" s="56">
        <f t="shared" si="159"/>
        <v>960000</v>
      </c>
      <c r="M217" s="66">
        <f t="shared" si="160"/>
        <v>0</v>
      </c>
      <c r="N217" s="66">
        <f t="shared" si="161"/>
        <v>0</v>
      </c>
      <c r="O217" s="66">
        <f t="shared" si="162"/>
        <v>0</v>
      </c>
      <c r="P217" s="39">
        <v>960000</v>
      </c>
      <c r="Q217" s="53">
        <v>44211</v>
      </c>
      <c r="R217" s="1"/>
      <c r="S217" s="1"/>
      <c r="T217" s="53"/>
      <c r="U217" s="1"/>
      <c r="V217" s="1"/>
      <c r="W217" s="53"/>
      <c r="X217" s="1"/>
    </row>
    <row r="218" spans="1:24">
      <c r="A218" s="391"/>
      <c r="B218" s="115">
        <v>3660000</v>
      </c>
      <c r="C218" s="1"/>
      <c r="D218" s="114">
        <v>44144</v>
      </c>
      <c r="E218" s="1">
        <v>30</v>
      </c>
      <c r="F218" s="32">
        <f t="shared" si="163"/>
        <v>44174</v>
      </c>
      <c r="G218" s="54"/>
      <c r="H218" s="54"/>
      <c r="I218" s="54"/>
      <c r="J218" s="120">
        <f t="shared" si="157"/>
        <v>22</v>
      </c>
      <c r="K218" s="66">
        <f t="shared" si="158"/>
        <v>0</v>
      </c>
      <c r="L218" s="56">
        <f t="shared" si="159"/>
        <v>3660000</v>
      </c>
      <c r="M218" s="66">
        <f t="shared" si="160"/>
        <v>0</v>
      </c>
      <c r="N218" s="66">
        <f t="shared" si="161"/>
        <v>0</v>
      </c>
      <c r="O218" s="66">
        <f t="shared" si="162"/>
        <v>0</v>
      </c>
      <c r="P218" s="39">
        <v>3660000</v>
      </c>
      <c r="Q218" s="53">
        <v>44242</v>
      </c>
      <c r="R218" s="1"/>
      <c r="S218" s="1"/>
      <c r="T218" s="53"/>
      <c r="U218" s="1"/>
      <c r="V218" s="1"/>
      <c r="W218" s="53"/>
      <c r="X218" s="1"/>
    </row>
    <row r="219" spans="1:24">
      <c r="A219" s="391"/>
      <c r="B219" s="115">
        <v>390000</v>
      </c>
      <c r="C219" s="1"/>
      <c r="D219" s="114">
        <v>44146</v>
      </c>
      <c r="E219" s="1">
        <v>30</v>
      </c>
      <c r="F219" s="32">
        <f t="shared" si="163"/>
        <v>44176</v>
      </c>
      <c r="G219" s="54"/>
      <c r="H219" s="54"/>
      <c r="I219" s="54"/>
      <c r="J219" s="120">
        <f t="shared" si="157"/>
        <v>20</v>
      </c>
      <c r="K219" s="66">
        <f t="shared" si="158"/>
        <v>0</v>
      </c>
      <c r="L219" s="56">
        <f t="shared" si="159"/>
        <v>390000</v>
      </c>
      <c r="M219" s="66">
        <f t="shared" si="160"/>
        <v>0</v>
      </c>
      <c r="N219" s="66">
        <f t="shared" si="161"/>
        <v>0</v>
      </c>
      <c r="O219" s="66">
        <f t="shared" si="162"/>
        <v>0</v>
      </c>
      <c r="P219" s="39">
        <v>390000</v>
      </c>
      <c r="Q219" s="53">
        <v>44211</v>
      </c>
      <c r="R219" s="1"/>
      <c r="S219" s="1"/>
      <c r="T219" s="53"/>
      <c r="U219" s="1"/>
      <c r="V219" s="1"/>
      <c r="W219" s="53"/>
      <c r="X219" s="1"/>
    </row>
    <row r="220" spans="1:24">
      <c r="A220" s="391"/>
      <c r="B220" s="115">
        <v>25000</v>
      </c>
      <c r="C220" s="1"/>
      <c r="D220" s="114">
        <v>44146</v>
      </c>
      <c r="E220" s="1">
        <v>30</v>
      </c>
      <c r="F220" s="32">
        <f t="shared" si="163"/>
        <v>44176</v>
      </c>
      <c r="G220" s="54"/>
      <c r="H220" s="54"/>
      <c r="I220" s="54"/>
      <c r="J220" s="120">
        <f t="shared" si="157"/>
        <v>20</v>
      </c>
      <c r="K220" s="66">
        <f t="shared" si="158"/>
        <v>0</v>
      </c>
      <c r="L220" s="56">
        <f t="shared" si="159"/>
        <v>25000</v>
      </c>
      <c r="M220" s="66">
        <f t="shared" si="160"/>
        <v>0</v>
      </c>
      <c r="N220" s="66">
        <f t="shared" si="161"/>
        <v>0</v>
      </c>
      <c r="O220" s="66">
        <f t="shared" si="162"/>
        <v>0</v>
      </c>
      <c r="P220" s="39">
        <v>25000</v>
      </c>
      <c r="Q220" s="53">
        <v>44211</v>
      </c>
      <c r="R220" s="1"/>
      <c r="S220" s="1"/>
      <c r="T220" s="53"/>
      <c r="U220" s="1"/>
      <c r="V220" s="1"/>
      <c r="W220" s="53"/>
      <c r="X220" s="1"/>
    </row>
    <row r="221" spans="1:24">
      <c r="A221" s="391"/>
      <c r="B221" s="115">
        <v>10980000</v>
      </c>
      <c r="C221" s="1"/>
      <c r="D221" s="114">
        <v>44151</v>
      </c>
      <c r="E221" s="1">
        <v>30</v>
      </c>
      <c r="F221" s="32">
        <f t="shared" si="163"/>
        <v>44181</v>
      </c>
      <c r="G221" s="54"/>
      <c r="H221" s="54"/>
      <c r="I221" s="54"/>
      <c r="J221" s="120">
        <f t="shared" si="157"/>
        <v>15</v>
      </c>
      <c r="K221" s="66">
        <f t="shared" si="158"/>
        <v>0</v>
      </c>
      <c r="L221" s="56">
        <f t="shared" si="159"/>
        <v>10980000</v>
      </c>
      <c r="M221" s="66">
        <f t="shared" si="160"/>
        <v>0</v>
      </c>
      <c r="N221" s="66">
        <f t="shared" si="161"/>
        <v>0</v>
      </c>
      <c r="O221" s="66">
        <f t="shared" si="162"/>
        <v>0</v>
      </c>
      <c r="P221" s="39">
        <v>10980000</v>
      </c>
      <c r="Q221" s="53">
        <v>44211</v>
      </c>
      <c r="R221" s="1"/>
      <c r="S221" s="1"/>
      <c r="T221" s="53"/>
      <c r="U221" s="1"/>
      <c r="V221" s="1"/>
      <c r="W221" s="53"/>
      <c r="X221" s="1"/>
    </row>
    <row r="222" spans="1:24">
      <c r="A222" s="391"/>
      <c r="B222" s="115">
        <v>1463500</v>
      </c>
      <c r="C222" s="1"/>
      <c r="D222" s="114">
        <v>44159</v>
      </c>
      <c r="E222" s="1">
        <v>30</v>
      </c>
      <c r="F222" s="32">
        <f t="shared" si="163"/>
        <v>44189</v>
      </c>
      <c r="G222" s="54"/>
      <c r="H222" s="54"/>
      <c r="I222" s="54"/>
      <c r="J222" s="120">
        <f t="shared" si="157"/>
        <v>7</v>
      </c>
      <c r="K222" s="66">
        <f t="shared" si="158"/>
        <v>0</v>
      </c>
      <c r="L222" s="56">
        <f t="shared" si="159"/>
        <v>1463500</v>
      </c>
      <c r="M222" s="66">
        <f t="shared" si="160"/>
        <v>0</v>
      </c>
      <c r="N222" s="66">
        <f t="shared" si="161"/>
        <v>0</v>
      </c>
      <c r="O222" s="66">
        <f t="shared" si="162"/>
        <v>0</v>
      </c>
      <c r="P222" s="39">
        <v>1463500</v>
      </c>
      <c r="Q222" s="53">
        <v>44211</v>
      </c>
      <c r="R222" s="1"/>
      <c r="S222" s="1"/>
      <c r="T222" s="53"/>
      <c r="U222" s="1"/>
      <c r="V222" s="1"/>
      <c r="W222" s="53"/>
      <c r="X222" s="1"/>
    </row>
    <row r="223" spans="1:24">
      <c r="A223" s="391"/>
      <c r="B223" s="115">
        <v>87500</v>
      </c>
      <c r="C223" s="1"/>
      <c r="D223" s="114">
        <v>44527</v>
      </c>
      <c r="E223" s="1">
        <v>30</v>
      </c>
      <c r="F223" s="32">
        <f t="shared" si="163"/>
        <v>44557</v>
      </c>
      <c r="G223" s="54"/>
      <c r="H223" s="54"/>
      <c r="I223" s="54"/>
      <c r="J223" s="120">
        <f t="shared" si="157"/>
        <v>-361</v>
      </c>
      <c r="K223" s="66">
        <f t="shared" si="158"/>
        <v>87500</v>
      </c>
      <c r="L223" s="56">
        <f t="shared" si="159"/>
        <v>0</v>
      </c>
      <c r="M223" s="66">
        <f t="shared" si="160"/>
        <v>0</v>
      </c>
      <c r="N223" s="66">
        <f t="shared" si="161"/>
        <v>0</v>
      </c>
      <c r="O223" s="66">
        <f t="shared" si="162"/>
        <v>0</v>
      </c>
      <c r="P223" s="39">
        <v>87500</v>
      </c>
      <c r="Q223" s="53">
        <v>44211</v>
      </c>
      <c r="R223" s="1"/>
      <c r="S223" s="1"/>
      <c r="T223" s="53"/>
      <c r="U223" s="1"/>
      <c r="V223" s="1"/>
      <c r="W223" s="53"/>
      <c r="X223" s="1"/>
    </row>
    <row r="224" spans="1:24">
      <c r="A224" s="391"/>
      <c r="B224" s="115">
        <v>125000</v>
      </c>
      <c r="C224" s="1"/>
      <c r="D224" s="114">
        <v>44166</v>
      </c>
      <c r="E224" s="1">
        <v>30</v>
      </c>
      <c r="F224" s="32">
        <f t="shared" si="163"/>
        <v>44196</v>
      </c>
      <c r="G224" s="54"/>
      <c r="H224" s="54"/>
      <c r="I224" s="54"/>
      <c r="J224" s="120">
        <f t="shared" si="157"/>
        <v>0</v>
      </c>
      <c r="K224" s="66">
        <f t="shared" si="158"/>
        <v>125000</v>
      </c>
      <c r="L224" s="56">
        <f t="shared" si="159"/>
        <v>0</v>
      </c>
      <c r="M224" s="66">
        <f t="shared" si="160"/>
        <v>0</v>
      </c>
      <c r="N224" s="66">
        <f t="shared" si="161"/>
        <v>0</v>
      </c>
      <c r="O224" s="66">
        <f t="shared" si="162"/>
        <v>0</v>
      </c>
      <c r="P224" s="39">
        <v>125000</v>
      </c>
      <c r="Q224" s="53">
        <v>44211</v>
      </c>
      <c r="R224" s="1"/>
      <c r="S224" s="1"/>
      <c r="T224" s="53"/>
      <c r="U224" s="1"/>
      <c r="V224" s="1"/>
      <c r="W224" s="53"/>
      <c r="X224" s="1"/>
    </row>
    <row r="225" spans="1:24">
      <c r="A225" s="391"/>
      <c r="B225" s="115">
        <v>203000</v>
      </c>
      <c r="C225" s="1"/>
      <c r="D225" s="114">
        <v>44180</v>
      </c>
      <c r="E225" s="1">
        <v>30</v>
      </c>
      <c r="F225" s="32">
        <f t="shared" si="163"/>
        <v>44210</v>
      </c>
      <c r="G225" s="54"/>
      <c r="H225" s="54"/>
      <c r="I225" s="54"/>
      <c r="J225" s="120">
        <f t="shared" si="157"/>
        <v>-14</v>
      </c>
      <c r="K225" s="66">
        <f t="shared" si="158"/>
        <v>203000</v>
      </c>
      <c r="L225" s="56">
        <f t="shared" si="159"/>
        <v>0</v>
      </c>
      <c r="M225" s="66">
        <f t="shared" si="160"/>
        <v>0</v>
      </c>
      <c r="N225" s="66">
        <f t="shared" si="161"/>
        <v>0</v>
      </c>
      <c r="O225" s="66">
        <f t="shared" si="162"/>
        <v>0</v>
      </c>
      <c r="P225" s="39">
        <v>203000</v>
      </c>
      <c r="Q225" s="53">
        <v>44242</v>
      </c>
      <c r="R225" s="1"/>
      <c r="S225" s="1"/>
      <c r="T225" s="53"/>
      <c r="U225" s="1"/>
      <c r="V225" s="1"/>
      <c r="W225" s="53"/>
      <c r="X225" s="1"/>
    </row>
    <row r="226" spans="1:24">
      <c r="A226" s="391"/>
      <c r="B226" s="115">
        <v>662500</v>
      </c>
      <c r="C226" s="1"/>
      <c r="D226" s="114">
        <v>44189</v>
      </c>
      <c r="E226" s="1">
        <v>30</v>
      </c>
      <c r="F226" s="32">
        <f t="shared" si="163"/>
        <v>44219</v>
      </c>
      <c r="G226" s="54"/>
      <c r="H226" s="54"/>
      <c r="I226" s="54"/>
      <c r="J226" s="120">
        <f t="shared" si="157"/>
        <v>-23</v>
      </c>
      <c r="K226" s="66">
        <f t="shared" si="158"/>
        <v>662500</v>
      </c>
      <c r="L226" s="56">
        <f t="shared" si="159"/>
        <v>0</v>
      </c>
      <c r="M226" s="66">
        <f t="shared" si="160"/>
        <v>0</v>
      </c>
      <c r="N226" s="66">
        <f t="shared" si="161"/>
        <v>0</v>
      </c>
      <c r="O226" s="66">
        <f t="shared" si="162"/>
        <v>0</v>
      </c>
      <c r="P226" s="39">
        <v>662500</v>
      </c>
      <c r="Q226" s="53">
        <v>44242</v>
      </c>
      <c r="R226" s="1"/>
      <c r="S226" s="1"/>
      <c r="T226" s="53"/>
      <c r="U226" s="1"/>
      <c r="V226" s="1"/>
      <c r="W226" s="53"/>
      <c r="X226" s="1"/>
    </row>
    <row r="227" spans="1:24">
      <c r="A227" s="391"/>
      <c r="B227" s="115">
        <v>75000</v>
      </c>
      <c r="C227" s="1"/>
      <c r="D227" s="114">
        <v>44189</v>
      </c>
      <c r="E227" s="1">
        <v>30</v>
      </c>
      <c r="F227" s="32">
        <f t="shared" si="163"/>
        <v>44219</v>
      </c>
      <c r="G227" s="54"/>
      <c r="H227" s="54"/>
      <c r="I227" s="54"/>
      <c r="J227" s="120">
        <f t="shared" si="157"/>
        <v>-23</v>
      </c>
      <c r="K227" s="66">
        <f t="shared" si="158"/>
        <v>75000</v>
      </c>
      <c r="L227" s="56">
        <f t="shared" si="159"/>
        <v>0</v>
      </c>
      <c r="M227" s="66">
        <f t="shared" si="160"/>
        <v>0</v>
      </c>
      <c r="N227" s="66">
        <f t="shared" si="161"/>
        <v>0</v>
      </c>
      <c r="O227" s="66">
        <f t="shared" si="162"/>
        <v>0</v>
      </c>
      <c r="P227" s="39">
        <v>75000</v>
      </c>
      <c r="Q227" s="53">
        <v>44242</v>
      </c>
      <c r="R227" s="1"/>
      <c r="S227" s="1"/>
      <c r="T227" s="53"/>
      <c r="U227" s="1"/>
      <c r="V227" s="1"/>
      <c r="W227" s="53"/>
      <c r="X227" s="1"/>
    </row>
    <row r="228" spans="1:24">
      <c r="A228" s="391"/>
      <c r="B228" s="115">
        <v>35000</v>
      </c>
      <c r="C228" s="1"/>
      <c r="D228" s="114">
        <v>44191</v>
      </c>
      <c r="E228" s="1">
        <v>30</v>
      </c>
      <c r="F228" s="32">
        <f t="shared" si="163"/>
        <v>44221</v>
      </c>
      <c r="G228" s="54"/>
      <c r="H228" s="54"/>
      <c r="I228" s="54"/>
      <c r="J228" s="120">
        <f t="shared" si="157"/>
        <v>-25</v>
      </c>
      <c r="K228" s="66">
        <f t="shared" si="158"/>
        <v>35000</v>
      </c>
      <c r="L228" s="56">
        <f t="shared" si="159"/>
        <v>0</v>
      </c>
      <c r="M228" s="66">
        <f t="shared" si="160"/>
        <v>0</v>
      </c>
      <c r="N228" s="66">
        <f t="shared" si="161"/>
        <v>0</v>
      </c>
      <c r="O228" s="66">
        <f t="shared" si="162"/>
        <v>0</v>
      </c>
      <c r="P228" s="39">
        <v>35000</v>
      </c>
      <c r="Q228" s="53">
        <v>44242</v>
      </c>
      <c r="R228" s="1"/>
      <c r="S228" s="1"/>
      <c r="T228" s="53"/>
      <c r="U228" s="1"/>
      <c r="V228" s="1"/>
      <c r="W228" s="53"/>
      <c r="X228" s="1"/>
    </row>
    <row r="229" spans="1:24">
      <c r="A229" s="391"/>
      <c r="B229" s="115">
        <v>7320000</v>
      </c>
      <c r="C229" s="1"/>
      <c r="D229" s="114">
        <v>44195</v>
      </c>
      <c r="E229" s="1">
        <v>30</v>
      </c>
      <c r="F229" s="32">
        <f t="shared" si="163"/>
        <v>44225</v>
      </c>
      <c r="G229" s="54"/>
      <c r="H229" s="54"/>
      <c r="I229" s="54"/>
      <c r="J229" s="120">
        <f t="shared" si="157"/>
        <v>-29</v>
      </c>
      <c r="K229" s="66">
        <f t="shared" si="158"/>
        <v>7320000</v>
      </c>
      <c r="L229" s="56">
        <f t="shared" si="159"/>
        <v>0</v>
      </c>
      <c r="M229" s="66">
        <f t="shared" si="160"/>
        <v>0</v>
      </c>
      <c r="N229" s="66">
        <f t="shared" si="161"/>
        <v>0</v>
      </c>
      <c r="O229" s="66">
        <f t="shared" si="162"/>
        <v>0</v>
      </c>
      <c r="P229" s="39">
        <v>7320000</v>
      </c>
      <c r="Q229" s="53">
        <v>44242</v>
      </c>
      <c r="R229" s="1"/>
      <c r="S229" s="1"/>
      <c r="T229" s="53"/>
      <c r="U229" s="1"/>
      <c r="V229" s="1"/>
      <c r="W229" s="53"/>
      <c r="X229" s="1"/>
    </row>
    <row r="230" spans="1:24">
      <c r="A230" s="391"/>
      <c r="B230" s="115">
        <v>680000</v>
      </c>
      <c r="C230" s="1"/>
      <c r="D230" s="114">
        <v>44195</v>
      </c>
      <c r="E230" s="1">
        <v>30</v>
      </c>
      <c r="F230" s="32">
        <f t="shared" si="163"/>
        <v>44225</v>
      </c>
      <c r="G230" s="54"/>
      <c r="H230" s="54"/>
      <c r="I230" s="54"/>
      <c r="J230" s="120">
        <f t="shared" si="157"/>
        <v>-29</v>
      </c>
      <c r="K230" s="66">
        <f t="shared" si="158"/>
        <v>680000</v>
      </c>
      <c r="L230" s="56">
        <f t="shared" si="159"/>
        <v>0</v>
      </c>
      <c r="M230" s="66">
        <f t="shared" si="160"/>
        <v>0</v>
      </c>
      <c r="N230" s="66">
        <f t="shared" si="161"/>
        <v>0</v>
      </c>
      <c r="O230" s="66">
        <f t="shared" si="162"/>
        <v>0</v>
      </c>
      <c r="P230" s="39">
        <v>680000</v>
      </c>
      <c r="Q230" s="53">
        <v>44242</v>
      </c>
      <c r="R230" s="1"/>
      <c r="S230" s="1"/>
      <c r="T230" s="53"/>
      <c r="U230" s="1"/>
      <c r="V230" s="1"/>
      <c r="W230" s="53"/>
      <c r="X230" s="1"/>
    </row>
    <row r="231" spans="1:24">
      <c r="A231" s="391" t="s">
        <v>33</v>
      </c>
      <c r="B231" s="25">
        <v>136517000</v>
      </c>
      <c r="C231" s="1"/>
      <c r="D231" s="32"/>
      <c r="E231" s="1"/>
      <c r="F231" s="32"/>
      <c r="G231" s="54">
        <f>B231</f>
        <v>136517000</v>
      </c>
      <c r="H231" s="54"/>
      <c r="I231" s="54"/>
      <c r="J231" s="119"/>
      <c r="K231" s="66"/>
      <c r="L231" s="56"/>
      <c r="M231" s="66"/>
      <c r="N231" s="66"/>
      <c r="O231" s="66"/>
      <c r="P231" s="39"/>
      <c r="Q231" s="53"/>
      <c r="R231" s="1"/>
      <c r="S231" s="1"/>
      <c r="T231" s="53"/>
      <c r="U231" s="1"/>
      <c r="V231" s="1"/>
      <c r="W231" s="53"/>
      <c r="X231" s="1"/>
    </row>
    <row r="232" spans="1:24">
      <c r="A232" s="391"/>
      <c r="B232" s="115">
        <v>1780000</v>
      </c>
      <c r="C232" s="1"/>
      <c r="D232" s="114">
        <v>44162</v>
      </c>
      <c r="E232" s="1">
        <v>30</v>
      </c>
      <c r="F232" s="32">
        <f t="shared" ref="F232:F249" si="164">D232+E232</f>
        <v>44192</v>
      </c>
      <c r="G232" s="54"/>
      <c r="H232" s="54"/>
      <c r="I232" s="54"/>
      <c r="J232" s="120">
        <f t="shared" ref="J232:J249" si="165">$A$3-F232</f>
        <v>4</v>
      </c>
      <c r="K232" s="66">
        <f t="shared" ref="K232:K249" si="166">IF(J232&lt;=0,B232,0)</f>
        <v>0</v>
      </c>
      <c r="L232" s="56">
        <f t="shared" ref="L232:L249" si="167">IF(AND(J232&gt;=1,J232&lt;=30),B232,0)</f>
        <v>1780000</v>
      </c>
      <c r="M232" s="66">
        <f t="shared" ref="M232:M249" si="168">IF(AND(J232&gt;=31,J232&lt;=60),B232,0)</f>
        <v>0</v>
      </c>
      <c r="N232" s="66">
        <f t="shared" ref="N232:N249" si="169">IF(AND(J232&gt;=61,J232&lt;=90),B232,0)</f>
        <v>0</v>
      </c>
      <c r="O232" s="66">
        <f t="shared" ref="O232:O249" si="170">IF(J232&gt;90,B232,0)</f>
        <v>0</v>
      </c>
      <c r="P232" s="39"/>
      <c r="Q232" s="53"/>
      <c r="R232" s="1"/>
      <c r="S232" s="1"/>
      <c r="T232" s="53"/>
      <c r="U232" s="1"/>
      <c r="V232" s="1"/>
      <c r="W232" s="53"/>
      <c r="X232" s="1"/>
    </row>
    <row r="233" spans="1:24">
      <c r="A233" s="391"/>
      <c r="B233" s="115">
        <v>3550000</v>
      </c>
      <c r="C233" s="1"/>
      <c r="D233" s="114">
        <v>44196</v>
      </c>
      <c r="E233" s="1">
        <v>30</v>
      </c>
      <c r="F233" s="32">
        <f t="shared" si="164"/>
        <v>44226</v>
      </c>
      <c r="G233" s="54"/>
      <c r="H233" s="54"/>
      <c r="I233" s="54"/>
      <c r="J233" s="120">
        <f t="shared" si="165"/>
        <v>-30</v>
      </c>
      <c r="K233" s="66">
        <f t="shared" si="166"/>
        <v>3550000</v>
      </c>
      <c r="L233" s="56">
        <f t="shared" si="167"/>
        <v>0</v>
      </c>
      <c r="M233" s="66">
        <f t="shared" si="168"/>
        <v>0</v>
      </c>
      <c r="N233" s="66">
        <f t="shared" si="169"/>
        <v>0</v>
      </c>
      <c r="O233" s="66">
        <f t="shared" si="170"/>
        <v>0</v>
      </c>
      <c r="P233" s="39"/>
      <c r="Q233" s="53"/>
      <c r="R233" s="1"/>
      <c r="S233" s="1"/>
      <c r="T233" s="53"/>
      <c r="U233" s="1"/>
      <c r="V233" s="1"/>
      <c r="W233" s="53"/>
      <c r="X233" s="1"/>
    </row>
    <row r="234" spans="1:24">
      <c r="A234" s="391"/>
      <c r="B234" s="115">
        <v>1750000</v>
      </c>
      <c r="C234" s="1"/>
      <c r="D234" s="114">
        <v>44130</v>
      </c>
      <c r="E234" s="1">
        <v>30</v>
      </c>
      <c r="F234" s="32">
        <f t="shared" si="164"/>
        <v>44160</v>
      </c>
      <c r="G234" s="54"/>
      <c r="H234" s="54"/>
      <c r="I234" s="54"/>
      <c r="J234" s="120">
        <f t="shared" si="165"/>
        <v>36</v>
      </c>
      <c r="K234" s="66">
        <f t="shared" si="166"/>
        <v>0</v>
      </c>
      <c r="L234" s="56">
        <f t="shared" si="167"/>
        <v>0</v>
      </c>
      <c r="M234" s="66">
        <f t="shared" si="168"/>
        <v>1750000</v>
      </c>
      <c r="N234" s="66">
        <f t="shared" si="169"/>
        <v>0</v>
      </c>
      <c r="O234" s="66">
        <f t="shared" si="170"/>
        <v>0</v>
      </c>
      <c r="P234" s="39"/>
      <c r="Q234" s="53"/>
      <c r="R234" s="1"/>
      <c r="S234" s="1"/>
      <c r="T234" s="53"/>
      <c r="U234" s="1"/>
      <c r="V234" s="1"/>
      <c r="W234" s="53"/>
      <c r="X234" s="1"/>
    </row>
    <row r="235" spans="1:24">
      <c r="A235" s="391"/>
      <c r="B235" s="115">
        <v>959000</v>
      </c>
      <c r="C235" s="1"/>
      <c r="D235" s="114">
        <v>44130</v>
      </c>
      <c r="E235" s="1">
        <v>30</v>
      </c>
      <c r="F235" s="32">
        <f t="shared" si="164"/>
        <v>44160</v>
      </c>
      <c r="G235" s="54"/>
      <c r="H235" s="54"/>
      <c r="I235" s="54"/>
      <c r="J235" s="120">
        <f t="shared" si="165"/>
        <v>36</v>
      </c>
      <c r="K235" s="66">
        <f t="shared" si="166"/>
        <v>0</v>
      </c>
      <c r="L235" s="56">
        <f t="shared" si="167"/>
        <v>0</v>
      </c>
      <c r="M235" s="66">
        <f t="shared" si="168"/>
        <v>959000</v>
      </c>
      <c r="N235" s="66">
        <f t="shared" si="169"/>
        <v>0</v>
      </c>
      <c r="O235" s="66">
        <f t="shared" si="170"/>
        <v>0</v>
      </c>
      <c r="P235" s="39"/>
      <c r="Q235" s="53"/>
      <c r="R235" s="1"/>
      <c r="S235" s="1"/>
      <c r="T235" s="53"/>
      <c r="U235" s="1"/>
      <c r="V235" s="1"/>
      <c r="W235" s="53"/>
      <c r="X235" s="1"/>
    </row>
    <row r="236" spans="1:24">
      <c r="A236" s="391"/>
      <c r="B236" s="115">
        <v>29700000</v>
      </c>
      <c r="C236" s="1"/>
      <c r="D236" s="114">
        <v>44160</v>
      </c>
      <c r="E236" s="1">
        <v>30</v>
      </c>
      <c r="F236" s="32">
        <f t="shared" si="164"/>
        <v>44190</v>
      </c>
      <c r="G236" s="54"/>
      <c r="H236" s="54"/>
      <c r="I236" s="54"/>
      <c r="J236" s="120">
        <f t="shared" si="165"/>
        <v>6</v>
      </c>
      <c r="K236" s="66">
        <f t="shared" si="166"/>
        <v>0</v>
      </c>
      <c r="L236" s="56">
        <f t="shared" si="167"/>
        <v>29700000</v>
      </c>
      <c r="M236" s="66">
        <f t="shared" si="168"/>
        <v>0</v>
      </c>
      <c r="N236" s="66">
        <f t="shared" si="169"/>
        <v>0</v>
      </c>
      <c r="O236" s="66">
        <f t="shared" si="170"/>
        <v>0</v>
      </c>
      <c r="P236" s="39"/>
      <c r="Q236" s="53"/>
      <c r="R236" s="1"/>
      <c r="S236" s="1"/>
      <c r="T236" s="53"/>
      <c r="U236" s="1"/>
      <c r="V236" s="1"/>
      <c r="W236" s="53"/>
      <c r="X236" s="1"/>
    </row>
    <row r="237" spans="1:24">
      <c r="A237" s="391"/>
      <c r="B237" s="115">
        <v>8800000</v>
      </c>
      <c r="C237" s="1"/>
      <c r="D237" s="114">
        <v>44160</v>
      </c>
      <c r="E237" s="1">
        <v>30</v>
      </c>
      <c r="F237" s="32">
        <f t="shared" si="164"/>
        <v>44190</v>
      </c>
      <c r="G237" s="54"/>
      <c r="H237" s="54"/>
      <c r="I237" s="54"/>
      <c r="J237" s="120">
        <f t="shared" si="165"/>
        <v>6</v>
      </c>
      <c r="K237" s="66">
        <f t="shared" si="166"/>
        <v>0</v>
      </c>
      <c r="L237" s="56">
        <f t="shared" si="167"/>
        <v>8800000</v>
      </c>
      <c r="M237" s="66">
        <f t="shared" si="168"/>
        <v>0</v>
      </c>
      <c r="N237" s="66">
        <f t="shared" si="169"/>
        <v>0</v>
      </c>
      <c r="O237" s="66">
        <f t="shared" si="170"/>
        <v>0</v>
      </c>
      <c r="P237" s="39"/>
      <c r="Q237" s="53"/>
      <c r="R237" s="1"/>
      <c r="S237" s="1"/>
      <c r="T237" s="53"/>
      <c r="U237" s="1"/>
      <c r="V237" s="1"/>
      <c r="W237" s="53"/>
      <c r="X237" s="1"/>
    </row>
    <row r="238" spans="1:24">
      <c r="A238" s="391"/>
      <c r="B238" s="115">
        <v>130000</v>
      </c>
      <c r="C238" s="1"/>
      <c r="D238" s="114">
        <v>44188</v>
      </c>
      <c r="E238" s="1">
        <v>30</v>
      </c>
      <c r="F238" s="32">
        <f t="shared" si="164"/>
        <v>44218</v>
      </c>
      <c r="G238" s="54"/>
      <c r="H238" s="54"/>
      <c r="I238" s="54"/>
      <c r="J238" s="120">
        <f t="shared" si="165"/>
        <v>-22</v>
      </c>
      <c r="K238" s="66">
        <f t="shared" si="166"/>
        <v>130000</v>
      </c>
      <c r="L238" s="56">
        <f t="shared" si="167"/>
        <v>0</v>
      </c>
      <c r="M238" s="66">
        <f t="shared" si="168"/>
        <v>0</v>
      </c>
      <c r="N238" s="66">
        <f t="shared" si="169"/>
        <v>0</v>
      </c>
      <c r="O238" s="66">
        <f t="shared" si="170"/>
        <v>0</v>
      </c>
      <c r="P238" s="39"/>
      <c r="Q238" s="53"/>
      <c r="R238" s="1"/>
      <c r="S238" s="1"/>
      <c r="T238" s="53"/>
      <c r="U238" s="1"/>
      <c r="V238" s="1"/>
      <c r="W238" s="53"/>
      <c r="X238" s="1"/>
    </row>
    <row r="239" spans="1:24">
      <c r="A239" s="391"/>
      <c r="B239" s="115">
        <v>1250000</v>
      </c>
      <c r="C239" s="1"/>
      <c r="D239" s="114">
        <v>44188</v>
      </c>
      <c r="E239" s="1">
        <v>30</v>
      </c>
      <c r="F239" s="32">
        <f t="shared" si="164"/>
        <v>44218</v>
      </c>
      <c r="G239" s="54"/>
      <c r="H239" s="54"/>
      <c r="I239" s="54"/>
      <c r="J239" s="120">
        <f t="shared" si="165"/>
        <v>-22</v>
      </c>
      <c r="K239" s="66">
        <f t="shared" si="166"/>
        <v>1250000</v>
      </c>
      <c r="L239" s="56">
        <f t="shared" si="167"/>
        <v>0</v>
      </c>
      <c r="M239" s="66">
        <f t="shared" si="168"/>
        <v>0</v>
      </c>
      <c r="N239" s="66">
        <f t="shared" si="169"/>
        <v>0</v>
      </c>
      <c r="O239" s="66">
        <f t="shared" si="170"/>
        <v>0</v>
      </c>
      <c r="P239" s="39"/>
      <c r="Q239" s="53"/>
      <c r="R239" s="1"/>
      <c r="S239" s="1"/>
      <c r="T239" s="53"/>
      <c r="U239" s="1"/>
      <c r="V239" s="1"/>
      <c r="W239" s="53"/>
      <c r="X239" s="1"/>
    </row>
    <row r="240" spans="1:24">
      <c r="A240" s="391"/>
      <c r="B240" s="115">
        <v>26520000</v>
      </c>
      <c r="C240" s="1"/>
      <c r="D240" s="114">
        <v>44188</v>
      </c>
      <c r="E240" s="1">
        <v>30</v>
      </c>
      <c r="F240" s="32">
        <f t="shared" si="164"/>
        <v>44218</v>
      </c>
      <c r="G240" s="54"/>
      <c r="H240" s="54"/>
      <c r="I240" s="54"/>
      <c r="J240" s="120">
        <f t="shared" si="165"/>
        <v>-22</v>
      </c>
      <c r="K240" s="66">
        <f t="shared" si="166"/>
        <v>26520000</v>
      </c>
      <c r="L240" s="56">
        <f t="shared" si="167"/>
        <v>0</v>
      </c>
      <c r="M240" s="66">
        <f t="shared" si="168"/>
        <v>0</v>
      </c>
      <c r="N240" s="66">
        <f t="shared" si="169"/>
        <v>0</v>
      </c>
      <c r="O240" s="66">
        <f t="shared" si="170"/>
        <v>0</v>
      </c>
      <c r="P240" s="39"/>
      <c r="Q240" s="53"/>
      <c r="R240" s="1"/>
      <c r="S240" s="1"/>
      <c r="T240" s="53"/>
      <c r="U240" s="1"/>
      <c r="V240" s="1"/>
      <c r="W240" s="53"/>
      <c r="X240" s="1"/>
    </row>
    <row r="241" spans="1:24">
      <c r="A241" s="391"/>
      <c r="B241" s="115">
        <v>3125000</v>
      </c>
      <c r="C241" s="1"/>
      <c r="D241" s="114">
        <v>44188</v>
      </c>
      <c r="E241" s="1">
        <v>30</v>
      </c>
      <c r="F241" s="32">
        <f t="shared" si="164"/>
        <v>44218</v>
      </c>
      <c r="G241" s="54"/>
      <c r="H241" s="54"/>
      <c r="I241" s="54"/>
      <c r="J241" s="120">
        <f t="shared" si="165"/>
        <v>-22</v>
      </c>
      <c r="K241" s="66">
        <f t="shared" si="166"/>
        <v>3125000</v>
      </c>
      <c r="L241" s="56">
        <f t="shared" si="167"/>
        <v>0</v>
      </c>
      <c r="M241" s="66">
        <f t="shared" si="168"/>
        <v>0</v>
      </c>
      <c r="N241" s="66">
        <f t="shared" si="169"/>
        <v>0</v>
      </c>
      <c r="O241" s="66">
        <f t="shared" si="170"/>
        <v>0</v>
      </c>
      <c r="P241" s="39"/>
      <c r="Q241" s="53"/>
      <c r="R241" s="1"/>
      <c r="S241" s="1"/>
      <c r="T241" s="53"/>
      <c r="U241" s="1"/>
      <c r="V241" s="1"/>
      <c r="W241" s="53"/>
      <c r="X241" s="1"/>
    </row>
    <row r="242" spans="1:24">
      <c r="A242" s="391"/>
      <c r="B242" s="115">
        <v>3955000</v>
      </c>
      <c r="C242" s="1"/>
      <c r="D242" s="114">
        <v>44188</v>
      </c>
      <c r="E242" s="1">
        <v>30</v>
      </c>
      <c r="F242" s="32">
        <f t="shared" si="164"/>
        <v>44218</v>
      </c>
      <c r="G242" s="54"/>
      <c r="H242" s="54"/>
      <c r="I242" s="54"/>
      <c r="J242" s="120">
        <f t="shared" si="165"/>
        <v>-22</v>
      </c>
      <c r="K242" s="66">
        <f t="shared" si="166"/>
        <v>3955000</v>
      </c>
      <c r="L242" s="56">
        <f t="shared" si="167"/>
        <v>0</v>
      </c>
      <c r="M242" s="66">
        <f t="shared" si="168"/>
        <v>0</v>
      </c>
      <c r="N242" s="66">
        <f t="shared" si="169"/>
        <v>0</v>
      </c>
      <c r="O242" s="66">
        <f t="shared" si="170"/>
        <v>0</v>
      </c>
      <c r="P242" s="39"/>
      <c r="Q242" s="53"/>
      <c r="R242" s="1"/>
      <c r="S242" s="1"/>
      <c r="T242" s="53"/>
      <c r="U242" s="1"/>
      <c r="V242" s="1"/>
      <c r="W242" s="53"/>
      <c r="X242" s="1"/>
    </row>
    <row r="243" spans="1:24">
      <c r="A243" s="391"/>
      <c r="B243" s="115">
        <v>9255000</v>
      </c>
      <c r="C243" s="1"/>
      <c r="D243" s="114">
        <v>44188</v>
      </c>
      <c r="E243" s="1">
        <v>30</v>
      </c>
      <c r="F243" s="32">
        <f t="shared" si="164"/>
        <v>44218</v>
      </c>
      <c r="G243" s="54"/>
      <c r="H243" s="54"/>
      <c r="I243" s="54"/>
      <c r="J243" s="120">
        <f t="shared" si="165"/>
        <v>-22</v>
      </c>
      <c r="K243" s="66">
        <f t="shared" si="166"/>
        <v>9255000</v>
      </c>
      <c r="L243" s="56">
        <f t="shared" si="167"/>
        <v>0</v>
      </c>
      <c r="M243" s="66">
        <f t="shared" si="168"/>
        <v>0</v>
      </c>
      <c r="N243" s="66">
        <f t="shared" si="169"/>
        <v>0</v>
      </c>
      <c r="O243" s="66">
        <f t="shared" si="170"/>
        <v>0</v>
      </c>
      <c r="P243" s="39"/>
      <c r="Q243" s="53"/>
      <c r="R243" s="1"/>
      <c r="S243" s="1"/>
      <c r="T243" s="53"/>
      <c r="U243" s="1"/>
      <c r="V243" s="1"/>
      <c r="W243" s="53"/>
      <c r="X243" s="1"/>
    </row>
    <row r="244" spans="1:24">
      <c r="A244" s="391"/>
      <c r="B244" s="115">
        <v>15280000</v>
      </c>
      <c r="C244" s="1"/>
      <c r="D244" s="114">
        <v>44188</v>
      </c>
      <c r="E244" s="1">
        <v>30</v>
      </c>
      <c r="F244" s="32">
        <f t="shared" si="164"/>
        <v>44218</v>
      </c>
      <c r="G244" s="54"/>
      <c r="H244" s="54"/>
      <c r="I244" s="54"/>
      <c r="J244" s="120">
        <f t="shared" si="165"/>
        <v>-22</v>
      </c>
      <c r="K244" s="66">
        <f t="shared" si="166"/>
        <v>15280000</v>
      </c>
      <c r="L244" s="56">
        <f t="shared" si="167"/>
        <v>0</v>
      </c>
      <c r="M244" s="66">
        <f t="shared" si="168"/>
        <v>0</v>
      </c>
      <c r="N244" s="66">
        <f t="shared" si="169"/>
        <v>0</v>
      </c>
      <c r="O244" s="66">
        <f t="shared" si="170"/>
        <v>0</v>
      </c>
      <c r="P244" s="39"/>
      <c r="Q244" s="53"/>
      <c r="R244" s="1"/>
      <c r="S244" s="1"/>
      <c r="T244" s="53"/>
      <c r="U244" s="1"/>
      <c r="V244" s="1"/>
      <c r="W244" s="53"/>
      <c r="X244" s="1"/>
    </row>
    <row r="245" spans="1:24">
      <c r="A245" s="391"/>
      <c r="B245" s="115">
        <v>760000</v>
      </c>
      <c r="C245" s="1"/>
      <c r="D245" s="114">
        <v>44188</v>
      </c>
      <c r="E245" s="1">
        <v>30</v>
      </c>
      <c r="F245" s="32">
        <f t="shared" si="164"/>
        <v>44218</v>
      </c>
      <c r="G245" s="54"/>
      <c r="H245" s="54"/>
      <c r="I245" s="54"/>
      <c r="J245" s="120">
        <f t="shared" si="165"/>
        <v>-22</v>
      </c>
      <c r="K245" s="66">
        <f t="shared" si="166"/>
        <v>760000</v>
      </c>
      <c r="L245" s="56">
        <f t="shared" si="167"/>
        <v>0</v>
      </c>
      <c r="M245" s="66">
        <f t="shared" si="168"/>
        <v>0</v>
      </c>
      <c r="N245" s="66">
        <f t="shared" si="169"/>
        <v>0</v>
      </c>
      <c r="O245" s="66">
        <f t="shared" si="170"/>
        <v>0</v>
      </c>
      <c r="P245" s="39"/>
      <c r="Q245" s="53"/>
      <c r="R245" s="1"/>
      <c r="S245" s="1"/>
      <c r="T245" s="53"/>
      <c r="U245" s="1"/>
      <c r="V245" s="1"/>
      <c r="W245" s="53"/>
      <c r="X245" s="1"/>
    </row>
    <row r="246" spans="1:24">
      <c r="A246" s="391"/>
      <c r="B246" s="115">
        <v>130000</v>
      </c>
      <c r="C246" s="1"/>
      <c r="D246" s="114">
        <v>44196</v>
      </c>
      <c r="E246" s="1">
        <v>30</v>
      </c>
      <c r="F246" s="32">
        <f t="shared" si="164"/>
        <v>44226</v>
      </c>
      <c r="G246" s="54"/>
      <c r="H246" s="54"/>
      <c r="I246" s="54"/>
      <c r="J246" s="120">
        <f t="shared" si="165"/>
        <v>-30</v>
      </c>
      <c r="K246" s="66">
        <f t="shared" si="166"/>
        <v>130000</v>
      </c>
      <c r="L246" s="56">
        <f t="shared" si="167"/>
        <v>0</v>
      </c>
      <c r="M246" s="66">
        <f t="shared" si="168"/>
        <v>0</v>
      </c>
      <c r="N246" s="66">
        <f t="shared" si="169"/>
        <v>0</v>
      </c>
      <c r="O246" s="66">
        <f t="shared" si="170"/>
        <v>0</v>
      </c>
      <c r="P246" s="39"/>
      <c r="Q246" s="53"/>
      <c r="R246" s="1"/>
      <c r="S246" s="1"/>
      <c r="T246" s="53"/>
      <c r="U246" s="1"/>
      <c r="V246" s="1"/>
      <c r="W246" s="53"/>
      <c r="X246" s="1"/>
    </row>
    <row r="247" spans="1:24">
      <c r="A247" s="391"/>
      <c r="B247" s="115">
        <v>27415000</v>
      </c>
      <c r="C247" s="1"/>
      <c r="D247" s="114">
        <v>44196</v>
      </c>
      <c r="E247" s="1">
        <v>30</v>
      </c>
      <c r="F247" s="32">
        <f t="shared" si="164"/>
        <v>44226</v>
      </c>
      <c r="G247" s="54"/>
      <c r="H247" s="54"/>
      <c r="I247" s="54"/>
      <c r="J247" s="120">
        <f t="shared" si="165"/>
        <v>-30</v>
      </c>
      <c r="K247" s="66">
        <f t="shared" si="166"/>
        <v>27415000</v>
      </c>
      <c r="L247" s="56">
        <f t="shared" si="167"/>
        <v>0</v>
      </c>
      <c r="M247" s="66">
        <f t="shared" si="168"/>
        <v>0</v>
      </c>
      <c r="N247" s="66">
        <f t="shared" si="169"/>
        <v>0</v>
      </c>
      <c r="O247" s="66">
        <f t="shared" si="170"/>
        <v>0</v>
      </c>
      <c r="P247" s="39"/>
      <c r="Q247" s="53"/>
      <c r="R247" s="1"/>
      <c r="S247" s="1"/>
      <c r="T247" s="53"/>
      <c r="U247" s="1"/>
      <c r="V247" s="1"/>
      <c r="W247" s="53"/>
      <c r="X247" s="1"/>
    </row>
    <row r="248" spans="1:24">
      <c r="A248" s="391"/>
      <c r="B248" s="115">
        <v>2158000</v>
      </c>
      <c r="C248" s="1"/>
      <c r="D248" s="114">
        <v>44196</v>
      </c>
      <c r="E248" s="1">
        <v>30</v>
      </c>
      <c r="F248" s="32">
        <f t="shared" si="164"/>
        <v>44226</v>
      </c>
      <c r="G248" s="54"/>
      <c r="H248" s="54"/>
      <c r="I248" s="54"/>
      <c r="J248" s="120">
        <f t="shared" si="165"/>
        <v>-30</v>
      </c>
      <c r="K248" s="66">
        <f t="shared" si="166"/>
        <v>2158000</v>
      </c>
      <c r="L248" s="56">
        <f t="shared" si="167"/>
        <v>0</v>
      </c>
      <c r="M248" s="66">
        <f t="shared" si="168"/>
        <v>0</v>
      </c>
      <c r="N248" s="66">
        <f t="shared" si="169"/>
        <v>0</v>
      </c>
      <c r="O248" s="66">
        <f t="shared" si="170"/>
        <v>0</v>
      </c>
      <c r="P248" s="39"/>
      <c r="Q248" s="53"/>
      <c r="R248" s="1"/>
      <c r="S248" s="1"/>
      <c r="T248" s="53"/>
      <c r="U248" s="1"/>
      <c r="V248" s="1"/>
      <c r="W248" s="53"/>
      <c r="X248" s="1"/>
    </row>
    <row r="249" spans="1:24">
      <c r="A249" s="1" t="s">
        <v>34</v>
      </c>
      <c r="B249" s="25">
        <v>31499988</v>
      </c>
      <c r="C249" s="1"/>
      <c r="D249" s="32">
        <v>44158</v>
      </c>
      <c r="E249" s="1">
        <v>30</v>
      </c>
      <c r="F249" s="32">
        <f t="shared" si="164"/>
        <v>44188</v>
      </c>
      <c r="G249" s="54">
        <f t="shared" ref="G249:G250" si="171">B249</f>
        <v>31499988</v>
      </c>
      <c r="H249" s="54"/>
      <c r="I249" s="54"/>
      <c r="J249" s="120">
        <f t="shared" si="165"/>
        <v>8</v>
      </c>
      <c r="K249" s="66">
        <f t="shared" si="166"/>
        <v>0</v>
      </c>
      <c r="L249" s="56">
        <f t="shared" si="167"/>
        <v>31499988</v>
      </c>
      <c r="M249" s="66">
        <f t="shared" si="168"/>
        <v>0</v>
      </c>
      <c r="N249" s="66">
        <f t="shared" si="169"/>
        <v>0</v>
      </c>
      <c r="O249" s="66">
        <f t="shared" si="170"/>
        <v>0</v>
      </c>
      <c r="P249" s="39">
        <v>31499988</v>
      </c>
      <c r="Q249" s="53">
        <v>44204</v>
      </c>
      <c r="R249" s="1"/>
      <c r="S249" s="1"/>
      <c r="T249" s="53"/>
      <c r="U249" s="1"/>
      <c r="V249" s="1"/>
      <c r="W249" s="53"/>
      <c r="X249" s="1"/>
    </row>
    <row r="250" spans="1:24">
      <c r="A250" s="391" t="s">
        <v>35</v>
      </c>
      <c r="B250" s="25">
        <v>37665625</v>
      </c>
      <c r="C250" s="1"/>
      <c r="D250" s="32"/>
      <c r="E250" s="1"/>
      <c r="F250" s="32"/>
      <c r="G250" s="54">
        <f t="shared" si="171"/>
        <v>37665625</v>
      </c>
      <c r="H250" s="54"/>
      <c r="I250" s="54"/>
      <c r="J250" s="119"/>
      <c r="K250" s="66"/>
      <c r="L250" s="56"/>
      <c r="M250" s="66"/>
      <c r="N250" s="66"/>
      <c r="O250" s="66"/>
      <c r="P250" s="39"/>
      <c r="Q250" s="53"/>
      <c r="R250" s="1"/>
      <c r="S250" s="1"/>
      <c r="T250" s="53"/>
      <c r="U250" s="1"/>
      <c r="V250" s="1"/>
      <c r="W250" s="53"/>
      <c r="X250" s="1"/>
    </row>
    <row r="251" spans="1:24">
      <c r="A251" s="391"/>
      <c r="B251" s="115">
        <v>519200</v>
      </c>
      <c r="C251" s="1"/>
      <c r="D251" s="114">
        <v>44136</v>
      </c>
      <c r="E251" s="1">
        <v>30</v>
      </c>
      <c r="F251" s="32">
        <f t="shared" ref="F251" si="172">D251+E251</f>
        <v>44166</v>
      </c>
      <c r="G251" s="54"/>
      <c r="H251" s="54"/>
      <c r="I251" s="54"/>
      <c r="J251" s="120">
        <f t="shared" ref="J251:J302" si="173">$A$3-F251</f>
        <v>30</v>
      </c>
      <c r="K251" s="66">
        <f t="shared" ref="K251:K302" si="174">IF(J251&lt;=0,B251,0)</f>
        <v>0</v>
      </c>
      <c r="L251" s="56">
        <f t="shared" ref="L251:L302" si="175">IF(AND(J251&gt;=1,J251&lt;=30),B251,0)</f>
        <v>519200</v>
      </c>
      <c r="M251" s="66">
        <f t="shared" ref="M251:M302" si="176">IF(AND(J251&gt;=31,J251&lt;=60),B251,0)</f>
        <v>0</v>
      </c>
      <c r="N251" s="66">
        <f t="shared" ref="N251:N302" si="177">IF(AND(J251&gt;=61,J251&lt;=90),B251,0)</f>
        <v>0</v>
      </c>
      <c r="O251" s="66">
        <f t="shared" ref="O251:O302" si="178">IF(J251&gt;90,B251,0)</f>
        <v>0</v>
      </c>
      <c r="P251" s="39"/>
      <c r="Q251" s="53"/>
      <c r="R251" s="1"/>
      <c r="S251" s="1"/>
      <c r="T251" s="53"/>
      <c r="U251" s="1"/>
      <c r="V251" s="1"/>
      <c r="W251" s="53"/>
      <c r="X251" s="1"/>
    </row>
    <row r="252" spans="1:24">
      <c r="A252" s="391"/>
      <c r="B252" s="115">
        <v>1782000</v>
      </c>
      <c r="C252" s="1"/>
      <c r="D252" s="114">
        <v>44166</v>
      </c>
      <c r="E252" s="1">
        <v>30</v>
      </c>
      <c r="F252" s="32">
        <f t="shared" ref="F252:F275" si="179">D252+E252</f>
        <v>44196</v>
      </c>
      <c r="G252" s="54"/>
      <c r="H252" s="54"/>
      <c r="I252" s="54"/>
      <c r="J252" s="120">
        <f t="shared" si="173"/>
        <v>0</v>
      </c>
      <c r="K252" s="66">
        <f t="shared" si="174"/>
        <v>1782000</v>
      </c>
      <c r="L252" s="56">
        <f t="shared" si="175"/>
        <v>0</v>
      </c>
      <c r="M252" s="66">
        <f t="shared" si="176"/>
        <v>0</v>
      </c>
      <c r="N252" s="66">
        <f t="shared" si="177"/>
        <v>0</v>
      </c>
      <c r="O252" s="66">
        <f t="shared" si="178"/>
        <v>0</v>
      </c>
      <c r="P252" s="39">
        <v>6377500</v>
      </c>
      <c r="Q252" s="53">
        <v>44209</v>
      </c>
      <c r="R252" s="1"/>
      <c r="S252" s="1"/>
      <c r="T252" s="53"/>
      <c r="U252" s="1"/>
      <c r="V252" s="1"/>
      <c r="W252" s="53"/>
      <c r="X252" s="1"/>
    </row>
    <row r="253" spans="1:24">
      <c r="A253" s="391"/>
      <c r="B253" s="115">
        <v>209000</v>
      </c>
      <c r="C253" s="1"/>
      <c r="D253" s="114">
        <v>44166</v>
      </c>
      <c r="E253" s="1">
        <v>30</v>
      </c>
      <c r="F253" s="32">
        <f t="shared" si="179"/>
        <v>44196</v>
      </c>
      <c r="G253" s="54"/>
      <c r="H253" s="54"/>
      <c r="I253" s="54"/>
      <c r="J253" s="120">
        <f t="shared" si="173"/>
        <v>0</v>
      </c>
      <c r="K253" s="66">
        <f t="shared" si="174"/>
        <v>209000</v>
      </c>
      <c r="L253" s="56">
        <f t="shared" si="175"/>
        <v>0</v>
      </c>
      <c r="M253" s="66">
        <f t="shared" si="176"/>
        <v>0</v>
      </c>
      <c r="N253" s="66">
        <f t="shared" si="177"/>
        <v>0</v>
      </c>
      <c r="O253" s="66">
        <f t="shared" si="178"/>
        <v>0</v>
      </c>
      <c r="P253" s="39">
        <v>545600</v>
      </c>
      <c r="Q253" s="53">
        <v>44209</v>
      </c>
      <c r="R253" s="1"/>
      <c r="S253" s="1"/>
      <c r="T253" s="53"/>
      <c r="U253" s="1"/>
      <c r="V253" s="1"/>
      <c r="W253" s="53"/>
      <c r="X253" s="1"/>
    </row>
    <row r="254" spans="1:24">
      <c r="A254" s="391"/>
      <c r="B254" s="115">
        <v>494725</v>
      </c>
      <c r="C254" s="1"/>
      <c r="D254" s="114">
        <v>44166</v>
      </c>
      <c r="E254" s="1">
        <v>30</v>
      </c>
      <c r="F254" s="32">
        <f t="shared" si="179"/>
        <v>44196</v>
      </c>
      <c r="G254" s="54"/>
      <c r="H254" s="54"/>
      <c r="I254" s="54"/>
      <c r="J254" s="120">
        <f t="shared" si="173"/>
        <v>0</v>
      </c>
      <c r="K254" s="66">
        <f t="shared" si="174"/>
        <v>494725</v>
      </c>
      <c r="L254" s="56">
        <f t="shared" si="175"/>
        <v>0</v>
      </c>
      <c r="M254" s="66">
        <f t="shared" si="176"/>
        <v>0</v>
      </c>
      <c r="N254" s="66">
        <f t="shared" si="177"/>
        <v>0</v>
      </c>
      <c r="O254" s="66">
        <f t="shared" si="178"/>
        <v>0</v>
      </c>
      <c r="P254" s="39">
        <v>973500</v>
      </c>
      <c r="Q254" s="53">
        <v>44209</v>
      </c>
      <c r="R254" s="1"/>
      <c r="S254" s="1"/>
      <c r="T254" s="53"/>
      <c r="U254" s="1"/>
      <c r="V254" s="1"/>
      <c r="W254" s="53"/>
      <c r="X254" s="1"/>
    </row>
    <row r="255" spans="1:24">
      <c r="A255" s="391"/>
      <c r="B255" s="115">
        <v>6438850</v>
      </c>
      <c r="C255" s="1"/>
      <c r="D255" s="114">
        <v>44166</v>
      </c>
      <c r="E255" s="1">
        <v>30</v>
      </c>
      <c r="F255" s="32">
        <f t="shared" si="179"/>
        <v>44196</v>
      </c>
      <c r="G255" s="54"/>
      <c r="H255" s="54"/>
      <c r="I255" s="54"/>
      <c r="J255" s="120">
        <f t="shared" si="173"/>
        <v>0</v>
      </c>
      <c r="K255" s="66">
        <f t="shared" si="174"/>
        <v>6438850</v>
      </c>
      <c r="L255" s="56">
        <f t="shared" si="175"/>
        <v>0</v>
      </c>
      <c r="M255" s="66">
        <f t="shared" si="176"/>
        <v>0</v>
      </c>
      <c r="N255" s="66">
        <f t="shared" si="177"/>
        <v>0</v>
      </c>
      <c r="O255" s="66">
        <f t="shared" si="178"/>
        <v>0</v>
      </c>
      <c r="P255" s="39">
        <v>519200</v>
      </c>
      <c r="Q255" s="53">
        <v>44237</v>
      </c>
      <c r="R255" s="1"/>
      <c r="S255" s="1"/>
      <c r="T255" s="53"/>
      <c r="U255" s="1"/>
      <c r="V255" s="1"/>
      <c r="W255" s="53"/>
      <c r="X255" s="1"/>
    </row>
    <row r="256" spans="1:24">
      <c r="A256" s="391"/>
      <c r="B256" s="115">
        <v>583000</v>
      </c>
      <c r="C256" s="1"/>
      <c r="D256" s="114">
        <v>44166</v>
      </c>
      <c r="E256" s="1">
        <v>30</v>
      </c>
      <c r="F256" s="32">
        <f t="shared" si="179"/>
        <v>44196</v>
      </c>
      <c r="G256" s="54"/>
      <c r="H256" s="54"/>
      <c r="I256" s="54"/>
      <c r="J256" s="120">
        <f t="shared" si="173"/>
        <v>0</v>
      </c>
      <c r="K256" s="66">
        <f t="shared" si="174"/>
        <v>583000</v>
      </c>
      <c r="L256" s="56">
        <f t="shared" si="175"/>
        <v>0</v>
      </c>
      <c r="M256" s="66">
        <f t="shared" si="176"/>
        <v>0</v>
      </c>
      <c r="N256" s="66">
        <f t="shared" si="177"/>
        <v>0</v>
      </c>
      <c r="O256" s="66">
        <f t="shared" si="178"/>
        <v>0</v>
      </c>
      <c r="P256" s="39">
        <v>258500</v>
      </c>
      <c r="Q256" s="53">
        <v>44237</v>
      </c>
      <c r="R256" s="1"/>
      <c r="S256" s="1"/>
      <c r="T256" s="53"/>
      <c r="U256" s="1"/>
      <c r="V256" s="1"/>
      <c r="W256" s="53"/>
      <c r="X256" s="1"/>
    </row>
    <row r="257" spans="1:24">
      <c r="A257" s="391"/>
      <c r="B257" s="115">
        <v>858000</v>
      </c>
      <c r="C257" s="1"/>
      <c r="D257" s="114">
        <v>44166</v>
      </c>
      <c r="E257" s="1">
        <v>30</v>
      </c>
      <c r="F257" s="32">
        <f t="shared" si="179"/>
        <v>44196</v>
      </c>
      <c r="G257" s="54"/>
      <c r="H257" s="54"/>
      <c r="I257" s="54"/>
      <c r="J257" s="120">
        <f t="shared" si="173"/>
        <v>0</v>
      </c>
      <c r="K257" s="66">
        <f t="shared" si="174"/>
        <v>858000</v>
      </c>
      <c r="L257" s="56">
        <f t="shared" si="175"/>
        <v>0</v>
      </c>
      <c r="M257" s="66">
        <f t="shared" si="176"/>
        <v>0</v>
      </c>
      <c r="N257" s="66">
        <f t="shared" si="177"/>
        <v>0</v>
      </c>
      <c r="O257" s="66">
        <f t="shared" si="178"/>
        <v>0</v>
      </c>
      <c r="P257" s="39">
        <v>1476200</v>
      </c>
      <c r="Q257" s="53">
        <v>44242</v>
      </c>
      <c r="R257" s="1"/>
      <c r="S257" s="1"/>
      <c r="T257" s="53"/>
      <c r="U257" s="1"/>
      <c r="V257" s="1"/>
      <c r="W257" s="53"/>
      <c r="X257" s="1"/>
    </row>
    <row r="258" spans="1:24">
      <c r="A258" s="391"/>
      <c r="B258" s="115">
        <v>70950</v>
      </c>
      <c r="C258" s="1"/>
      <c r="D258" s="114">
        <v>44166</v>
      </c>
      <c r="E258" s="1">
        <v>30</v>
      </c>
      <c r="F258" s="32">
        <f t="shared" si="179"/>
        <v>44196</v>
      </c>
      <c r="G258" s="54"/>
      <c r="H258" s="54"/>
      <c r="I258" s="54"/>
      <c r="J258" s="120">
        <f t="shared" si="173"/>
        <v>0</v>
      </c>
      <c r="K258" s="66">
        <f t="shared" si="174"/>
        <v>70950</v>
      </c>
      <c r="L258" s="56">
        <f t="shared" si="175"/>
        <v>0</v>
      </c>
      <c r="M258" s="66">
        <f t="shared" si="176"/>
        <v>0</v>
      </c>
      <c r="N258" s="66">
        <f t="shared" si="177"/>
        <v>0</v>
      </c>
      <c r="O258" s="66">
        <f t="shared" si="178"/>
        <v>0</v>
      </c>
      <c r="P258" s="39">
        <v>28600</v>
      </c>
      <c r="Q258" s="53">
        <v>44237</v>
      </c>
      <c r="R258" s="1"/>
      <c r="S258" s="1"/>
      <c r="T258" s="53"/>
      <c r="U258" s="1"/>
      <c r="V258" s="1"/>
      <c r="W258" s="53"/>
      <c r="X258" s="1"/>
    </row>
    <row r="259" spans="1:24">
      <c r="A259" s="391"/>
      <c r="B259" s="115">
        <v>302500</v>
      </c>
      <c r="C259" s="1"/>
      <c r="D259" s="114">
        <v>44166</v>
      </c>
      <c r="E259" s="1">
        <v>30</v>
      </c>
      <c r="F259" s="32">
        <f t="shared" si="179"/>
        <v>44196</v>
      </c>
      <c r="G259" s="54"/>
      <c r="H259" s="54"/>
      <c r="I259" s="54"/>
      <c r="J259" s="120">
        <f t="shared" si="173"/>
        <v>0</v>
      </c>
      <c r="K259" s="66">
        <f t="shared" si="174"/>
        <v>302500</v>
      </c>
      <c r="L259" s="56">
        <f t="shared" si="175"/>
        <v>0</v>
      </c>
      <c r="M259" s="66">
        <f t="shared" si="176"/>
        <v>0</v>
      </c>
      <c r="N259" s="66">
        <f t="shared" si="177"/>
        <v>0</v>
      </c>
      <c r="O259" s="66">
        <f t="shared" si="178"/>
        <v>0</v>
      </c>
      <c r="P259" s="39">
        <v>2916100</v>
      </c>
      <c r="Q259" s="53">
        <v>44242</v>
      </c>
      <c r="R259" s="1"/>
      <c r="S259" s="1"/>
      <c r="T259" s="53"/>
      <c r="U259" s="1"/>
      <c r="V259" s="1"/>
      <c r="W259" s="53"/>
      <c r="X259" s="1"/>
    </row>
    <row r="260" spans="1:24">
      <c r="A260" s="391"/>
      <c r="B260" s="115">
        <v>594000</v>
      </c>
      <c r="C260" s="1"/>
      <c r="D260" s="114">
        <v>44166</v>
      </c>
      <c r="E260" s="1">
        <v>30</v>
      </c>
      <c r="F260" s="32">
        <f t="shared" si="179"/>
        <v>44196</v>
      </c>
      <c r="G260" s="54"/>
      <c r="H260" s="54"/>
      <c r="I260" s="54"/>
      <c r="J260" s="120">
        <f t="shared" si="173"/>
        <v>0</v>
      </c>
      <c r="K260" s="66">
        <f t="shared" si="174"/>
        <v>594000</v>
      </c>
      <c r="L260" s="56">
        <f t="shared" si="175"/>
        <v>0</v>
      </c>
      <c r="M260" s="66">
        <f t="shared" si="176"/>
        <v>0</v>
      </c>
      <c r="N260" s="66">
        <f t="shared" si="177"/>
        <v>0</v>
      </c>
      <c r="O260" s="66">
        <f t="shared" si="178"/>
        <v>0</v>
      </c>
      <c r="P260" s="39">
        <v>246950</v>
      </c>
      <c r="Q260" s="53">
        <v>44237</v>
      </c>
      <c r="R260" s="1"/>
      <c r="S260" s="1"/>
      <c r="T260" s="53"/>
      <c r="U260" s="1"/>
      <c r="V260" s="1"/>
      <c r="W260" s="53"/>
      <c r="X260" s="1"/>
    </row>
    <row r="261" spans="1:24">
      <c r="A261" s="391"/>
      <c r="B261" s="115">
        <v>1384900</v>
      </c>
      <c r="C261" s="1"/>
      <c r="D261" s="114">
        <v>44166</v>
      </c>
      <c r="E261" s="1">
        <v>30</v>
      </c>
      <c r="F261" s="32">
        <f t="shared" si="179"/>
        <v>44196</v>
      </c>
      <c r="G261" s="54"/>
      <c r="H261" s="54"/>
      <c r="I261" s="54"/>
      <c r="J261" s="120">
        <f t="shared" si="173"/>
        <v>0</v>
      </c>
      <c r="K261" s="66">
        <f t="shared" si="174"/>
        <v>1384900</v>
      </c>
      <c r="L261" s="56">
        <f t="shared" si="175"/>
        <v>0</v>
      </c>
      <c r="M261" s="66">
        <f t="shared" si="176"/>
        <v>0</v>
      </c>
      <c r="N261" s="66">
        <f t="shared" si="177"/>
        <v>0</v>
      </c>
      <c r="O261" s="66">
        <f t="shared" si="178"/>
        <v>0</v>
      </c>
      <c r="P261" s="39">
        <v>6798000</v>
      </c>
      <c r="Q261" s="53">
        <v>44281</v>
      </c>
      <c r="R261" s="1"/>
      <c r="S261" s="1"/>
      <c r="T261" s="53"/>
      <c r="U261" s="1"/>
      <c r="V261" s="1"/>
      <c r="W261" s="53"/>
      <c r="X261" s="1"/>
    </row>
    <row r="262" spans="1:24">
      <c r="A262" s="391"/>
      <c r="B262" s="115">
        <v>1540000</v>
      </c>
      <c r="C262" s="1"/>
      <c r="D262" s="114">
        <v>44166</v>
      </c>
      <c r="E262" s="1">
        <v>30</v>
      </c>
      <c r="F262" s="32">
        <f t="shared" si="179"/>
        <v>44196</v>
      </c>
      <c r="G262" s="54"/>
      <c r="H262" s="54"/>
      <c r="I262" s="54"/>
      <c r="J262" s="120">
        <f t="shared" si="173"/>
        <v>0</v>
      </c>
      <c r="K262" s="66">
        <f t="shared" si="174"/>
        <v>1540000</v>
      </c>
      <c r="L262" s="56">
        <f t="shared" si="175"/>
        <v>0</v>
      </c>
      <c r="M262" s="66">
        <f t="shared" si="176"/>
        <v>0</v>
      </c>
      <c r="N262" s="66">
        <f t="shared" si="177"/>
        <v>0</v>
      </c>
      <c r="O262" s="66">
        <f t="shared" si="178"/>
        <v>0</v>
      </c>
      <c r="P262" s="39">
        <v>519200</v>
      </c>
      <c r="Q262" s="53">
        <v>44209</v>
      </c>
      <c r="R262" s="1"/>
      <c r="S262" s="1"/>
      <c r="T262" s="53"/>
      <c r="U262" s="1"/>
      <c r="V262" s="1"/>
      <c r="W262" s="53"/>
      <c r="X262" s="1"/>
    </row>
    <row r="263" spans="1:24">
      <c r="A263" s="391"/>
      <c r="B263" s="115">
        <v>624800</v>
      </c>
      <c r="C263" s="1"/>
      <c r="D263" s="114">
        <v>44166</v>
      </c>
      <c r="E263" s="1">
        <v>30</v>
      </c>
      <c r="F263" s="32">
        <f t="shared" si="179"/>
        <v>44196</v>
      </c>
      <c r="G263" s="54"/>
      <c r="H263" s="54"/>
      <c r="I263" s="54"/>
      <c r="J263" s="120">
        <f t="shared" si="173"/>
        <v>0</v>
      </c>
      <c r="K263" s="66">
        <f t="shared" si="174"/>
        <v>624800</v>
      </c>
      <c r="L263" s="56">
        <f t="shared" si="175"/>
        <v>0</v>
      </c>
      <c r="M263" s="66">
        <f t="shared" si="176"/>
        <v>0</v>
      </c>
      <c r="N263" s="66">
        <f t="shared" si="177"/>
        <v>0</v>
      </c>
      <c r="O263" s="66">
        <f t="shared" si="178"/>
        <v>0</v>
      </c>
      <c r="P263" s="39">
        <v>1782000</v>
      </c>
      <c r="Q263" s="53">
        <v>44242</v>
      </c>
      <c r="R263" s="1"/>
      <c r="S263" s="1"/>
      <c r="T263" s="53"/>
      <c r="U263" s="1"/>
      <c r="V263" s="1"/>
      <c r="W263" s="53"/>
      <c r="X263" s="1"/>
    </row>
    <row r="264" spans="1:24">
      <c r="A264" s="391"/>
      <c r="B264" s="115">
        <v>1342000</v>
      </c>
      <c r="C264" s="1"/>
      <c r="D264" s="114">
        <v>44166</v>
      </c>
      <c r="E264" s="1">
        <v>30</v>
      </c>
      <c r="F264" s="32">
        <f t="shared" si="179"/>
        <v>44196</v>
      </c>
      <c r="G264" s="54"/>
      <c r="H264" s="54"/>
      <c r="I264" s="54"/>
      <c r="J264" s="120">
        <f t="shared" si="173"/>
        <v>0</v>
      </c>
      <c r="K264" s="66">
        <f t="shared" si="174"/>
        <v>1342000</v>
      </c>
      <c r="L264" s="56">
        <f t="shared" si="175"/>
        <v>0</v>
      </c>
      <c r="M264" s="66">
        <f t="shared" si="176"/>
        <v>0</v>
      </c>
      <c r="N264" s="66">
        <f t="shared" si="177"/>
        <v>0</v>
      </c>
      <c r="O264" s="66">
        <f t="shared" si="178"/>
        <v>0</v>
      </c>
      <c r="P264" s="39">
        <v>209000</v>
      </c>
      <c r="Q264" s="53">
        <v>44237</v>
      </c>
      <c r="R264" s="1"/>
      <c r="S264" s="1"/>
      <c r="T264" s="53"/>
      <c r="U264" s="1"/>
      <c r="V264" s="1"/>
      <c r="W264" s="53"/>
      <c r="X264" s="1"/>
    </row>
    <row r="265" spans="1:24">
      <c r="A265" s="391"/>
      <c r="B265" s="115">
        <v>563750</v>
      </c>
      <c r="C265" s="1"/>
      <c r="D265" s="114">
        <v>44166</v>
      </c>
      <c r="E265" s="1">
        <v>30</v>
      </c>
      <c r="F265" s="32">
        <f t="shared" si="179"/>
        <v>44196</v>
      </c>
      <c r="G265" s="54"/>
      <c r="H265" s="54"/>
      <c r="I265" s="54"/>
      <c r="J265" s="120">
        <f t="shared" si="173"/>
        <v>0</v>
      </c>
      <c r="K265" s="66">
        <f t="shared" si="174"/>
        <v>563750</v>
      </c>
      <c r="L265" s="56">
        <f t="shared" si="175"/>
        <v>0</v>
      </c>
      <c r="M265" s="66">
        <f t="shared" si="176"/>
        <v>0</v>
      </c>
      <c r="N265" s="66">
        <f t="shared" si="177"/>
        <v>0</v>
      </c>
      <c r="O265" s="66">
        <f t="shared" si="178"/>
        <v>0</v>
      </c>
      <c r="P265" s="39">
        <v>494725</v>
      </c>
      <c r="Q265" s="53">
        <v>44237</v>
      </c>
      <c r="R265" s="1"/>
      <c r="S265" s="1"/>
      <c r="T265" s="53"/>
      <c r="U265" s="1"/>
      <c r="V265" s="1"/>
      <c r="W265" s="53"/>
      <c r="X265" s="1"/>
    </row>
    <row r="266" spans="1:24">
      <c r="A266" s="391"/>
      <c r="B266" s="115">
        <v>313500</v>
      </c>
      <c r="C266" s="1"/>
      <c r="D266" s="114">
        <v>44145</v>
      </c>
      <c r="E266" s="1">
        <v>30</v>
      </c>
      <c r="F266" s="32">
        <f t="shared" si="179"/>
        <v>44175</v>
      </c>
      <c r="G266" s="54"/>
      <c r="H266" s="54"/>
      <c r="I266" s="54"/>
      <c r="J266" s="120">
        <f t="shared" si="173"/>
        <v>21</v>
      </c>
      <c r="K266" s="66">
        <f t="shared" si="174"/>
        <v>0</v>
      </c>
      <c r="L266" s="56">
        <f t="shared" si="175"/>
        <v>313500</v>
      </c>
      <c r="M266" s="66">
        <f t="shared" si="176"/>
        <v>0</v>
      </c>
      <c r="N266" s="66">
        <f t="shared" si="177"/>
        <v>0</v>
      </c>
      <c r="O266" s="66">
        <f t="shared" si="178"/>
        <v>0</v>
      </c>
      <c r="P266" s="39">
        <v>6438850</v>
      </c>
      <c r="Q266" s="53">
        <v>44242</v>
      </c>
      <c r="R266" s="1"/>
      <c r="S266" s="1"/>
      <c r="T266" s="53"/>
      <c r="U266" s="1"/>
      <c r="V266" s="1"/>
      <c r="W266" s="53"/>
      <c r="X266" s="1"/>
    </row>
    <row r="267" spans="1:24">
      <c r="A267" s="391"/>
      <c r="B267" s="115">
        <v>2224475</v>
      </c>
      <c r="C267" s="1"/>
      <c r="D267" s="114">
        <v>44105</v>
      </c>
      <c r="E267" s="1">
        <v>30</v>
      </c>
      <c r="F267" s="32">
        <f t="shared" si="179"/>
        <v>44135</v>
      </c>
      <c r="G267" s="54"/>
      <c r="H267" s="54"/>
      <c r="I267" s="54"/>
      <c r="J267" s="120">
        <f t="shared" si="173"/>
        <v>61</v>
      </c>
      <c r="K267" s="66">
        <f t="shared" si="174"/>
        <v>0</v>
      </c>
      <c r="L267" s="56">
        <f t="shared" si="175"/>
        <v>0</v>
      </c>
      <c r="M267" s="66">
        <f t="shared" si="176"/>
        <v>0</v>
      </c>
      <c r="N267" s="66">
        <f t="shared" si="177"/>
        <v>2224475</v>
      </c>
      <c r="O267" s="66">
        <f t="shared" si="178"/>
        <v>0</v>
      </c>
      <c r="P267" s="39">
        <v>583000</v>
      </c>
      <c r="Q267" s="53">
        <v>44237</v>
      </c>
      <c r="R267" s="1"/>
      <c r="S267" s="1"/>
      <c r="T267" s="53"/>
      <c r="U267" s="1"/>
      <c r="V267" s="1"/>
      <c r="W267" s="53"/>
      <c r="X267" s="1"/>
    </row>
    <row r="268" spans="1:24">
      <c r="A268" s="391"/>
      <c r="B268" s="115">
        <v>1663750</v>
      </c>
      <c r="C268" s="1"/>
      <c r="D268" s="114">
        <v>44127</v>
      </c>
      <c r="E268" s="1">
        <v>30</v>
      </c>
      <c r="F268" s="32">
        <f t="shared" si="179"/>
        <v>44157</v>
      </c>
      <c r="G268" s="54"/>
      <c r="H268" s="54"/>
      <c r="I268" s="54"/>
      <c r="J268" s="120">
        <f t="shared" si="173"/>
        <v>39</v>
      </c>
      <c r="K268" s="66">
        <f t="shared" si="174"/>
        <v>0</v>
      </c>
      <c r="L268" s="56">
        <f t="shared" si="175"/>
        <v>0</v>
      </c>
      <c r="M268" s="66">
        <f t="shared" si="176"/>
        <v>1663750</v>
      </c>
      <c r="N268" s="66">
        <f t="shared" si="177"/>
        <v>0</v>
      </c>
      <c r="O268" s="66">
        <f t="shared" si="178"/>
        <v>0</v>
      </c>
      <c r="P268" s="39">
        <v>858000</v>
      </c>
      <c r="Q268" s="53">
        <v>44237</v>
      </c>
      <c r="R268" s="1"/>
      <c r="S268" s="1"/>
      <c r="T268" s="53"/>
      <c r="U268" s="1"/>
      <c r="V268" s="1"/>
      <c r="W268" s="53"/>
      <c r="X268" s="1"/>
    </row>
    <row r="269" spans="1:24">
      <c r="A269" s="391"/>
      <c r="B269" s="115">
        <v>897325</v>
      </c>
      <c r="C269" s="1"/>
      <c r="D269" s="114">
        <v>44105</v>
      </c>
      <c r="E269" s="1">
        <v>30</v>
      </c>
      <c r="F269" s="32">
        <f t="shared" si="179"/>
        <v>44135</v>
      </c>
      <c r="G269" s="54"/>
      <c r="H269" s="54"/>
      <c r="I269" s="54"/>
      <c r="J269" s="120">
        <f t="shared" si="173"/>
        <v>61</v>
      </c>
      <c r="K269" s="66">
        <f t="shared" si="174"/>
        <v>0</v>
      </c>
      <c r="L269" s="56">
        <f t="shared" si="175"/>
        <v>0</v>
      </c>
      <c r="M269" s="66">
        <f t="shared" si="176"/>
        <v>0</v>
      </c>
      <c r="N269" s="66">
        <f t="shared" si="177"/>
        <v>897325</v>
      </c>
      <c r="O269" s="66">
        <f t="shared" si="178"/>
        <v>0</v>
      </c>
      <c r="P269" s="39">
        <v>70950</v>
      </c>
      <c r="Q269" s="53">
        <v>44237</v>
      </c>
      <c r="R269" s="1"/>
      <c r="S269" s="1"/>
      <c r="T269" s="53"/>
      <c r="U269" s="1"/>
      <c r="V269" s="1"/>
      <c r="W269" s="53"/>
      <c r="X269" s="1"/>
    </row>
    <row r="270" spans="1:24">
      <c r="A270" s="391"/>
      <c r="B270" s="115">
        <v>627000</v>
      </c>
      <c r="C270" s="1"/>
      <c r="D270" s="114">
        <v>44124</v>
      </c>
      <c r="E270" s="1">
        <v>30</v>
      </c>
      <c r="F270" s="32">
        <f t="shared" si="179"/>
        <v>44154</v>
      </c>
      <c r="G270" s="54"/>
      <c r="H270" s="54"/>
      <c r="I270" s="54"/>
      <c r="J270" s="120">
        <f t="shared" si="173"/>
        <v>42</v>
      </c>
      <c r="K270" s="66">
        <f t="shared" si="174"/>
        <v>0</v>
      </c>
      <c r="L270" s="56">
        <f t="shared" si="175"/>
        <v>0</v>
      </c>
      <c r="M270" s="66">
        <f t="shared" si="176"/>
        <v>627000</v>
      </c>
      <c r="N270" s="66">
        <f t="shared" si="177"/>
        <v>0</v>
      </c>
      <c r="O270" s="66">
        <f t="shared" si="178"/>
        <v>0</v>
      </c>
      <c r="P270" s="39">
        <v>302500</v>
      </c>
      <c r="Q270" s="53">
        <v>44237</v>
      </c>
      <c r="R270" s="1"/>
      <c r="S270" s="1"/>
      <c r="T270" s="53"/>
      <c r="U270" s="1"/>
      <c r="V270" s="1"/>
      <c r="W270" s="53"/>
      <c r="X270" s="1"/>
    </row>
    <row r="271" spans="1:24">
      <c r="A271" s="391"/>
      <c r="B271" s="115">
        <v>563750</v>
      </c>
      <c r="C271" s="1"/>
      <c r="D271" s="114">
        <v>44105</v>
      </c>
      <c r="E271" s="1">
        <v>30</v>
      </c>
      <c r="F271" s="32">
        <f t="shared" si="179"/>
        <v>44135</v>
      </c>
      <c r="G271" s="54"/>
      <c r="H271" s="54"/>
      <c r="I271" s="54"/>
      <c r="J271" s="120">
        <f t="shared" si="173"/>
        <v>61</v>
      </c>
      <c r="K271" s="66">
        <f t="shared" si="174"/>
        <v>0</v>
      </c>
      <c r="L271" s="56">
        <f t="shared" si="175"/>
        <v>0</v>
      </c>
      <c r="M271" s="66">
        <f t="shared" si="176"/>
        <v>0</v>
      </c>
      <c r="N271" s="66">
        <f t="shared" si="177"/>
        <v>563750</v>
      </c>
      <c r="O271" s="66">
        <f t="shared" si="178"/>
        <v>0</v>
      </c>
      <c r="P271" s="39">
        <v>594000</v>
      </c>
      <c r="Q271" s="53">
        <v>44237</v>
      </c>
      <c r="R271" s="1"/>
      <c r="S271" s="1"/>
      <c r="T271" s="53"/>
      <c r="U271" s="1"/>
      <c r="V271" s="1"/>
      <c r="W271" s="53"/>
      <c r="X271" s="1"/>
    </row>
    <row r="272" spans="1:24">
      <c r="A272" s="391"/>
      <c r="B272" s="115">
        <v>445500</v>
      </c>
      <c r="C272" s="1"/>
      <c r="D272" s="114">
        <v>44127</v>
      </c>
      <c r="E272" s="1">
        <v>30</v>
      </c>
      <c r="F272" s="32">
        <f t="shared" si="179"/>
        <v>44157</v>
      </c>
      <c r="G272" s="54"/>
      <c r="H272" s="54"/>
      <c r="I272" s="54"/>
      <c r="J272" s="120">
        <f t="shared" si="173"/>
        <v>39</v>
      </c>
      <c r="K272" s="66">
        <f t="shared" si="174"/>
        <v>0</v>
      </c>
      <c r="L272" s="56">
        <f t="shared" si="175"/>
        <v>0</v>
      </c>
      <c r="M272" s="66">
        <f t="shared" si="176"/>
        <v>445500</v>
      </c>
      <c r="N272" s="66">
        <f t="shared" si="177"/>
        <v>0</v>
      </c>
      <c r="O272" s="66">
        <f t="shared" si="178"/>
        <v>0</v>
      </c>
      <c r="P272" s="39">
        <v>1384900</v>
      </c>
      <c r="Q272" s="53">
        <v>44237</v>
      </c>
      <c r="R272" s="1"/>
      <c r="S272" s="1"/>
      <c r="T272" s="53"/>
      <c r="U272" s="1"/>
      <c r="V272" s="1"/>
      <c r="W272" s="53"/>
      <c r="X272" s="1"/>
    </row>
    <row r="273" spans="1:24">
      <c r="A273" s="391"/>
      <c r="B273" s="115">
        <v>385000</v>
      </c>
      <c r="C273" s="1"/>
      <c r="D273" s="114">
        <v>44106</v>
      </c>
      <c r="E273" s="1">
        <v>30</v>
      </c>
      <c r="F273" s="32">
        <f t="shared" si="179"/>
        <v>44136</v>
      </c>
      <c r="G273" s="54"/>
      <c r="H273" s="54"/>
      <c r="I273" s="54"/>
      <c r="J273" s="120">
        <f t="shared" si="173"/>
        <v>60</v>
      </c>
      <c r="K273" s="66">
        <f t="shared" si="174"/>
        <v>0</v>
      </c>
      <c r="L273" s="56">
        <f t="shared" si="175"/>
        <v>0</v>
      </c>
      <c r="M273" s="66">
        <f t="shared" si="176"/>
        <v>385000</v>
      </c>
      <c r="N273" s="66">
        <f t="shared" si="177"/>
        <v>0</v>
      </c>
      <c r="O273" s="66">
        <f t="shared" si="178"/>
        <v>0</v>
      </c>
      <c r="P273" s="39">
        <v>1540000</v>
      </c>
      <c r="Q273" s="53">
        <v>44242</v>
      </c>
      <c r="R273" s="1"/>
      <c r="S273" s="1"/>
      <c r="T273" s="53"/>
      <c r="U273" s="1"/>
      <c r="V273" s="1"/>
      <c r="W273" s="53"/>
      <c r="X273" s="1"/>
    </row>
    <row r="274" spans="1:24">
      <c r="A274" s="391"/>
      <c r="B274" s="115">
        <v>358600</v>
      </c>
      <c r="C274" s="1"/>
      <c r="D274" s="114">
        <v>44119</v>
      </c>
      <c r="E274" s="1">
        <v>30</v>
      </c>
      <c r="F274" s="32">
        <f t="shared" si="179"/>
        <v>44149</v>
      </c>
      <c r="G274" s="54"/>
      <c r="H274" s="54"/>
      <c r="I274" s="54"/>
      <c r="J274" s="120">
        <f t="shared" si="173"/>
        <v>47</v>
      </c>
      <c r="K274" s="66">
        <f t="shared" si="174"/>
        <v>0</v>
      </c>
      <c r="L274" s="56">
        <f t="shared" si="175"/>
        <v>0</v>
      </c>
      <c r="M274" s="66">
        <f t="shared" si="176"/>
        <v>358600</v>
      </c>
      <c r="N274" s="66">
        <f t="shared" si="177"/>
        <v>0</v>
      </c>
      <c r="O274" s="66">
        <f t="shared" si="178"/>
        <v>0</v>
      </c>
      <c r="P274" s="39">
        <v>624800</v>
      </c>
      <c r="Q274" s="53">
        <v>44237</v>
      </c>
      <c r="R274" s="1"/>
      <c r="S274" s="1"/>
      <c r="T274" s="53"/>
      <c r="U274" s="1"/>
      <c r="V274" s="1"/>
      <c r="W274" s="53"/>
      <c r="X274" s="1"/>
    </row>
    <row r="275" spans="1:24">
      <c r="A275" s="391"/>
      <c r="B275" s="115">
        <v>315150</v>
      </c>
      <c r="C275" s="1"/>
      <c r="D275" s="114">
        <v>44120</v>
      </c>
      <c r="E275" s="1">
        <v>30</v>
      </c>
      <c r="F275" s="32">
        <f t="shared" si="179"/>
        <v>44150</v>
      </c>
      <c r="G275" s="54"/>
      <c r="H275" s="54"/>
      <c r="I275" s="54"/>
      <c r="J275" s="120">
        <f t="shared" si="173"/>
        <v>46</v>
      </c>
      <c r="K275" s="66">
        <f t="shared" si="174"/>
        <v>0</v>
      </c>
      <c r="L275" s="56">
        <f t="shared" si="175"/>
        <v>0</v>
      </c>
      <c r="M275" s="66">
        <f t="shared" si="176"/>
        <v>315150</v>
      </c>
      <c r="N275" s="66">
        <f t="shared" si="177"/>
        <v>0</v>
      </c>
      <c r="O275" s="66">
        <f t="shared" si="178"/>
        <v>0</v>
      </c>
      <c r="P275" s="39">
        <v>1342000</v>
      </c>
      <c r="Q275" s="53">
        <v>44237</v>
      </c>
      <c r="R275" s="1"/>
      <c r="S275" s="1"/>
      <c r="T275" s="53"/>
      <c r="U275" s="1"/>
      <c r="V275" s="1"/>
      <c r="W275" s="53"/>
      <c r="X275" s="1"/>
    </row>
    <row r="276" spans="1:24">
      <c r="A276" s="391"/>
      <c r="B276" s="115">
        <v>225500</v>
      </c>
      <c r="C276" s="1"/>
      <c r="D276" s="114">
        <v>44105</v>
      </c>
      <c r="E276" s="1">
        <v>30</v>
      </c>
      <c r="F276" s="32">
        <f t="shared" ref="F276:F302" si="180">D276+E276</f>
        <v>44135</v>
      </c>
      <c r="G276" s="54"/>
      <c r="H276" s="54"/>
      <c r="I276" s="54"/>
      <c r="J276" s="120">
        <f t="shared" si="173"/>
        <v>61</v>
      </c>
      <c r="K276" s="66">
        <f t="shared" si="174"/>
        <v>0</v>
      </c>
      <c r="L276" s="56">
        <f t="shared" si="175"/>
        <v>0</v>
      </c>
      <c r="M276" s="66">
        <f t="shared" si="176"/>
        <v>0</v>
      </c>
      <c r="N276" s="66">
        <f t="shared" si="177"/>
        <v>225500</v>
      </c>
      <c r="O276" s="66">
        <f t="shared" si="178"/>
        <v>0</v>
      </c>
      <c r="P276" s="39"/>
      <c r="Q276" s="53"/>
      <c r="R276" s="1"/>
      <c r="S276" s="1"/>
      <c r="T276" s="53"/>
      <c r="U276" s="1"/>
      <c r="V276" s="1"/>
      <c r="W276" s="53"/>
      <c r="X276" s="1"/>
    </row>
    <row r="277" spans="1:24">
      <c r="A277" s="391"/>
      <c r="B277" s="115">
        <v>132000</v>
      </c>
      <c r="C277" s="1"/>
      <c r="D277" s="114">
        <v>44120</v>
      </c>
      <c r="E277" s="1">
        <v>30</v>
      </c>
      <c r="F277" s="32">
        <f t="shared" si="180"/>
        <v>44150</v>
      </c>
      <c r="G277" s="54"/>
      <c r="H277" s="54"/>
      <c r="I277" s="54"/>
      <c r="J277" s="120">
        <f t="shared" si="173"/>
        <v>46</v>
      </c>
      <c r="K277" s="66">
        <f t="shared" si="174"/>
        <v>0</v>
      </c>
      <c r="L277" s="56">
        <f t="shared" si="175"/>
        <v>0</v>
      </c>
      <c r="M277" s="66">
        <f t="shared" si="176"/>
        <v>132000</v>
      </c>
      <c r="N277" s="66">
        <f t="shared" si="177"/>
        <v>0</v>
      </c>
      <c r="O277" s="66">
        <f t="shared" si="178"/>
        <v>0</v>
      </c>
      <c r="P277" s="39"/>
      <c r="Q277" s="53"/>
      <c r="R277" s="1"/>
      <c r="S277" s="1"/>
      <c r="T277" s="53"/>
      <c r="U277" s="1"/>
      <c r="V277" s="1"/>
      <c r="W277" s="53"/>
      <c r="X277" s="1"/>
    </row>
    <row r="278" spans="1:24">
      <c r="A278" s="391"/>
      <c r="B278" s="115">
        <v>44000</v>
      </c>
      <c r="C278" s="1"/>
      <c r="D278" s="114">
        <v>44105</v>
      </c>
      <c r="E278" s="1">
        <v>30</v>
      </c>
      <c r="F278" s="32">
        <f t="shared" si="180"/>
        <v>44135</v>
      </c>
      <c r="G278" s="54"/>
      <c r="H278" s="54"/>
      <c r="I278" s="54"/>
      <c r="J278" s="120">
        <f t="shared" si="173"/>
        <v>61</v>
      </c>
      <c r="K278" s="66">
        <f t="shared" si="174"/>
        <v>0</v>
      </c>
      <c r="L278" s="56">
        <f t="shared" si="175"/>
        <v>0</v>
      </c>
      <c r="M278" s="66">
        <f t="shared" si="176"/>
        <v>0</v>
      </c>
      <c r="N278" s="66">
        <f t="shared" si="177"/>
        <v>44000</v>
      </c>
      <c r="O278" s="66">
        <f t="shared" si="178"/>
        <v>0</v>
      </c>
      <c r="P278" s="39"/>
      <c r="Q278" s="53"/>
      <c r="R278" s="1"/>
      <c r="S278" s="1"/>
      <c r="T278" s="53"/>
      <c r="U278" s="1"/>
      <c r="V278" s="1"/>
      <c r="W278" s="53"/>
      <c r="X278" s="1"/>
    </row>
    <row r="279" spans="1:24">
      <c r="A279" s="391"/>
      <c r="B279" s="115">
        <v>852500</v>
      </c>
      <c r="C279" s="1"/>
      <c r="D279" s="114">
        <v>44147</v>
      </c>
      <c r="E279" s="1">
        <v>30</v>
      </c>
      <c r="F279" s="32">
        <f t="shared" si="180"/>
        <v>44177</v>
      </c>
      <c r="G279" s="54"/>
      <c r="H279" s="54"/>
      <c r="I279" s="54"/>
      <c r="J279" s="120">
        <f t="shared" si="173"/>
        <v>19</v>
      </c>
      <c r="K279" s="66">
        <f t="shared" si="174"/>
        <v>0</v>
      </c>
      <c r="L279" s="56">
        <f t="shared" si="175"/>
        <v>852500</v>
      </c>
      <c r="M279" s="66">
        <f t="shared" si="176"/>
        <v>0</v>
      </c>
      <c r="N279" s="66">
        <f t="shared" si="177"/>
        <v>0</v>
      </c>
      <c r="O279" s="66">
        <f t="shared" si="178"/>
        <v>0</v>
      </c>
      <c r="P279" s="39"/>
      <c r="Q279" s="53"/>
      <c r="R279" s="1"/>
      <c r="S279" s="1"/>
      <c r="T279" s="53"/>
      <c r="U279" s="1"/>
      <c r="V279" s="1"/>
      <c r="W279" s="53"/>
      <c r="X279" s="1"/>
    </row>
    <row r="280" spans="1:24">
      <c r="A280" s="391"/>
      <c r="B280" s="115">
        <v>616000</v>
      </c>
      <c r="C280" s="1"/>
      <c r="D280" s="114">
        <v>44137</v>
      </c>
      <c r="E280" s="1">
        <v>30</v>
      </c>
      <c r="F280" s="32">
        <f t="shared" si="180"/>
        <v>44167</v>
      </c>
      <c r="G280" s="54"/>
      <c r="H280" s="54"/>
      <c r="I280" s="54"/>
      <c r="J280" s="120">
        <f t="shared" si="173"/>
        <v>29</v>
      </c>
      <c r="K280" s="66">
        <f t="shared" si="174"/>
        <v>0</v>
      </c>
      <c r="L280" s="56">
        <f t="shared" si="175"/>
        <v>616000</v>
      </c>
      <c r="M280" s="66">
        <f t="shared" si="176"/>
        <v>0</v>
      </c>
      <c r="N280" s="66">
        <f t="shared" si="177"/>
        <v>0</v>
      </c>
      <c r="O280" s="66">
        <f t="shared" si="178"/>
        <v>0</v>
      </c>
      <c r="P280" s="39"/>
      <c r="Q280" s="53"/>
      <c r="R280" s="1"/>
      <c r="S280" s="1"/>
      <c r="T280" s="53"/>
      <c r="U280" s="1"/>
      <c r="V280" s="1"/>
      <c r="W280" s="53"/>
      <c r="X280" s="1"/>
    </row>
    <row r="281" spans="1:24">
      <c r="A281" s="391"/>
      <c r="B281" s="115">
        <v>247500</v>
      </c>
      <c r="C281" s="1"/>
      <c r="D281" s="114">
        <v>44145</v>
      </c>
      <c r="E281" s="1">
        <v>30</v>
      </c>
      <c r="F281" s="32">
        <f t="shared" si="180"/>
        <v>44175</v>
      </c>
      <c r="G281" s="54"/>
      <c r="H281" s="54"/>
      <c r="I281" s="54"/>
      <c r="J281" s="120">
        <f t="shared" si="173"/>
        <v>21</v>
      </c>
      <c r="K281" s="66">
        <f t="shared" si="174"/>
        <v>0</v>
      </c>
      <c r="L281" s="56">
        <f t="shared" si="175"/>
        <v>247500</v>
      </c>
      <c r="M281" s="66">
        <f t="shared" si="176"/>
        <v>0</v>
      </c>
      <c r="N281" s="66">
        <f t="shared" si="177"/>
        <v>0</v>
      </c>
      <c r="O281" s="66">
        <f t="shared" si="178"/>
        <v>0</v>
      </c>
      <c r="P281" s="39"/>
      <c r="Q281" s="53"/>
      <c r="R281" s="1"/>
      <c r="S281" s="1"/>
      <c r="T281" s="53"/>
      <c r="U281" s="1"/>
      <c r="V281" s="1"/>
      <c r="W281" s="53"/>
      <c r="X281" s="1"/>
    </row>
    <row r="282" spans="1:24">
      <c r="A282" s="391"/>
      <c r="B282" s="115">
        <v>2453000</v>
      </c>
      <c r="C282" s="1"/>
      <c r="D282" s="114">
        <v>44147</v>
      </c>
      <c r="E282" s="1">
        <v>30</v>
      </c>
      <c r="F282" s="32">
        <f t="shared" si="180"/>
        <v>44177</v>
      </c>
      <c r="G282" s="54"/>
      <c r="H282" s="54"/>
      <c r="I282" s="54"/>
      <c r="J282" s="120">
        <f t="shared" si="173"/>
        <v>19</v>
      </c>
      <c r="K282" s="66">
        <f t="shared" si="174"/>
        <v>0</v>
      </c>
      <c r="L282" s="56">
        <f t="shared" si="175"/>
        <v>2453000</v>
      </c>
      <c r="M282" s="66">
        <f t="shared" si="176"/>
        <v>0</v>
      </c>
      <c r="N282" s="66">
        <f t="shared" si="177"/>
        <v>0</v>
      </c>
      <c r="O282" s="66">
        <f t="shared" si="178"/>
        <v>0</v>
      </c>
      <c r="P282" s="39"/>
      <c r="Q282" s="53"/>
      <c r="R282" s="1"/>
      <c r="S282" s="1"/>
      <c r="T282" s="53"/>
      <c r="U282" s="1"/>
      <c r="V282" s="1"/>
      <c r="W282" s="53"/>
      <c r="X282" s="1"/>
    </row>
    <row r="283" spans="1:24">
      <c r="A283" s="391"/>
      <c r="B283" s="115">
        <v>1485000</v>
      </c>
      <c r="C283" s="1"/>
      <c r="D283" s="114">
        <v>44142</v>
      </c>
      <c r="E283" s="1">
        <v>30</v>
      </c>
      <c r="F283" s="32">
        <f t="shared" si="180"/>
        <v>44172</v>
      </c>
      <c r="G283" s="54"/>
      <c r="H283" s="54"/>
      <c r="I283" s="54"/>
      <c r="J283" s="120">
        <f t="shared" si="173"/>
        <v>24</v>
      </c>
      <c r="K283" s="66">
        <f t="shared" si="174"/>
        <v>0</v>
      </c>
      <c r="L283" s="56">
        <f t="shared" si="175"/>
        <v>1485000</v>
      </c>
      <c r="M283" s="66">
        <f t="shared" si="176"/>
        <v>0</v>
      </c>
      <c r="N283" s="66">
        <f t="shared" si="177"/>
        <v>0</v>
      </c>
      <c r="O283" s="66">
        <f t="shared" si="178"/>
        <v>0</v>
      </c>
      <c r="P283" s="39"/>
      <c r="Q283" s="53"/>
      <c r="R283" s="1"/>
      <c r="S283" s="1"/>
      <c r="T283" s="53"/>
      <c r="U283" s="1"/>
      <c r="V283" s="1"/>
      <c r="W283" s="53"/>
      <c r="X283" s="1"/>
    </row>
    <row r="284" spans="1:24">
      <c r="A284" s="391"/>
      <c r="B284" s="115">
        <v>625500</v>
      </c>
      <c r="C284" s="1"/>
      <c r="D284" s="114">
        <v>44186</v>
      </c>
      <c r="E284" s="1">
        <v>30</v>
      </c>
      <c r="F284" s="32">
        <f t="shared" si="180"/>
        <v>44216</v>
      </c>
      <c r="G284" s="54"/>
      <c r="H284" s="54"/>
      <c r="I284" s="54"/>
      <c r="J284" s="120">
        <f t="shared" si="173"/>
        <v>-20</v>
      </c>
      <c r="K284" s="66">
        <f t="shared" si="174"/>
        <v>625500</v>
      </c>
      <c r="L284" s="56">
        <f t="shared" si="175"/>
        <v>0</v>
      </c>
      <c r="M284" s="66">
        <f t="shared" si="176"/>
        <v>0</v>
      </c>
      <c r="N284" s="66">
        <f t="shared" si="177"/>
        <v>0</v>
      </c>
      <c r="O284" s="66">
        <f t="shared" si="178"/>
        <v>0</v>
      </c>
      <c r="P284" s="39"/>
      <c r="Q284" s="53"/>
      <c r="R284" s="1"/>
      <c r="S284" s="1"/>
      <c r="T284" s="53"/>
      <c r="U284" s="1"/>
      <c r="V284" s="1"/>
      <c r="W284" s="53"/>
      <c r="X284" s="1"/>
    </row>
    <row r="285" spans="1:24">
      <c r="A285" s="391"/>
      <c r="B285" s="115">
        <v>135000</v>
      </c>
      <c r="C285" s="1"/>
      <c r="D285" s="114">
        <v>44189</v>
      </c>
      <c r="E285" s="1">
        <v>30</v>
      </c>
      <c r="F285" s="32">
        <f t="shared" si="180"/>
        <v>44219</v>
      </c>
      <c r="G285" s="54"/>
      <c r="H285" s="54"/>
      <c r="I285" s="54"/>
      <c r="J285" s="120">
        <f t="shared" si="173"/>
        <v>-23</v>
      </c>
      <c r="K285" s="66">
        <f t="shared" si="174"/>
        <v>135000</v>
      </c>
      <c r="L285" s="56">
        <f t="shared" si="175"/>
        <v>0</v>
      </c>
      <c r="M285" s="66">
        <f t="shared" si="176"/>
        <v>0</v>
      </c>
      <c r="N285" s="66">
        <f t="shared" si="177"/>
        <v>0</v>
      </c>
      <c r="O285" s="66">
        <f t="shared" si="178"/>
        <v>0</v>
      </c>
      <c r="P285" s="39"/>
      <c r="Q285" s="53"/>
      <c r="R285" s="1"/>
      <c r="S285" s="1"/>
      <c r="T285" s="53"/>
      <c r="U285" s="1"/>
      <c r="V285" s="1"/>
      <c r="W285" s="53"/>
      <c r="X285" s="1"/>
    </row>
    <row r="286" spans="1:24">
      <c r="A286" s="391"/>
      <c r="B286" s="115">
        <v>330000</v>
      </c>
      <c r="C286" s="1"/>
      <c r="D286" s="114">
        <v>44173</v>
      </c>
      <c r="E286" s="1">
        <v>30</v>
      </c>
      <c r="F286" s="32">
        <f t="shared" si="180"/>
        <v>44203</v>
      </c>
      <c r="G286" s="54"/>
      <c r="H286" s="54"/>
      <c r="I286" s="54"/>
      <c r="J286" s="120">
        <f t="shared" si="173"/>
        <v>-7</v>
      </c>
      <c r="K286" s="66">
        <f t="shared" si="174"/>
        <v>330000</v>
      </c>
      <c r="L286" s="56">
        <f t="shared" si="175"/>
        <v>0</v>
      </c>
      <c r="M286" s="66">
        <f t="shared" si="176"/>
        <v>0</v>
      </c>
      <c r="N286" s="66">
        <f t="shared" si="177"/>
        <v>0</v>
      </c>
      <c r="O286" s="66">
        <f t="shared" si="178"/>
        <v>0</v>
      </c>
      <c r="P286" s="39"/>
      <c r="Q286" s="53"/>
      <c r="R286" s="1"/>
      <c r="S286" s="1"/>
      <c r="T286" s="53"/>
      <c r="U286" s="1"/>
      <c r="V286" s="1"/>
      <c r="W286" s="53"/>
      <c r="X286" s="1"/>
    </row>
    <row r="287" spans="1:24">
      <c r="A287" s="391"/>
      <c r="B287" s="115">
        <v>320000</v>
      </c>
      <c r="C287" s="1"/>
      <c r="D287" s="114">
        <v>44177</v>
      </c>
      <c r="E287" s="1">
        <v>30</v>
      </c>
      <c r="F287" s="32">
        <f t="shared" si="180"/>
        <v>44207</v>
      </c>
      <c r="G287" s="54"/>
      <c r="H287" s="54"/>
      <c r="I287" s="54"/>
      <c r="J287" s="120">
        <f t="shared" si="173"/>
        <v>-11</v>
      </c>
      <c r="K287" s="66">
        <f t="shared" si="174"/>
        <v>320000</v>
      </c>
      <c r="L287" s="56">
        <f t="shared" si="175"/>
        <v>0</v>
      </c>
      <c r="M287" s="66">
        <f t="shared" si="176"/>
        <v>0</v>
      </c>
      <c r="N287" s="66">
        <f t="shared" si="177"/>
        <v>0</v>
      </c>
      <c r="O287" s="66">
        <f t="shared" si="178"/>
        <v>0</v>
      </c>
      <c r="P287" s="39"/>
      <c r="Q287" s="53"/>
      <c r="R287" s="1"/>
      <c r="S287" s="1"/>
      <c r="T287" s="53"/>
      <c r="U287" s="1"/>
      <c r="V287" s="1"/>
      <c r="W287" s="53"/>
      <c r="X287" s="1"/>
    </row>
    <row r="288" spans="1:24">
      <c r="A288" s="391"/>
      <c r="B288" s="115">
        <v>640000</v>
      </c>
      <c r="C288" s="1"/>
      <c r="D288" s="114">
        <v>44193</v>
      </c>
      <c r="E288" s="1">
        <v>30</v>
      </c>
      <c r="F288" s="32">
        <f t="shared" si="180"/>
        <v>44223</v>
      </c>
      <c r="G288" s="54"/>
      <c r="H288" s="54"/>
      <c r="I288" s="54"/>
      <c r="J288" s="120">
        <f t="shared" si="173"/>
        <v>-27</v>
      </c>
      <c r="K288" s="66">
        <f t="shared" si="174"/>
        <v>640000</v>
      </c>
      <c r="L288" s="56">
        <f t="shared" si="175"/>
        <v>0</v>
      </c>
      <c r="M288" s="66">
        <f t="shared" si="176"/>
        <v>0</v>
      </c>
      <c r="N288" s="66">
        <f t="shared" si="177"/>
        <v>0</v>
      </c>
      <c r="O288" s="66">
        <f t="shared" si="178"/>
        <v>0</v>
      </c>
      <c r="P288" s="39"/>
      <c r="Q288" s="53"/>
      <c r="R288" s="1"/>
      <c r="S288" s="1"/>
      <c r="T288" s="53"/>
      <c r="U288" s="1"/>
      <c r="V288" s="1"/>
      <c r="W288" s="53"/>
      <c r="X288" s="1"/>
    </row>
    <row r="289" spans="1:24">
      <c r="A289" s="391"/>
      <c r="B289" s="115">
        <v>530000</v>
      </c>
      <c r="C289" s="1"/>
      <c r="D289" s="114">
        <v>44170</v>
      </c>
      <c r="E289" s="1">
        <v>30</v>
      </c>
      <c r="F289" s="32">
        <f t="shared" si="180"/>
        <v>44200</v>
      </c>
      <c r="G289" s="54"/>
      <c r="H289" s="54"/>
      <c r="I289" s="54"/>
      <c r="J289" s="120">
        <f t="shared" si="173"/>
        <v>-4</v>
      </c>
      <c r="K289" s="66">
        <f t="shared" si="174"/>
        <v>530000</v>
      </c>
      <c r="L289" s="56">
        <f t="shared" si="175"/>
        <v>0</v>
      </c>
      <c r="M289" s="66">
        <f t="shared" si="176"/>
        <v>0</v>
      </c>
      <c r="N289" s="66">
        <f t="shared" si="177"/>
        <v>0</v>
      </c>
      <c r="O289" s="66">
        <f t="shared" si="178"/>
        <v>0</v>
      </c>
      <c r="P289" s="39"/>
      <c r="Q289" s="53"/>
      <c r="R289" s="1"/>
      <c r="S289" s="1"/>
      <c r="T289" s="53"/>
      <c r="U289" s="1"/>
      <c r="V289" s="1"/>
      <c r="W289" s="53"/>
      <c r="X289" s="1"/>
    </row>
    <row r="290" spans="1:24">
      <c r="A290" s="391"/>
      <c r="B290" s="115">
        <v>454500</v>
      </c>
      <c r="C290" s="1"/>
      <c r="D290" s="114">
        <v>44168</v>
      </c>
      <c r="E290" s="1">
        <v>30</v>
      </c>
      <c r="F290" s="32">
        <f t="shared" si="180"/>
        <v>44198</v>
      </c>
      <c r="G290" s="54"/>
      <c r="H290" s="54"/>
      <c r="I290" s="54"/>
      <c r="J290" s="120">
        <f t="shared" si="173"/>
        <v>-2</v>
      </c>
      <c r="K290" s="66">
        <f t="shared" si="174"/>
        <v>454500</v>
      </c>
      <c r="L290" s="56">
        <f t="shared" si="175"/>
        <v>0</v>
      </c>
      <c r="M290" s="66">
        <f t="shared" si="176"/>
        <v>0</v>
      </c>
      <c r="N290" s="66">
        <f t="shared" si="177"/>
        <v>0</v>
      </c>
      <c r="O290" s="66">
        <f t="shared" si="178"/>
        <v>0</v>
      </c>
      <c r="P290" s="39"/>
      <c r="Q290" s="53"/>
      <c r="R290" s="1"/>
      <c r="S290" s="1"/>
      <c r="T290" s="53"/>
      <c r="U290" s="1"/>
      <c r="V290" s="1"/>
      <c r="W290" s="53"/>
      <c r="X290" s="1"/>
    </row>
    <row r="291" spans="1:24">
      <c r="A291" s="391"/>
      <c r="B291" s="115">
        <v>307500</v>
      </c>
      <c r="C291" s="1"/>
      <c r="D291" s="114">
        <v>44193</v>
      </c>
      <c r="E291" s="1">
        <v>30</v>
      </c>
      <c r="F291" s="32">
        <f t="shared" si="180"/>
        <v>44223</v>
      </c>
      <c r="G291" s="54"/>
      <c r="H291" s="54"/>
      <c r="I291" s="54"/>
      <c r="J291" s="120">
        <f t="shared" si="173"/>
        <v>-27</v>
      </c>
      <c r="K291" s="66">
        <f t="shared" si="174"/>
        <v>307500</v>
      </c>
      <c r="L291" s="56">
        <f t="shared" si="175"/>
        <v>0</v>
      </c>
      <c r="M291" s="66">
        <f t="shared" si="176"/>
        <v>0</v>
      </c>
      <c r="N291" s="66">
        <f t="shared" si="177"/>
        <v>0</v>
      </c>
      <c r="O291" s="66">
        <f t="shared" si="178"/>
        <v>0</v>
      </c>
      <c r="P291" s="39"/>
      <c r="Q291" s="53"/>
      <c r="R291" s="1"/>
      <c r="S291" s="1"/>
      <c r="T291" s="53"/>
      <c r="U291" s="1"/>
      <c r="V291" s="1"/>
      <c r="W291" s="53"/>
      <c r="X291" s="1"/>
    </row>
    <row r="292" spans="1:24">
      <c r="A292" s="391"/>
      <c r="B292" s="115">
        <v>276500</v>
      </c>
      <c r="C292" s="1"/>
      <c r="D292" s="114">
        <v>44188</v>
      </c>
      <c r="E292" s="1">
        <v>30</v>
      </c>
      <c r="F292" s="32">
        <f t="shared" si="180"/>
        <v>44218</v>
      </c>
      <c r="G292" s="54"/>
      <c r="H292" s="54"/>
      <c r="I292" s="54"/>
      <c r="J292" s="120">
        <f t="shared" si="173"/>
        <v>-22</v>
      </c>
      <c r="K292" s="66">
        <f t="shared" si="174"/>
        <v>276500</v>
      </c>
      <c r="L292" s="56">
        <f t="shared" si="175"/>
        <v>0</v>
      </c>
      <c r="M292" s="66">
        <f t="shared" si="176"/>
        <v>0</v>
      </c>
      <c r="N292" s="66">
        <f t="shared" si="177"/>
        <v>0</v>
      </c>
      <c r="O292" s="66">
        <f t="shared" si="178"/>
        <v>0</v>
      </c>
      <c r="P292" s="39"/>
      <c r="Q292" s="53"/>
      <c r="R292" s="1"/>
      <c r="S292" s="1"/>
      <c r="T292" s="53"/>
      <c r="U292" s="1"/>
      <c r="V292" s="1"/>
      <c r="W292" s="53"/>
      <c r="X292" s="1"/>
    </row>
    <row r="293" spans="1:24">
      <c r="A293" s="391"/>
      <c r="B293" s="115">
        <v>200000</v>
      </c>
      <c r="C293" s="1"/>
      <c r="D293" s="114">
        <v>44166</v>
      </c>
      <c r="E293" s="1">
        <v>30</v>
      </c>
      <c r="F293" s="32">
        <f t="shared" si="180"/>
        <v>44196</v>
      </c>
      <c r="G293" s="54"/>
      <c r="H293" s="54"/>
      <c r="I293" s="54"/>
      <c r="J293" s="120">
        <f t="shared" si="173"/>
        <v>0</v>
      </c>
      <c r="K293" s="66">
        <f t="shared" si="174"/>
        <v>200000</v>
      </c>
      <c r="L293" s="56">
        <f t="shared" si="175"/>
        <v>0</v>
      </c>
      <c r="M293" s="66">
        <f t="shared" si="176"/>
        <v>0</v>
      </c>
      <c r="N293" s="66">
        <f t="shared" si="177"/>
        <v>0</v>
      </c>
      <c r="O293" s="66">
        <f t="shared" si="178"/>
        <v>0</v>
      </c>
      <c r="P293" s="39"/>
      <c r="Q293" s="53"/>
      <c r="R293" s="1"/>
      <c r="S293" s="1"/>
      <c r="T293" s="53"/>
      <c r="U293" s="1"/>
      <c r="V293" s="1"/>
      <c r="W293" s="53"/>
      <c r="X293" s="1"/>
    </row>
    <row r="294" spans="1:24">
      <c r="A294" s="391"/>
      <c r="B294" s="115">
        <v>140000</v>
      </c>
      <c r="C294" s="1"/>
      <c r="D294" s="114">
        <v>44166</v>
      </c>
      <c r="E294" s="1">
        <v>30</v>
      </c>
      <c r="F294" s="32">
        <f t="shared" si="180"/>
        <v>44196</v>
      </c>
      <c r="G294" s="54"/>
      <c r="H294" s="54"/>
      <c r="I294" s="54"/>
      <c r="J294" s="120">
        <f t="shared" si="173"/>
        <v>0</v>
      </c>
      <c r="K294" s="66">
        <f t="shared" si="174"/>
        <v>140000</v>
      </c>
      <c r="L294" s="56">
        <f t="shared" si="175"/>
        <v>0</v>
      </c>
      <c r="M294" s="66">
        <f t="shared" si="176"/>
        <v>0</v>
      </c>
      <c r="N294" s="66">
        <f t="shared" si="177"/>
        <v>0</v>
      </c>
      <c r="O294" s="66">
        <f t="shared" si="178"/>
        <v>0</v>
      </c>
      <c r="P294" s="39"/>
      <c r="Q294" s="53"/>
      <c r="R294" s="1"/>
      <c r="S294" s="1"/>
      <c r="T294" s="53"/>
      <c r="U294" s="1"/>
      <c r="V294" s="1"/>
      <c r="W294" s="53"/>
      <c r="X294" s="1"/>
    </row>
    <row r="295" spans="1:24">
      <c r="A295" s="391"/>
      <c r="B295" s="115">
        <v>121400</v>
      </c>
      <c r="C295" s="1"/>
      <c r="D295" s="114">
        <v>44166</v>
      </c>
      <c r="E295" s="1">
        <v>30</v>
      </c>
      <c r="F295" s="32">
        <f t="shared" si="180"/>
        <v>44196</v>
      </c>
      <c r="G295" s="54"/>
      <c r="H295" s="54"/>
      <c r="I295" s="54"/>
      <c r="J295" s="120">
        <f t="shared" si="173"/>
        <v>0</v>
      </c>
      <c r="K295" s="66">
        <f t="shared" si="174"/>
        <v>121400</v>
      </c>
      <c r="L295" s="56">
        <f t="shared" si="175"/>
        <v>0</v>
      </c>
      <c r="M295" s="66">
        <f t="shared" si="176"/>
        <v>0</v>
      </c>
      <c r="N295" s="66">
        <f t="shared" si="177"/>
        <v>0</v>
      </c>
      <c r="O295" s="66">
        <f t="shared" si="178"/>
        <v>0</v>
      </c>
      <c r="P295" s="39"/>
      <c r="Q295" s="53"/>
      <c r="R295" s="1"/>
      <c r="S295" s="1"/>
      <c r="T295" s="53"/>
      <c r="U295" s="1"/>
      <c r="V295" s="1"/>
      <c r="W295" s="53"/>
      <c r="X295" s="1"/>
    </row>
    <row r="296" spans="1:24">
      <c r="A296" s="391"/>
      <c r="B296" s="115">
        <v>50000</v>
      </c>
      <c r="C296" s="1"/>
      <c r="D296" s="114">
        <v>44166</v>
      </c>
      <c r="E296" s="1">
        <v>30</v>
      </c>
      <c r="F296" s="32">
        <f t="shared" si="180"/>
        <v>44196</v>
      </c>
      <c r="G296" s="54"/>
      <c r="H296" s="54"/>
      <c r="I296" s="54"/>
      <c r="J296" s="120">
        <f t="shared" si="173"/>
        <v>0</v>
      </c>
      <c r="K296" s="66">
        <f t="shared" si="174"/>
        <v>50000</v>
      </c>
      <c r="L296" s="56">
        <f t="shared" si="175"/>
        <v>0</v>
      </c>
      <c r="M296" s="66">
        <f t="shared" si="176"/>
        <v>0</v>
      </c>
      <c r="N296" s="66">
        <f t="shared" si="177"/>
        <v>0</v>
      </c>
      <c r="O296" s="66">
        <f t="shared" si="178"/>
        <v>0</v>
      </c>
      <c r="P296" s="39"/>
      <c r="Q296" s="53"/>
      <c r="R296" s="1"/>
      <c r="S296" s="1"/>
      <c r="T296" s="53"/>
      <c r="U296" s="1"/>
      <c r="V296" s="1"/>
      <c r="W296" s="53"/>
      <c r="X296" s="1"/>
    </row>
    <row r="297" spans="1:24">
      <c r="A297" s="391"/>
      <c r="B297" s="115">
        <v>465000</v>
      </c>
      <c r="C297" s="1"/>
      <c r="D297" s="114">
        <v>44173</v>
      </c>
      <c r="E297" s="1">
        <v>30</v>
      </c>
      <c r="F297" s="32">
        <f t="shared" si="180"/>
        <v>44203</v>
      </c>
      <c r="G297" s="54"/>
      <c r="H297" s="54"/>
      <c r="I297" s="54"/>
      <c r="J297" s="120">
        <f t="shared" si="173"/>
        <v>-7</v>
      </c>
      <c r="K297" s="66">
        <f t="shared" si="174"/>
        <v>465000</v>
      </c>
      <c r="L297" s="56">
        <f t="shared" si="175"/>
        <v>0</v>
      </c>
      <c r="M297" s="66">
        <f t="shared" si="176"/>
        <v>0</v>
      </c>
      <c r="N297" s="66">
        <f t="shared" si="177"/>
        <v>0</v>
      </c>
      <c r="O297" s="66">
        <f t="shared" si="178"/>
        <v>0</v>
      </c>
      <c r="P297" s="39"/>
      <c r="Q297" s="53"/>
      <c r="R297" s="1"/>
      <c r="S297" s="1"/>
      <c r="T297" s="53"/>
      <c r="U297" s="1"/>
      <c r="V297" s="1"/>
      <c r="W297" s="53"/>
      <c r="X297" s="1"/>
    </row>
    <row r="298" spans="1:24">
      <c r="A298" s="391"/>
      <c r="B298" s="115">
        <v>155000</v>
      </c>
      <c r="C298" s="1"/>
      <c r="D298" s="114">
        <v>44182</v>
      </c>
      <c r="E298" s="1">
        <v>30</v>
      </c>
      <c r="F298" s="32">
        <f t="shared" si="180"/>
        <v>44212</v>
      </c>
      <c r="G298" s="54"/>
      <c r="H298" s="54"/>
      <c r="I298" s="54"/>
      <c r="J298" s="120">
        <f t="shared" si="173"/>
        <v>-16</v>
      </c>
      <c r="K298" s="66">
        <f t="shared" si="174"/>
        <v>155000</v>
      </c>
      <c r="L298" s="56">
        <f t="shared" si="175"/>
        <v>0</v>
      </c>
      <c r="M298" s="66">
        <f t="shared" si="176"/>
        <v>0</v>
      </c>
      <c r="N298" s="66">
        <f t="shared" si="177"/>
        <v>0</v>
      </c>
      <c r="O298" s="66">
        <f t="shared" si="178"/>
        <v>0</v>
      </c>
      <c r="P298" s="39"/>
      <c r="Q298" s="53"/>
      <c r="R298" s="1"/>
      <c r="S298" s="1"/>
      <c r="T298" s="53"/>
      <c r="U298" s="1"/>
      <c r="V298" s="1"/>
      <c r="W298" s="53"/>
      <c r="X298" s="1"/>
    </row>
    <row r="299" spans="1:24">
      <c r="A299" s="391"/>
      <c r="B299" s="115">
        <v>180000</v>
      </c>
      <c r="C299" s="1"/>
      <c r="D299" s="114">
        <v>44181</v>
      </c>
      <c r="E299" s="1">
        <v>30</v>
      </c>
      <c r="F299" s="32">
        <f t="shared" si="180"/>
        <v>44211</v>
      </c>
      <c r="G299" s="54"/>
      <c r="H299" s="54"/>
      <c r="I299" s="54"/>
      <c r="J299" s="120">
        <f t="shared" si="173"/>
        <v>-15</v>
      </c>
      <c r="K299" s="66">
        <f t="shared" si="174"/>
        <v>180000</v>
      </c>
      <c r="L299" s="56">
        <f t="shared" si="175"/>
        <v>0</v>
      </c>
      <c r="M299" s="66">
        <f t="shared" si="176"/>
        <v>0</v>
      </c>
      <c r="N299" s="66">
        <f t="shared" si="177"/>
        <v>0</v>
      </c>
      <c r="O299" s="66">
        <f t="shared" si="178"/>
        <v>0</v>
      </c>
      <c r="P299" s="39"/>
      <c r="Q299" s="53"/>
      <c r="R299" s="1"/>
      <c r="S299" s="1"/>
      <c r="T299" s="53"/>
      <c r="U299" s="1"/>
      <c r="V299" s="1"/>
      <c r="W299" s="53"/>
      <c r="X299" s="1"/>
    </row>
    <row r="300" spans="1:24">
      <c r="A300" s="391"/>
      <c r="B300" s="115">
        <v>478000</v>
      </c>
      <c r="C300" s="1"/>
      <c r="D300" s="114">
        <v>44181</v>
      </c>
      <c r="E300" s="1">
        <v>30</v>
      </c>
      <c r="F300" s="32">
        <f t="shared" si="180"/>
        <v>44211</v>
      </c>
      <c r="G300" s="54"/>
      <c r="H300" s="54"/>
      <c r="I300" s="54"/>
      <c r="J300" s="120">
        <f t="shared" si="173"/>
        <v>-15</v>
      </c>
      <c r="K300" s="66">
        <f t="shared" si="174"/>
        <v>478000</v>
      </c>
      <c r="L300" s="56">
        <f t="shared" si="175"/>
        <v>0</v>
      </c>
      <c r="M300" s="66">
        <f t="shared" si="176"/>
        <v>0</v>
      </c>
      <c r="N300" s="66">
        <f t="shared" si="177"/>
        <v>0</v>
      </c>
      <c r="O300" s="66">
        <f t="shared" si="178"/>
        <v>0</v>
      </c>
      <c r="P300" s="39"/>
      <c r="Q300" s="53"/>
      <c r="R300" s="1"/>
      <c r="S300" s="1"/>
      <c r="T300" s="53"/>
      <c r="U300" s="1"/>
      <c r="V300" s="1"/>
      <c r="W300" s="53"/>
      <c r="X300" s="1"/>
    </row>
    <row r="301" spans="1:24">
      <c r="A301" s="391"/>
      <c r="B301" s="115">
        <v>553000</v>
      </c>
      <c r="C301" s="1"/>
      <c r="D301" s="114">
        <v>44181</v>
      </c>
      <c r="E301" s="1">
        <v>30</v>
      </c>
      <c r="F301" s="32">
        <f t="shared" si="180"/>
        <v>44211</v>
      </c>
      <c r="G301" s="54"/>
      <c r="H301" s="54"/>
      <c r="I301" s="54"/>
      <c r="J301" s="120">
        <f t="shared" si="173"/>
        <v>-15</v>
      </c>
      <c r="K301" s="66">
        <f t="shared" si="174"/>
        <v>553000</v>
      </c>
      <c r="L301" s="56">
        <f t="shared" si="175"/>
        <v>0</v>
      </c>
      <c r="M301" s="66">
        <f t="shared" si="176"/>
        <v>0</v>
      </c>
      <c r="N301" s="66">
        <f t="shared" si="177"/>
        <v>0</v>
      </c>
      <c r="O301" s="66">
        <f t="shared" si="178"/>
        <v>0</v>
      </c>
      <c r="P301" s="39"/>
      <c r="Q301" s="53"/>
      <c r="R301" s="1"/>
      <c r="S301" s="1"/>
      <c r="T301" s="53"/>
      <c r="U301" s="1"/>
      <c r="V301" s="1"/>
      <c r="W301" s="53"/>
      <c r="X301" s="1"/>
    </row>
    <row r="302" spans="1:24">
      <c r="A302" s="391"/>
      <c r="B302" s="115">
        <v>547000</v>
      </c>
      <c r="C302" s="1"/>
      <c r="D302" s="114">
        <v>44181</v>
      </c>
      <c r="E302" s="1">
        <v>30</v>
      </c>
      <c r="F302" s="32">
        <f t="shared" si="180"/>
        <v>44211</v>
      </c>
      <c r="G302" s="54"/>
      <c r="H302" s="54"/>
      <c r="I302" s="54"/>
      <c r="J302" s="120">
        <f t="shared" si="173"/>
        <v>-15</v>
      </c>
      <c r="K302" s="66">
        <f t="shared" si="174"/>
        <v>547000</v>
      </c>
      <c r="L302" s="56">
        <f t="shared" si="175"/>
        <v>0</v>
      </c>
      <c r="M302" s="66">
        <f t="shared" si="176"/>
        <v>0</v>
      </c>
      <c r="N302" s="66">
        <f t="shared" si="177"/>
        <v>0</v>
      </c>
      <c r="O302" s="66">
        <f t="shared" si="178"/>
        <v>0</v>
      </c>
      <c r="P302" s="39"/>
      <c r="Q302" s="53"/>
      <c r="R302" s="1"/>
      <c r="S302" s="1"/>
      <c r="T302" s="53"/>
      <c r="U302" s="1"/>
      <c r="V302" s="1"/>
      <c r="W302" s="53"/>
      <c r="X302" s="1"/>
    </row>
    <row r="303" spans="1:24">
      <c r="A303" s="386" t="s">
        <v>36</v>
      </c>
      <c r="B303" s="25">
        <v>216203625</v>
      </c>
      <c r="C303" s="1"/>
      <c r="D303" s="32"/>
      <c r="E303" s="1"/>
      <c r="F303" s="32"/>
      <c r="G303" s="54">
        <f>B303</f>
        <v>216203625</v>
      </c>
      <c r="H303" s="54"/>
      <c r="I303" s="54"/>
      <c r="J303" s="119"/>
      <c r="K303" s="66"/>
      <c r="L303" s="56"/>
      <c r="M303" s="66"/>
      <c r="N303" s="66"/>
      <c r="O303" s="66"/>
      <c r="P303" s="39"/>
      <c r="Q303" s="53"/>
      <c r="R303" s="1"/>
      <c r="S303" s="1"/>
      <c r="T303" s="53"/>
      <c r="U303" s="1"/>
      <c r="V303" s="1"/>
      <c r="W303" s="53"/>
      <c r="X303" s="1"/>
    </row>
    <row r="304" spans="1:24">
      <c r="A304" s="386"/>
      <c r="B304" s="26">
        <v>31024125</v>
      </c>
      <c r="C304" s="1"/>
      <c r="D304" s="32">
        <v>44123</v>
      </c>
      <c r="E304" s="1">
        <v>30</v>
      </c>
      <c r="F304" s="32">
        <f t="shared" ref="F304:F311" si="181">D304+E304</f>
        <v>44153</v>
      </c>
      <c r="G304" s="54"/>
      <c r="H304" s="54"/>
      <c r="I304" s="54"/>
      <c r="J304" s="120">
        <f t="shared" ref="J304:J311" si="182">$A$3-F304</f>
        <v>43</v>
      </c>
      <c r="K304" s="66">
        <f t="shared" ref="K304:K311" si="183">IF(J304&lt;=0,B304,0)</f>
        <v>0</v>
      </c>
      <c r="L304" s="56">
        <f t="shared" ref="L304:L311" si="184">IF(AND(J304&gt;=1,J304&lt;=30),B304,0)</f>
        <v>0</v>
      </c>
      <c r="M304" s="66">
        <f t="shared" ref="M304:M311" si="185">IF(AND(J304&gt;=31,J304&lt;=60),B304,0)</f>
        <v>31024125</v>
      </c>
      <c r="N304" s="66">
        <f t="shared" ref="N304:N311" si="186">IF(AND(J304&gt;=61,J304&lt;=90),B304,0)</f>
        <v>0</v>
      </c>
      <c r="O304" s="66">
        <f t="shared" ref="O304:O311" si="187">IF(J304&gt;90,B304,0)</f>
        <v>0</v>
      </c>
      <c r="P304" s="39">
        <v>31024125</v>
      </c>
      <c r="Q304" s="53">
        <v>44210</v>
      </c>
      <c r="R304" s="1"/>
      <c r="S304" s="1"/>
      <c r="T304" s="53"/>
      <c r="U304" s="1"/>
      <c r="V304" s="1"/>
      <c r="W304" s="53"/>
      <c r="X304" s="1"/>
    </row>
    <row r="305" spans="1:24">
      <c r="A305" s="386"/>
      <c r="B305" s="26">
        <v>3130875</v>
      </c>
      <c r="C305" s="1"/>
      <c r="D305" s="32">
        <v>44130</v>
      </c>
      <c r="E305" s="1">
        <v>30</v>
      </c>
      <c r="F305" s="32">
        <f t="shared" si="181"/>
        <v>44160</v>
      </c>
      <c r="G305" s="54"/>
      <c r="H305" s="54"/>
      <c r="I305" s="54"/>
      <c r="J305" s="120">
        <f t="shared" si="182"/>
        <v>36</v>
      </c>
      <c r="K305" s="66">
        <f t="shared" si="183"/>
        <v>0</v>
      </c>
      <c r="L305" s="56">
        <f t="shared" si="184"/>
        <v>0</v>
      </c>
      <c r="M305" s="66">
        <f t="shared" si="185"/>
        <v>3130875</v>
      </c>
      <c r="N305" s="66">
        <f t="shared" si="186"/>
        <v>0</v>
      </c>
      <c r="O305" s="66">
        <f t="shared" si="187"/>
        <v>0</v>
      </c>
      <c r="P305" s="39">
        <v>3130875</v>
      </c>
      <c r="Q305" s="53">
        <v>44221</v>
      </c>
      <c r="R305" s="1"/>
      <c r="S305" s="1"/>
      <c r="T305" s="53"/>
      <c r="U305" s="1"/>
      <c r="V305" s="1"/>
      <c r="W305" s="53"/>
      <c r="X305" s="1"/>
    </row>
    <row r="306" spans="1:24">
      <c r="A306" s="386"/>
      <c r="B306" s="26">
        <v>34177000</v>
      </c>
      <c r="C306" s="1"/>
      <c r="D306" s="32">
        <v>44130</v>
      </c>
      <c r="E306" s="1">
        <v>30</v>
      </c>
      <c r="F306" s="32">
        <f t="shared" si="181"/>
        <v>44160</v>
      </c>
      <c r="G306" s="54"/>
      <c r="H306" s="54"/>
      <c r="I306" s="54"/>
      <c r="J306" s="120">
        <f t="shared" si="182"/>
        <v>36</v>
      </c>
      <c r="K306" s="66">
        <f t="shared" si="183"/>
        <v>0</v>
      </c>
      <c r="L306" s="56">
        <f t="shared" si="184"/>
        <v>0</v>
      </c>
      <c r="M306" s="66">
        <f t="shared" si="185"/>
        <v>34177000</v>
      </c>
      <c r="N306" s="66">
        <f t="shared" si="186"/>
        <v>0</v>
      </c>
      <c r="O306" s="66">
        <f t="shared" si="187"/>
        <v>0</v>
      </c>
      <c r="P306" s="39">
        <v>34177000</v>
      </c>
      <c r="Q306" s="53">
        <v>44221</v>
      </c>
      <c r="R306" s="1"/>
      <c r="S306" s="1"/>
      <c r="T306" s="53"/>
      <c r="U306" s="1"/>
      <c r="V306" s="1"/>
      <c r="W306" s="53"/>
      <c r="X306" s="1"/>
    </row>
    <row r="307" spans="1:24">
      <c r="A307" s="386"/>
      <c r="B307" s="26">
        <v>36815625</v>
      </c>
      <c r="C307" s="1"/>
      <c r="D307" s="32">
        <v>44137</v>
      </c>
      <c r="E307" s="1">
        <v>30</v>
      </c>
      <c r="F307" s="32">
        <f t="shared" si="181"/>
        <v>44167</v>
      </c>
      <c r="G307" s="54"/>
      <c r="H307" s="54"/>
      <c r="I307" s="54"/>
      <c r="J307" s="120">
        <f t="shared" si="182"/>
        <v>29</v>
      </c>
      <c r="K307" s="66">
        <f t="shared" si="183"/>
        <v>0</v>
      </c>
      <c r="L307" s="56">
        <f t="shared" si="184"/>
        <v>36815625</v>
      </c>
      <c r="M307" s="66">
        <f t="shared" si="185"/>
        <v>0</v>
      </c>
      <c r="N307" s="66">
        <f t="shared" si="186"/>
        <v>0</v>
      </c>
      <c r="O307" s="66">
        <f t="shared" si="187"/>
        <v>0</v>
      </c>
      <c r="P307" s="39">
        <v>36815625</v>
      </c>
      <c r="Q307" s="53">
        <v>44204</v>
      </c>
      <c r="R307" s="1"/>
      <c r="S307" s="1"/>
      <c r="T307" s="53"/>
      <c r="U307" s="1"/>
      <c r="V307" s="1"/>
      <c r="W307" s="53"/>
      <c r="X307" s="1"/>
    </row>
    <row r="308" spans="1:24">
      <c r="A308" s="386"/>
      <c r="B308" s="26">
        <v>4433000</v>
      </c>
      <c r="C308" s="1"/>
      <c r="D308" s="32">
        <v>44142</v>
      </c>
      <c r="E308" s="1">
        <v>30</v>
      </c>
      <c r="F308" s="32">
        <f t="shared" si="181"/>
        <v>44172</v>
      </c>
      <c r="G308" s="54"/>
      <c r="H308" s="54"/>
      <c r="I308" s="54"/>
      <c r="J308" s="120">
        <f t="shared" si="182"/>
        <v>24</v>
      </c>
      <c r="K308" s="66">
        <f t="shared" si="183"/>
        <v>0</v>
      </c>
      <c r="L308" s="56">
        <f t="shared" si="184"/>
        <v>4433000</v>
      </c>
      <c r="M308" s="66">
        <f t="shared" si="185"/>
        <v>0</v>
      </c>
      <c r="N308" s="66">
        <f t="shared" si="186"/>
        <v>0</v>
      </c>
      <c r="O308" s="66">
        <f t="shared" si="187"/>
        <v>0</v>
      </c>
      <c r="P308" s="39">
        <v>4433000</v>
      </c>
      <c r="Q308" s="53">
        <v>44204</v>
      </c>
      <c r="R308" s="1"/>
      <c r="S308" s="1"/>
      <c r="T308" s="53"/>
      <c r="U308" s="1"/>
      <c r="V308" s="1"/>
      <c r="W308" s="53"/>
      <c r="X308" s="1"/>
    </row>
    <row r="309" spans="1:24">
      <c r="A309" s="386"/>
      <c r="B309" s="26">
        <v>37323000</v>
      </c>
      <c r="C309" s="1"/>
      <c r="D309" s="32">
        <v>44155</v>
      </c>
      <c r="E309" s="1">
        <v>30</v>
      </c>
      <c r="F309" s="32">
        <f t="shared" si="181"/>
        <v>44185</v>
      </c>
      <c r="G309" s="54"/>
      <c r="H309" s="54"/>
      <c r="I309" s="54"/>
      <c r="J309" s="120">
        <f t="shared" si="182"/>
        <v>11</v>
      </c>
      <c r="K309" s="66">
        <f t="shared" si="183"/>
        <v>0</v>
      </c>
      <c r="L309" s="56">
        <f t="shared" si="184"/>
        <v>37323000</v>
      </c>
      <c r="M309" s="66">
        <f t="shared" si="185"/>
        <v>0</v>
      </c>
      <c r="N309" s="66">
        <f t="shared" si="186"/>
        <v>0</v>
      </c>
      <c r="O309" s="66">
        <f t="shared" si="187"/>
        <v>0</v>
      </c>
      <c r="P309" s="39">
        <v>37323000</v>
      </c>
      <c r="Q309" s="53">
        <v>44229</v>
      </c>
      <c r="R309" s="1"/>
      <c r="S309" s="1"/>
      <c r="T309" s="53"/>
      <c r="U309" s="1"/>
      <c r="V309" s="1"/>
      <c r="W309" s="53"/>
      <c r="X309" s="1"/>
    </row>
    <row r="310" spans="1:24">
      <c r="A310" s="386"/>
      <c r="B310" s="26">
        <v>34650000</v>
      </c>
      <c r="C310" s="1"/>
      <c r="D310" s="32">
        <v>44166</v>
      </c>
      <c r="E310" s="1">
        <v>30</v>
      </c>
      <c r="F310" s="32">
        <f t="shared" si="181"/>
        <v>44196</v>
      </c>
      <c r="G310" s="54"/>
      <c r="H310" s="54"/>
      <c r="I310" s="54"/>
      <c r="J310" s="120">
        <f t="shared" si="182"/>
        <v>0</v>
      </c>
      <c r="K310" s="66">
        <f t="shared" si="183"/>
        <v>34650000</v>
      </c>
      <c r="L310" s="56">
        <f t="shared" si="184"/>
        <v>0</v>
      </c>
      <c r="M310" s="66">
        <f t="shared" si="185"/>
        <v>0</v>
      </c>
      <c r="N310" s="66">
        <f t="shared" si="186"/>
        <v>0</v>
      </c>
      <c r="O310" s="66">
        <f t="shared" si="187"/>
        <v>0</v>
      </c>
      <c r="P310" s="39">
        <v>34650000</v>
      </c>
      <c r="Q310" s="53">
        <v>44232</v>
      </c>
      <c r="R310" s="1"/>
      <c r="S310" s="1"/>
      <c r="T310" s="53"/>
      <c r="U310" s="1"/>
      <c r="V310" s="1"/>
      <c r="W310" s="53"/>
      <c r="X310" s="1"/>
    </row>
    <row r="311" spans="1:24">
      <c r="A311" s="386"/>
      <c r="B311" s="26">
        <v>34650000</v>
      </c>
      <c r="C311" s="1"/>
      <c r="D311" s="32">
        <v>44173</v>
      </c>
      <c r="E311" s="1">
        <v>30</v>
      </c>
      <c r="F311" s="32">
        <f t="shared" si="181"/>
        <v>44203</v>
      </c>
      <c r="G311" s="54"/>
      <c r="H311" s="54"/>
      <c r="I311" s="54"/>
      <c r="J311" s="120">
        <f t="shared" si="182"/>
        <v>-7</v>
      </c>
      <c r="K311" s="66">
        <f t="shared" si="183"/>
        <v>34650000</v>
      </c>
      <c r="L311" s="56">
        <f t="shared" si="184"/>
        <v>0</v>
      </c>
      <c r="M311" s="66">
        <f t="shared" si="185"/>
        <v>0</v>
      </c>
      <c r="N311" s="66">
        <f t="shared" si="186"/>
        <v>0</v>
      </c>
      <c r="O311" s="66">
        <f t="shared" si="187"/>
        <v>0</v>
      </c>
      <c r="P311" s="39">
        <v>34650000</v>
      </c>
      <c r="Q311" s="53">
        <v>44242</v>
      </c>
      <c r="R311" s="1"/>
      <c r="S311" s="1"/>
      <c r="T311" s="53"/>
      <c r="U311" s="1"/>
      <c r="V311" s="1"/>
      <c r="W311" s="53"/>
      <c r="X311" s="1"/>
    </row>
    <row r="312" spans="1:24">
      <c r="A312" s="387" t="s">
        <v>37</v>
      </c>
      <c r="B312" s="25">
        <v>733820744</v>
      </c>
      <c r="C312" s="1"/>
      <c r="D312" s="32"/>
      <c r="E312" s="1"/>
      <c r="F312" s="32"/>
      <c r="G312" s="54">
        <f>B312</f>
        <v>733820744</v>
      </c>
      <c r="H312" s="54"/>
      <c r="I312" s="54"/>
      <c r="J312" s="119"/>
      <c r="K312" s="66"/>
      <c r="L312" s="56"/>
      <c r="M312" s="66"/>
      <c r="N312" s="66"/>
      <c r="O312" s="66"/>
      <c r="P312" s="39"/>
      <c r="Q312" s="53"/>
      <c r="R312" s="1"/>
      <c r="S312" s="1"/>
      <c r="T312" s="53"/>
      <c r="U312" s="1"/>
      <c r="V312" s="1"/>
      <c r="W312" s="53"/>
      <c r="X312" s="1"/>
    </row>
    <row r="313" spans="1:24">
      <c r="A313" s="387"/>
      <c r="B313" s="26">
        <v>77884299</v>
      </c>
      <c r="C313" s="1"/>
      <c r="D313" s="32">
        <v>44176</v>
      </c>
      <c r="E313" s="1">
        <v>30</v>
      </c>
      <c r="F313" s="32">
        <f t="shared" ref="F313:F320" si="188">D313+E313</f>
        <v>44206</v>
      </c>
      <c r="G313" s="54"/>
      <c r="H313" s="54"/>
      <c r="I313" s="54"/>
      <c r="J313" s="120">
        <f t="shared" ref="J313:J320" si="189">$A$3-F313</f>
        <v>-10</v>
      </c>
      <c r="K313" s="66">
        <f t="shared" ref="K313:K320" si="190">IF(J313&lt;=0,B313,0)</f>
        <v>77884299</v>
      </c>
      <c r="L313" s="56">
        <f t="shared" ref="L313:L320" si="191">IF(AND(J313&gt;=1,J313&lt;=30),B313,0)</f>
        <v>0</v>
      </c>
      <c r="M313" s="66">
        <f t="shared" ref="M313:M320" si="192">IF(AND(J313&gt;=31,J313&lt;=60),B313,0)</f>
        <v>0</v>
      </c>
      <c r="N313" s="66">
        <f t="shared" ref="N313:N320" si="193">IF(AND(J313&gt;=61,J313&lt;=90),B313,0)</f>
        <v>0</v>
      </c>
      <c r="O313" s="66">
        <f t="shared" ref="O313:O320" si="194">IF(J313&gt;90,B313,0)</f>
        <v>0</v>
      </c>
      <c r="P313" s="39">
        <v>77884299</v>
      </c>
      <c r="Q313" s="53">
        <v>44201</v>
      </c>
      <c r="R313" s="1"/>
      <c r="S313" s="1"/>
      <c r="T313" s="53"/>
      <c r="U313" s="1"/>
      <c r="V313" s="1"/>
      <c r="W313" s="53"/>
      <c r="X313" s="1"/>
    </row>
    <row r="314" spans="1:24">
      <c r="A314" s="387"/>
      <c r="B314" s="26">
        <v>89806662</v>
      </c>
      <c r="C314" s="1"/>
      <c r="D314" s="32">
        <v>44176</v>
      </c>
      <c r="E314" s="1">
        <v>30</v>
      </c>
      <c r="F314" s="32">
        <f t="shared" si="188"/>
        <v>44206</v>
      </c>
      <c r="G314" s="54"/>
      <c r="H314" s="54"/>
      <c r="I314" s="54"/>
      <c r="J314" s="120">
        <f t="shared" si="189"/>
        <v>-10</v>
      </c>
      <c r="K314" s="66">
        <f t="shared" si="190"/>
        <v>89806662</v>
      </c>
      <c r="L314" s="56">
        <f t="shared" si="191"/>
        <v>0</v>
      </c>
      <c r="M314" s="66">
        <f t="shared" si="192"/>
        <v>0</v>
      </c>
      <c r="N314" s="66">
        <f t="shared" si="193"/>
        <v>0</v>
      </c>
      <c r="O314" s="66">
        <f t="shared" si="194"/>
        <v>0</v>
      </c>
      <c r="P314" s="39">
        <v>89806662</v>
      </c>
      <c r="Q314" s="53">
        <v>44201</v>
      </c>
      <c r="R314" s="1"/>
      <c r="S314" s="1"/>
      <c r="T314" s="53"/>
      <c r="U314" s="1"/>
      <c r="V314" s="1"/>
      <c r="W314" s="53"/>
      <c r="X314" s="1"/>
    </row>
    <row r="315" spans="1:24">
      <c r="A315" s="387"/>
      <c r="B315" s="26">
        <v>105908688</v>
      </c>
      <c r="C315" s="1"/>
      <c r="D315" s="32">
        <v>44177</v>
      </c>
      <c r="E315" s="1">
        <v>30</v>
      </c>
      <c r="F315" s="32">
        <f t="shared" si="188"/>
        <v>44207</v>
      </c>
      <c r="G315" s="54"/>
      <c r="H315" s="54"/>
      <c r="I315" s="54"/>
      <c r="J315" s="120">
        <f t="shared" si="189"/>
        <v>-11</v>
      </c>
      <c r="K315" s="66">
        <f t="shared" si="190"/>
        <v>105908688</v>
      </c>
      <c r="L315" s="56">
        <f t="shared" si="191"/>
        <v>0</v>
      </c>
      <c r="M315" s="66">
        <f t="shared" si="192"/>
        <v>0</v>
      </c>
      <c r="N315" s="66">
        <f t="shared" si="193"/>
        <v>0</v>
      </c>
      <c r="O315" s="66">
        <f t="shared" si="194"/>
        <v>0</v>
      </c>
      <c r="P315" s="39">
        <v>105908688</v>
      </c>
      <c r="Q315" s="53">
        <v>44201</v>
      </c>
      <c r="R315" s="1"/>
      <c r="S315" s="1"/>
      <c r="T315" s="53"/>
      <c r="U315" s="1"/>
      <c r="V315" s="1"/>
      <c r="W315" s="53"/>
      <c r="X315" s="1"/>
    </row>
    <row r="316" spans="1:24">
      <c r="A316" s="387"/>
      <c r="B316" s="26">
        <v>63100613</v>
      </c>
      <c r="C316" s="1"/>
      <c r="D316" s="32">
        <v>44191</v>
      </c>
      <c r="E316" s="1">
        <v>30</v>
      </c>
      <c r="F316" s="32">
        <f t="shared" si="188"/>
        <v>44221</v>
      </c>
      <c r="G316" s="54"/>
      <c r="H316" s="54"/>
      <c r="I316" s="54"/>
      <c r="J316" s="120">
        <f t="shared" si="189"/>
        <v>-25</v>
      </c>
      <c r="K316" s="66">
        <f t="shared" si="190"/>
        <v>63100613</v>
      </c>
      <c r="L316" s="56">
        <f t="shared" si="191"/>
        <v>0</v>
      </c>
      <c r="M316" s="66">
        <f t="shared" si="192"/>
        <v>0</v>
      </c>
      <c r="N316" s="66">
        <f t="shared" si="193"/>
        <v>0</v>
      </c>
      <c r="O316" s="66">
        <f t="shared" si="194"/>
        <v>0</v>
      </c>
      <c r="P316" s="39">
        <v>63100613</v>
      </c>
      <c r="Q316" s="53">
        <v>44202</v>
      </c>
      <c r="R316" s="1"/>
      <c r="S316" s="1"/>
      <c r="T316" s="53"/>
      <c r="U316" s="1"/>
      <c r="V316" s="1"/>
      <c r="W316" s="53"/>
      <c r="X316" s="1"/>
    </row>
    <row r="317" spans="1:24">
      <c r="A317" s="387"/>
      <c r="B317" s="26">
        <v>73930341</v>
      </c>
      <c r="C317" s="1"/>
      <c r="D317" s="32">
        <v>44191</v>
      </c>
      <c r="E317" s="1">
        <v>30</v>
      </c>
      <c r="F317" s="32">
        <f t="shared" si="188"/>
        <v>44221</v>
      </c>
      <c r="G317" s="54"/>
      <c r="H317" s="54"/>
      <c r="I317" s="54"/>
      <c r="J317" s="120">
        <f t="shared" si="189"/>
        <v>-25</v>
      </c>
      <c r="K317" s="66">
        <f t="shared" si="190"/>
        <v>73930341</v>
      </c>
      <c r="L317" s="56">
        <f t="shared" si="191"/>
        <v>0</v>
      </c>
      <c r="M317" s="66">
        <f t="shared" si="192"/>
        <v>0</v>
      </c>
      <c r="N317" s="66">
        <f t="shared" si="193"/>
        <v>0</v>
      </c>
      <c r="O317" s="66">
        <f t="shared" si="194"/>
        <v>0</v>
      </c>
      <c r="P317" s="39">
        <v>73930341</v>
      </c>
      <c r="Q317" s="53">
        <v>44202</v>
      </c>
      <c r="R317" s="1"/>
      <c r="S317" s="1"/>
      <c r="T317" s="53"/>
      <c r="U317" s="1"/>
      <c r="V317" s="1"/>
      <c r="W317" s="53"/>
      <c r="X317" s="1"/>
    </row>
    <row r="318" spans="1:24">
      <c r="A318" s="387"/>
      <c r="B318" s="26">
        <v>101103042</v>
      </c>
      <c r="C318" s="1"/>
      <c r="D318" s="32">
        <v>44193</v>
      </c>
      <c r="E318" s="1">
        <v>30</v>
      </c>
      <c r="F318" s="32">
        <f t="shared" si="188"/>
        <v>44223</v>
      </c>
      <c r="G318" s="54"/>
      <c r="H318" s="54"/>
      <c r="I318" s="54"/>
      <c r="J318" s="120">
        <f t="shared" si="189"/>
        <v>-27</v>
      </c>
      <c r="K318" s="66">
        <f t="shared" si="190"/>
        <v>101103042</v>
      </c>
      <c r="L318" s="56">
        <f t="shared" si="191"/>
        <v>0</v>
      </c>
      <c r="M318" s="66">
        <f t="shared" si="192"/>
        <v>0</v>
      </c>
      <c r="N318" s="66">
        <f t="shared" si="193"/>
        <v>0</v>
      </c>
      <c r="O318" s="66">
        <f t="shared" si="194"/>
        <v>0</v>
      </c>
      <c r="P318" s="39">
        <v>101103042</v>
      </c>
      <c r="Q318" s="53">
        <v>44204</v>
      </c>
      <c r="R318" s="1"/>
      <c r="S318" s="1"/>
      <c r="T318" s="53"/>
      <c r="U318" s="1"/>
      <c r="V318" s="1"/>
      <c r="W318" s="53"/>
      <c r="X318" s="1"/>
    </row>
    <row r="319" spans="1:24">
      <c r="A319" s="387"/>
      <c r="B319" s="26">
        <v>222087099</v>
      </c>
      <c r="C319" s="1"/>
      <c r="D319" s="32">
        <v>44196</v>
      </c>
      <c r="E319" s="1">
        <v>30</v>
      </c>
      <c r="F319" s="32">
        <f t="shared" si="188"/>
        <v>44226</v>
      </c>
      <c r="G319" s="54"/>
      <c r="H319" s="54"/>
      <c r="I319" s="54"/>
      <c r="J319" s="120">
        <f t="shared" si="189"/>
        <v>-30</v>
      </c>
      <c r="K319" s="66">
        <f t="shared" si="190"/>
        <v>222087099</v>
      </c>
      <c r="L319" s="56">
        <f t="shared" si="191"/>
        <v>0</v>
      </c>
      <c r="M319" s="66">
        <f t="shared" si="192"/>
        <v>0</v>
      </c>
      <c r="N319" s="66">
        <f t="shared" si="193"/>
        <v>0</v>
      </c>
      <c r="O319" s="66">
        <f t="shared" si="194"/>
        <v>0</v>
      </c>
      <c r="P319" s="39">
        <v>222087099</v>
      </c>
      <c r="Q319" s="53">
        <v>44204</v>
      </c>
      <c r="R319" s="1"/>
      <c r="S319" s="1"/>
      <c r="T319" s="53"/>
      <c r="U319" s="1"/>
      <c r="V319" s="1"/>
      <c r="W319" s="53"/>
      <c r="X319" s="1"/>
    </row>
    <row r="320" spans="1:24">
      <c r="A320" s="5" t="s">
        <v>38</v>
      </c>
      <c r="B320" s="25">
        <v>52484960</v>
      </c>
      <c r="C320" s="1"/>
      <c r="D320" s="32">
        <v>44195</v>
      </c>
      <c r="E320" s="1">
        <v>30</v>
      </c>
      <c r="F320" s="32">
        <f t="shared" si="188"/>
        <v>44225</v>
      </c>
      <c r="G320" s="54">
        <f>B320</f>
        <v>52484960</v>
      </c>
      <c r="H320" s="54"/>
      <c r="I320" s="54"/>
      <c r="J320" s="120">
        <f t="shared" si="189"/>
        <v>-29</v>
      </c>
      <c r="K320" s="66">
        <f t="shared" si="190"/>
        <v>52484960</v>
      </c>
      <c r="L320" s="56">
        <f t="shared" si="191"/>
        <v>0</v>
      </c>
      <c r="M320" s="66">
        <f t="shared" si="192"/>
        <v>0</v>
      </c>
      <c r="N320" s="66">
        <f t="shared" si="193"/>
        <v>0</v>
      </c>
      <c r="O320" s="66">
        <f t="shared" si="194"/>
        <v>0</v>
      </c>
      <c r="P320" s="39">
        <v>52484960</v>
      </c>
      <c r="Q320" s="53">
        <v>44201</v>
      </c>
      <c r="R320" s="1"/>
      <c r="S320" s="1"/>
      <c r="T320" s="53"/>
      <c r="U320" s="1"/>
      <c r="V320" s="1"/>
      <c r="W320" s="53"/>
      <c r="X320" s="1"/>
    </row>
    <row r="321" spans="1:24">
      <c r="A321" s="387" t="s">
        <v>39</v>
      </c>
      <c r="B321" s="25">
        <v>402131092</v>
      </c>
      <c r="C321" s="1"/>
      <c r="D321" s="32"/>
      <c r="E321" s="1"/>
      <c r="F321" s="32"/>
      <c r="G321" s="54">
        <f>B321</f>
        <v>402131092</v>
      </c>
      <c r="H321" s="54"/>
      <c r="I321" s="54"/>
      <c r="J321" s="119"/>
      <c r="K321" s="66"/>
      <c r="L321" s="56"/>
      <c r="M321" s="66"/>
      <c r="N321" s="66"/>
      <c r="O321" s="66"/>
      <c r="P321" s="39"/>
      <c r="Q321" s="53"/>
      <c r="R321" s="1"/>
      <c r="S321" s="1"/>
      <c r="T321" s="53"/>
      <c r="U321" s="1"/>
      <c r="V321" s="1"/>
      <c r="W321" s="53"/>
      <c r="X321" s="1"/>
    </row>
    <row r="322" spans="1:24">
      <c r="A322" s="387"/>
      <c r="B322" s="26">
        <v>181028657</v>
      </c>
      <c r="C322" s="1"/>
      <c r="D322" s="32">
        <v>44193</v>
      </c>
      <c r="E322" s="1">
        <v>30</v>
      </c>
      <c r="F322" s="32">
        <f t="shared" ref="F322:F323" si="195">D322+E322</f>
        <v>44223</v>
      </c>
      <c r="G322" s="54"/>
      <c r="H322" s="54"/>
      <c r="I322" s="54"/>
      <c r="J322" s="120">
        <f t="shared" ref="J322:J323" si="196">$A$3-F322</f>
        <v>-27</v>
      </c>
      <c r="K322" s="66">
        <f t="shared" ref="K322:K323" si="197">IF(J322&lt;=0,B322,0)</f>
        <v>181028657</v>
      </c>
      <c r="L322" s="56">
        <f t="shared" ref="L322:L323" si="198">IF(AND(J322&gt;=1,J322&lt;=30),B322,0)</f>
        <v>0</v>
      </c>
      <c r="M322" s="66">
        <f t="shared" ref="M322:M323" si="199">IF(AND(J322&gt;=31,J322&lt;=60),B322,0)</f>
        <v>0</v>
      </c>
      <c r="N322" s="66">
        <f t="shared" ref="N322:N323" si="200">IF(AND(J322&gt;=61,J322&lt;=90),B322,0)</f>
        <v>0</v>
      </c>
      <c r="O322" s="66">
        <f t="shared" ref="O322:O323" si="201">IF(J322&gt;90,B322,0)</f>
        <v>0</v>
      </c>
      <c r="P322" s="39">
        <v>181028657</v>
      </c>
      <c r="Q322" s="53">
        <v>44202</v>
      </c>
      <c r="R322" s="1"/>
      <c r="S322" s="1"/>
      <c r="T322" s="53"/>
      <c r="U322" s="1"/>
      <c r="V322" s="1"/>
      <c r="W322" s="53"/>
      <c r="X322" s="1"/>
    </row>
    <row r="323" spans="1:24">
      <c r="A323" s="387"/>
      <c r="B323" s="26">
        <v>221102435</v>
      </c>
      <c r="C323" s="1"/>
      <c r="D323" s="32">
        <v>44195</v>
      </c>
      <c r="E323" s="1">
        <v>30</v>
      </c>
      <c r="F323" s="32">
        <f t="shared" si="195"/>
        <v>44225</v>
      </c>
      <c r="G323" s="54"/>
      <c r="H323" s="54"/>
      <c r="I323" s="54"/>
      <c r="J323" s="120">
        <f t="shared" si="196"/>
        <v>-29</v>
      </c>
      <c r="K323" s="66">
        <f t="shared" si="197"/>
        <v>221102435</v>
      </c>
      <c r="L323" s="56">
        <f t="shared" si="198"/>
        <v>0</v>
      </c>
      <c r="M323" s="66">
        <f t="shared" si="199"/>
        <v>0</v>
      </c>
      <c r="N323" s="66">
        <f t="shared" si="200"/>
        <v>0</v>
      </c>
      <c r="O323" s="66">
        <f t="shared" si="201"/>
        <v>0</v>
      </c>
      <c r="P323" s="39">
        <v>221102435</v>
      </c>
      <c r="Q323" s="53">
        <v>44203</v>
      </c>
      <c r="R323" s="1"/>
      <c r="S323" s="1"/>
      <c r="T323" s="53"/>
      <c r="U323" s="1"/>
      <c r="V323" s="1"/>
      <c r="W323" s="53"/>
      <c r="X323" s="1"/>
    </row>
    <row r="324" spans="1:24">
      <c r="A324" s="387" t="s">
        <v>40</v>
      </c>
      <c r="B324" s="25">
        <v>568338557</v>
      </c>
      <c r="C324" s="1"/>
      <c r="D324" s="32"/>
      <c r="E324" s="1"/>
      <c r="F324" s="32"/>
      <c r="G324" s="54">
        <f>B324</f>
        <v>568338557</v>
      </c>
      <c r="H324" s="54"/>
      <c r="I324" s="54"/>
      <c r="J324" s="119"/>
      <c r="K324" s="66"/>
      <c r="L324" s="56"/>
      <c r="M324" s="66"/>
      <c r="N324" s="66"/>
      <c r="O324" s="66"/>
      <c r="P324" s="39"/>
      <c r="Q324" s="53"/>
      <c r="R324" s="1"/>
      <c r="S324" s="1"/>
      <c r="T324" s="53"/>
      <c r="U324" s="1"/>
      <c r="V324" s="1"/>
      <c r="W324" s="53"/>
      <c r="X324" s="1"/>
    </row>
    <row r="325" spans="1:24">
      <c r="A325" s="387"/>
      <c r="B325" s="26">
        <v>242622863</v>
      </c>
      <c r="C325" s="1"/>
      <c r="D325" s="32">
        <v>44187</v>
      </c>
      <c r="E325" s="1">
        <v>30</v>
      </c>
      <c r="F325" s="32">
        <f t="shared" ref="F325:F327" si="202">D325+E325</f>
        <v>44217</v>
      </c>
      <c r="G325" s="54"/>
      <c r="H325" s="54"/>
      <c r="I325" s="54"/>
      <c r="J325" s="120">
        <f t="shared" ref="J325:J327" si="203">$A$3-F325</f>
        <v>-21</v>
      </c>
      <c r="K325" s="66">
        <f t="shared" ref="K325:K327" si="204">IF(J325&lt;=0,B325,0)</f>
        <v>242622863</v>
      </c>
      <c r="L325" s="56">
        <f t="shared" ref="L325:L327" si="205">IF(AND(J325&gt;=1,J325&lt;=30),B325,0)</f>
        <v>0</v>
      </c>
      <c r="M325" s="66">
        <f t="shared" ref="M325:M327" si="206">IF(AND(J325&gt;=31,J325&lt;=60),B325,0)</f>
        <v>0</v>
      </c>
      <c r="N325" s="66">
        <f t="shared" ref="N325:N327" si="207">IF(AND(J325&gt;=61,J325&lt;=90),B325,0)</f>
        <v>0</v>
      </c>
      <c r="O325" s="66">
        <f t="shared" ref="O325:O327" si="208">IF(J325&gt;90,B325,0)</f>
        <v>0</v>
      </c>
      <c r="P325" s="39">
        <v>242622862</v>
      </c>
      <c r="Q325" s="53">
        <v>44202</v>
      </c>
      <c r="R325" s="1"/>
      <c r="S325" s="1"/>
      <c r="T325" s="53"/>
      <c r="U325" s="1"/>
      <c r="V325" s="1"/>
      <c r="W325" s="53"/>
      <c r="X325" s="1"/>
    </row>
    <row r="326" spans="1:24">
      <c r="A326" s="387"/>
      <c r="B326" s="26">
        <v>136371511</v>
      </c>
      <c r="C326" s="1"/>
      <c r="D326" s="32">
        <v>44190</v>
      </c>
      <c r="E326" s="1">
        <v>30</v>
      </c>
      <c r="F326" s="32">
        <f t="shared" si="202"/>
        <v>44220</v>
      </c>
      <c r="G326" s="54"/>
      <c r="H326" s="54"/>
      <c r="I326" s="54"/>
      <c r="J326" s="120">
        <f t="shared" si="203"/>
        <v>-24</v>
      </c>
      <c r="K326" s="66">
        <f t="shared" si="204"/>
        <v>136371511</v>
      </c>
      <c r="L326" s="56">
        <f t="shared" si="205"/>
        <v>0</v>
      </c>
      <c r="M326" s="66">
        <f t="shared" si="206"/>
        <v>0</v>
      </c>
      <c r="N326" s="66">
        <f t="shared" si="207"/>
        <v>0</v>
      </c>
      <c r="O326" s="66">
        <f t="shared" si="208"/>
        <v>0</v>
      </c>
      <c r="P326" s="39">
        <v>136371510</v>
      </c>
      <c r="Q326" s="53">
        <v>44202</v>
      </c>
      <c r="R326" s="1"/>
      <c r="S326" s="1"/>
      <c r="T326" s="53"/>
      <c r="U326" s="1"/>
      <c r="V326" s="1"/>
      <c r="W326" s="53"/>
      <c r="X326" s="1"/>
    </row>
    <row r="327" spans="1:24">
      <c r="A327" s="387"/>
      <c r="B327" s="26">
        <v>189344183</v>
      </c>
      <c r="C327" s="1"/>
      <c r="D327" s="32">
        <v>44193</v>
      </c>
      <c r="E327" s="1">
        <v>30</v>
      </c>
      <c r="F327" s="32">
        <f t="shared" si="202"/>
        <v>44223</v>
      </c>
      <c r="G327" s="54"/>
      <c r="H327" s="54"/>
      <c r="I327" s="54"/>
      <c r="J327" s="120">
        <f t="shared" si="203"/>
        <v>-27</v>
      </c>
      <c r="K327" s="66">
        <f t="shared" si="204"/>
        <v>189344183</v>
      </c>
      <c r="L327" s="56">
        <f t="shared" si="205"/>
        <v>0</v>
      </c>
      <c r="M327" s="66">
        <f t="shared" si="206"/>
        <v>0</v>
      </c>
      <c r="N327" s="66">
        <f t="shared" si="207"/>
        <v>0</v>
      </c>
      <c r="O327" s="66">
        <f t="shared" si="208"/>
        <v>0</v>
      </c>
      <c r="P327" s="39">
        <v>189344183</v>
      </c>
      <c r="Q327" s="53">
        <v>44203</v>
      </c>
      <c r="R327" s="1"/>
      <c r="S327" s="1"/>
      <c r="T327" s="53"/>
      <c r="U327" s="1"/>
      <c r="V327" s="1"/>
      <c r="W327" s="53"/>
      <c r="X327" s="1"/>
    </row>
    <row r="328" spans="1:24">
      <c r="A328" s="387" t="s">
        <v>41</v>
      </c>
      <c r="B328" s="25">
        <v>1446379028</v>
      </c>
      <c r="C328" s="1"/>
      <c r="D328" s="32"/>
      <c r="E328" s="1"/>
      <c r="F328" s="32"/>
      <c r="G328" s="54">
        <f>B328</f>
        <v>1446379028</v>
      </c>
      <c r="H328" s="54"/>
      <c r="I328" s="54"/>
      <c r="J328" s="119"/>
      <c r="K328" s="66"/>
      <c r="L328" s="56"/>
      <c r="M328" s="66"/>
      <c r="N328" s="66"/>
      <c r="O328" s="66"/>
      <c r="P328" s="39"/>
      <c r="Q328" s="53"/>
      <c r="R328" s="1"/>
      <c r="S328" s="1"/>
      <c r="T328" s="53"/>
      <c r="U328" s="1"/>
      <c r="V328" s="1"/>
      <c r="W328" s="53"/>
      <c r="X328" s="1"/>
    </row>
    <row r="329" spans="1:24">
      <c r="A329" s="387"/>
      <c r="B329" s="26">
        <v>32738694</v>
      </c>
      <c r="C329" s="1"/>
      <c r="D329" s="32">
        <v>44180</v>
      </c>
      <c r="E329" s="1">
        <v>30</v>
      </c>
      <c r="F329" s="32">
        <f t="shared" ref="F329:F354" si="209">D329+E329</f>
        <v>44210</v>
      </c>
      <c r="G329" s="54"/>
      <c r="H329" s="54"/>
      <c r="I329" s="54"/>
      <c r="J329" s="120">
        <f t="shared" ref="J329:J355" si="210">$A$3-F329</f>
        <v>-14</v>
      </c>
      <c r="K329" s="66">
        <f t="shared" ref="K329:K355" si="211">IF(J329&lt;=0,B329,0)</f>
        <v>32738694</v>
      </c>
      <c r="L329" s="56">
        <f t="shared" ref="L329:L355" si="212">IF(AND(J329&gt;=1,J329&lt;=30),B329,0)</f>
        <v>0</v>
      </c>
      <c r="M329" s="66">
        <f t="shared" ref="M329:M355" si="213">IF(AND(J329&gt;=31,J329&lt;=60),B329,0)</f>
        <v>0</v>
      </c>
      <c r="N329" s="66">
        <f t="shared" ref="N329:N355" si="214">IF(AND(J329&gt;=61,J329&lt;=90),B329,0)</f>
        <v>0</v>
      </c>
      <c r="O329" s="66">
        <f t="shared" ref="O329:O355" si="215">IF(J329&gt;90,B329,0)</f>
        <v>0</v>
      </c>
      <c r="P329" s="39">
        <v>32738694</v>
      </c>
      <c r="Q329" s="53">
        <v>44201</v>
      </c>
      <c r="R329" s="1"/>
      <c r="S329" s="1"/>
      <c r="T329" s="53"/>
      <c r="U329" s="1"/>
      <c r="V329" s="1"/>
      <c r="W329" s="53"/>
      <c r="X329" s="1"/>
    </row>
    <row r="330" spans="1:24">
      <c r="A330" s="387"/>
      <c r="B330" s="26">
        <v>52526011</v>
      </c>
      <c r="C330" s="1"/>
      <c r="D330" s="32">
        <v>44180</v>
      </c>
      <c r="E330" s="1">
        <v>30</v>
      </c>
      <c r="F330" s="32">
        <f t="shared" si="209"/>
        <v>44210</v>
      </c>
      <c r="G330" s="54"/>
      <c r="H330" s="54"/>
      <c r="I330" s="54"/>
      <c r="J330" s="120">
        <f t="shared" si="210"/>
        <v>-14</v>
      </c>
      <c r="K330" s="66">
        <f t="shared" si="211"/>
        <v>52526011</v>
      </c>
      <c r="L330" s="56">
        <f t="shared" si="212"/>
        <v>0</v>
      </c>
      <c r="M330" s="66">
        <f t="shared" si="213"/>
        <v>0</v>
      </c>
      <c r="N330" s="66">
        <f t="shared" si="214"/>
        <v>0</v>
      </c>
      <c r="O330" s="66">
        <f t="shared" si="215"/>
        <v>0</v>
      </c>
      <c r="P330" s="39">
        <v>52526011</v>
      </c>
      <c r="Q330" s="53">
        <v>44201</v>
      </c>
      <c r="R330" s="1"/>
      <c r="S330" s="1"/>
      <c r="T330" s="53"/>
      <c r="U330" s="1"/>
      <c r="V330" s="1"/>
      <c r="W330" s="53"/>
      <c r="X330" s="1"/>
    </row>
    <row r="331" spans="1:24">
      <c r="A331" s="387"/>
      <c r="B331" s="26">
        <v>1757619</v>
      </c>
      <c r="C331" s="1"/>
      <c r="D331" s="32">
        <v>44180</v>
      </c>
      <c r="E331" s="1">
        <v>30</v>
      </c>
      <c r="F331" s="32">
        <f t="shared" si="209"/>
        <v>44210</v>
      </c>
      <c r="G331" s="54"/>
      <c r="H331" s="54"/>
      <c r="I331" s="54"/>
      <c r="J331" s="120">
        <f t="shared" si="210"/>
        <v>-14</v>
      </c>
      <c r="K331" s="66">
        <f t="shared" si="211"/>
        <v>1757619</v>
      </c>
      <c r="L331" s="56">
        <f t="shared" si="212"/>
        <v>0</v>
      </c>
      <c r="M331" s="66">
        <f t="shared" si="213"/>
        <v>0</v>
      </c>
      <c r="N331" s="66">
        <f t="shared" si="214"/>
        <v>0</v>
      </c>
      <c r="O331" s="66">
        <f t="shared" si="215"/>
        <v>0</v>
      </c>
      <c r="P331" s="39">
        <v>1757619</v>
      </c>
      <c r="Q331" s="53">
        <v>44201</v>
      </c>
      <c r="R331" s="1"/>
      <c r="S331" s="1"/>
      <c r="T331" s="53"/>
      <c r="U331" s="1"/>
      <c r="V331" s="1"/>
      <c r="W331" s="53"/>
      <c r="X331" s="1"/>
    </row>
    <row r="332" spans="1:24">
      <c r="A332" s="387"/>
      <c r="B332" s="26">
        <v>14143101</v>
      </c>
      <c r="C332" s="1"/>
      <c r="D332" s="32">
        <v>44182</v>
      </c>
      <c r="E332" s="1">
        <v>30</v>
      </c>
      <c r="F332" s="32">
        <f t="shared" si="209"/>
        <v>44212</v>
      </c>
      <c r="G332" s="54"/>
      <c r="H332" s="54"/>
      <c r="I332" s="54"/>
      <c r="J332" s="120">
        <f t="shared" si="210"/>
        <v>-16</v>
      </c>
      <c r="K332" s="66">
        <f t="shared" si="211"/>
        <v>14143101</v>
      </c>
      <c r="L332" s="56">
        <f t="shared" si="212"/>
        <v>0</v>
      </c>
      <c r="M332" s="66">
        <f t="shared" si="213"/>
        <v>0</v>
      </c>
      <c r="N332" s="66">
        <f t="shared" si="214"/>
        <v>0</v>
      </c>
      <c r="O332" s="66">
        <f t="shared" si="215"/>
        <v>0</v>
      </c>
      <c r="P332" s="39">
        <v>14143101</v>
      </c>
      <c r="Q332" s="53">
        <v>44201</v>
      </c>
      <c r="R332" s="1"/>
      <c r="S332" s="1"/>
      <c r="T332" s="53"/>
      <c r="U332" s="1"/>
      <c r="V332" s="1"/>
      <c r="W332" s="53"/>
      <c r="X332" s="1"/>
    </row>
    <row r="333" spans="1:24">
      <c r="A333" s="387"/>
      <c r="B333" s="26">
        <v>47931369</v>
      </c>
      <c r="C333" s="1"/>
      <c r="D333" s="32">
        <v>44182</v>
      </c>
      <c r="E333" s="1">
        <v>30</v>
      </c>
      <c r="F333" s="32">
        <f t="shared" si="209"/>
        <v>44212</v>
      </c>
      <c r="G333" s="54"/>
      <c r="H333" s="54"/>
      <c r="I333" s="54"/>
      <c r="J333" s="120">
        <f t="shared" si="210"/>
        <v>-16</v>
      </c>
      <c r="K333" s="66">
        <f t="shared" si="211"/>
        <v>47931369</v>
      </c>
      <c r="L333" s="56">
        <f t="shared" si="212"/>
        <v>0</v>
      </c>
      <c r="M333" s="66">
        <f t="shared" si="213"/>
        <v>0</v>
      </c>
      <c r="N333" s="66">
        <f t="shared" si="214"/>
        <v>0</v>
      </c>
      <c r="O333" s="66">
        <f t="shared" si="215"/>
        <v>0</v>
      </c>
      <c r="P333" s="39">
        <v>47931369</v>
      </c>
      <c r="Q333" s="53">
        <v>44201</v>
      </c>
      <c r="R333" s="1"/>
      <c r="S333" s="1"/>
      <c r="T333" s="53"/>
      <c r="U333" s="1"/>
      <c r="V333" s="1"/>
      <c r="W333" s="53"/>
      <c r="X333" s="1"/>
    </row>
    <row r="334" spans="1:24">
      <c r="A334" s="387"/>
      <c r="B334" s="26">
        <v>31221071</v>
      </c>
      <c r="C334" s="1"/>
      <c r="D334" s="32">
        <v>44184</v>
      </c>
      <c r="E334" s="1">
        <v>30</v>
      </c>
      <c r="F334" s="32">
        <f t="shared" si="209"/>
        <v>44214</v>
      </c>
      <c r="G334" s="54"/>
      <c r="H334" s="54"/>
      <c r="I334" s="54"/>
      <c r="J334" s="120">
        <f t="shared" si="210"/>
        <v>-18</v>
      </c>
      <c r="K334" s="66">
        <f t="shared" si="211"/>
        <v>31221071</v>
      </c>
      <c r="L334" s="56">
        <f t="shared" si="212"/>
        <v>0</v>
      </c>
      <c r="M334" s="66">
        <f t="shared" si="213"/>
        <v>0</v>
      </c>
      <c r="N334" s="66">
        <f t="shared" si="214"/>
        <v>0</v>
      </c>
      <c r="O334" s="66">
        <f t="shared" si="215"/>
        <v>0</v>
      </c>
      <c r="P334" s="39">
        <v>31221071</v>
      </c>
      <c r="Q334" s="53">
        <v>44201</v>
      </c>
      <c r="R334" s="1"/>
      <c r="S334" s="1"/>
      <c r="T334" s="53"/>
      <c r="U334" s="1"/>
      <c r="V334" s="1"/>
      <c r="W334" s="53"/>
      <c r="X334" s="1"/>
    </row>
    <row r="335" spans="1:24">
      <c r="A335" s="387"/>
      <c r="B335" s="26">
        <v>34032107</v>
      </c>
      <c r="C335" s="1"/>
      <c r="D335" s="32">
        <v>44184</v>
      </c>
      <c r="E335" s="1">
        <v>30</v>
      </c>
      <c r="F335" s="32">
        <f t="shared" si="209"/>
        <v>44214</v>
      </c>
      <c r="G335" s="54"/>
      <c r="H335" s="54"/>
      <c r="I335" s="54"/>
      <c r="J335" s="120">
        <f t="shared" si="210"/>
        <v>-18</v>
      </c>
      <c r="K335" s="66">
        <f t="shared" si="211"/>
        <v>34032107</v>
      </c>
      <c r="L335" s="56">
        <f t="shared" si="212"/>
        <v>0</v>
      </c>
      <c r="M335" s="66">
        <f t="shared" si="213"/>
        <v>0</v>
      </c>
      <c r="N335" s="66">
        <f t="shared" si="214"/>
        <v>0</v>
      </c>
      <c r="O335" s="66">
        <f t="shared" si="215"/>
        <v>0</v>
      </c>
      <c r="P335" s="39">
        <v>34032107</v>
      </c>
      <c r="Q335" s="53">
        <v>44201</v>
      </c>
      <c r="R335" s="1"/>
      <c r="S335" s="1"/>
      <c r="T335" s="53"/>
      <c r="U335" s="1"/>
      <c r="V335" s="1"/>
      <c r="W335" s="53"/>
      <c r="X335" s="1"/>
    </row>
    <row r="336" spans="1:24">
      <c r="A336" s="387"/>
      <c r="B336" s="26">
        <v>45618735</v>
      </c>
      <c r="C336" s="1"/>
      <c r="D336" s="32">
        <v>44186</v>
      </c>
      <c r="E336" s="1">
        <v>30</v>
      </c>
      <c r="F336" s="32">
        <f t="shared" si="209"/>
        <v>44216</v>
      </c>
      <c r="G336" s="54"/>
      <c r="H336" s="54"/>
      <c r="I336" s="54"/>
      <c r="J336" s="120">
        <f t="shared" si="210"/>
        <v>-20</v>
      </c>
      <c r="K336" s="66">
        <f t="shared" si="211"/>
        <v>45618735</v>
      </c>
      <c r="L336" s="56">
        <f t="shared" si="212"/>
        <v>0</v>
      </c>
      <c r="M336" s="66">
        <f t="shared" si="213"/>
        <v>0</v>
      </c>
      <c r="N336" s="66">
        <f t="shared" si="214"/>
        <v>0</v>
      </c>
      <c r="O336" s="66">
        <f t="shared" si="215"/>
        <v>0</v>
      </c>
      <c r="P336" s="39">
        <v>45618735</v>
      </c>
      <c r="Q336" s="53">
        <v>44202</v>
      </c>
      <c r="R336" s="1"/>
      <c r="S336" s="1"/>
      <c r="T336" s="53"/>
      <c r="U336" s="1"/>
      <c r="V336" s="1"/>
      <c r="W336" s="53"/>
      <c r="X336" s="1"/>
    </row>
    <row r="337" spans="1:24">
      <c r="A337" s="387"/>
      <c r="B337" s="26">
        <v>98492005</v>
      </c>
      <c r="C337" s="1"/>
      <c r="D337" s="32">
        <v>44186</v>
      </c>
      <c r="E337" s="1">
        <v>30</v>
      </c>
      <c r="F337" s="32">
        <f t="shared" si="209"/>
        <v>44216</v>
      </c>
      <c r="G337" s="54"/>
      <c r="H337" s="54"/>
      <c r="I337" s="54"/>
      <c r="J337" s="120">
        <f t="shared" si="210"/>
        <v>-20</v>
      </c>
      <c r="K337" s="66">
        <f t="shared" si="211"/>
        <v>98492005</v>
      </c>
      <c r="L337" s="56">
        <f t="shared" si="212"/>
        <v>0</v>
      </c>
      <c r="M337" s="66">
        <f t="shared" si="213"/>
        <v>0</v>
      </c>
      <c r="N337" s="66">
        <f t="shared" si="214"/>
        <v>0</v>
      </c>
      <c r="O337" s="66">
        <f t="shared" si="215"/>
        <v>0</v>
      </c>
      <c r="P337" s="39">
        <v>98492005</v>
      </c>
      <c r="Q337" s="53">
        <v>44202</v>
      </c>
      <c r="R337" s="1"/>
      <c r="S337" s="1"/>
      <c r="T337" s="53"/>
      <c r="U337" s="1"/>
      <c r="V337" s="1"/>
      <c r="W337" s="53"/>
      <c r="X337" s="1"/>
    </row>
    <row r="338" spans="1:24">
      <c r="A338" s="387"/>
      <c r="B338" s="26">
        <v>4152284</v>
      </c>
      <c r="C338" s="1"/>
      <c r="D338" s="32">
        <v>44187</v>
      </c>
      <c r="E338" s="1">
        <v>30</v>
      </c>
      <c r="F338" s="32">
        <f t="shared" si="209"/>
        <v>44217</v>
      </c>
      <c r="G338" s="54"/>
      <c r="H338" s="54"/>
      <c r="I338" s="54"/>
      <c r="J338" s="120">
        <f t="shared" si="210"/>
        <v>-21</v>
      </c>
      <c r="K338" s="66">
        <f t="shared" si="211"/>
        <v>4152284</v>
      </c>
      <c r="L338" s="56">
        <f t="shared" si="212"/>
        <v>0</v>
      </c>
      <c r="M338" s="66">
        <f t="shared" si="213"/>
        <v>0</v>
      </c>
      <c r="N338" s="66">
        <f t="shared" si="214"/>
        <v>0</v>
      </c>
      <c r="O338" s="66">
        <f t="shared" si="215"/>
        <v>0</v>
      </c>
      <c r="P338" s="39">
        <v>4152284</v>
      </c>
      <c r="Q338" s="53">
        <v>44202</v>
      </c>
      <c r="R338" s="1"/>
      <c r="S338" s="1"/>
      <c r="T338" s="53"/>
      <c r="U338" s="1"/>
      <c r="V338" s="1"/>
      <c r="W338" s="53"/>
      <c r="X338" s="1"/>
    </row>
    <row r="339" spans="1:24">
      <c r="A339" s="387"/>
      <c r="B339" s="26">
        <v>45633806</v>
      </c>
      <c r="C339" s="1"/>
      <c r="D339" s="32">
        <v>44187</v>
      </c>
      <c r="E339" s="1">
        <v>30</v>
      </c>
      <c r="F339" s="32">
        <f t="shared" si="209"/>
        <v>44217</v>
      </c>
      <c r="G339" s="54"/>
      <c r="H339" s="54"/>
      <c r="I339" s="54"/>
      <c r="J339" s="120">
        <f t="shared" si="210"/>
        <v>-21</v>
      </c>
      <c r="K339" s="66">
        <f t="shared" si="211"/>
        <v>45633806</v>
      </c>
      <c r="L339" s="56">
        <f t="shared" si="212"/>
        <v>0</v>
      </c>
      <c r="M339" s="66">
        <f t="shared" si="213"/>
        <v>0</v>
      </c>
      <c r="N339" s="66">
        <f t="shared" si="214"/>
        <v>0</v>
      </c>
      <c r="O339" s="66">
        <f t="shared" si="215"/>
        <v>0</v>
      </c>
      <c r="P339" s="39">
        <v>45633806</v>
      </c>
      <c r="Q339" s="53">
        <v>44202</v>
      </c>
      <c r="R339" s="1"/>
      <c r="S339" s="1"/>
      <c r="T339" s="53"/>
      <c r="U339" s="1"/>
      <c r="V339" s="1"/>
      <c r="W339" s="53"/>
      <c r="X339" s="1"/>
    </row>
    <row r="340" spans="1:24">
      <c r="A340" s="387"/>
      <c r="B340" s="26">
        <v>44265233</v>
      </c>
      <c r="C340" s="1"/>
      <c r="D340" s="32">
        <v>44187</v>
      </c>
      <c r="E340" s="1">
        <v>30</v>
      </c>
      <c r="F340" s="32">
        <f t="shared" si="209"/>
        <v>44217</v>
      </c>
      <c r="G340" s="54"/>
      <c r="H340" s="54"/>
      <c r="I340" s="54"/>
      <c r="J340" s="120">
        <f t="shared" si="210"/>
        <v>-21</v>
      </c>
      <c r="K340" s="66">
        <f t="shared" si="211"/>
        <v>44265233</v>
      </c>
      <c r="L340" s="56">
        <f t="shared" si="212"/>
        <v>0</v>
      </c>
      <c r="M340" s="66">
        <f t="shared" si="213"/>
        <v>0</v>
      </c>
      <c r="N340" s="66">
        <f t="shared" si="214"/>
        <v>0</v>
      </c>
      <c r="O340" s="66">
        <f t="shared" si="215"/>
        <v>0</v>
      </c>
      <c r="P340" s="39">
        <v>44265233</v>
      </c>
      <c r="Q340" s="53">
        <v>44202</v>
      </c>
      <c r="R340" s="1"/>
      <c r="S340" s="1"/>
      <c r="T340" s="53"/>
      <c r="U340" s="1"/>
      <c r="V340" s="1"/>
      <c r="W340" s="53"/>
      <c r="X340" s="1"/>
    </row>
    <row r="341" spans="1:24">
      <c r="A341" s="387"/>
      <c r="B341" s="26">
        <v>18657808</v>
      </c>
      <c r="C341" s="1"/>
      <c r="D341" s="32">
        <v>44188</v>
      </c>
      <c r="E341" s="1">
        <v>30</v>
      </c>
      <c r="F341" s="32">
        <f t="shared" si="209"/>
        <v>44218</v>
      </c>
      <c r="G341" s="54"/>
      <c r="H341" s="54"/>
      <c r="I341" s="54"/>
      <c r="J341" s="120">
        <f t="shared" si="210"/>
        <v>-22</v>
      </c>
      <c r="K341" s="66">
        <f t="shared" si="211"/>
        <v>18657808</v>
      </c>
      <c r="L341" s="56">
        <f t="shared" si="212"/>
        <v>0</v>
      </c>
      <c r="M341" s="66">
        <f t="shared" si="213"/>
        <v>0</v>
      </c>
      <c r="N341" s="66">
        <f t="shared" si="214"/>
        <v>0</v>
      </c>
      <c r="O341" s="66">
        <f t="shared" si="215"/>
        <v>0</v>
      </c>
      <c r="P341" s="39">
        <v>18657808</v>
      </c>
      <c r="Q341" s="53">
        <v>44202</v>
      </c>
      <c r="R341" s="1"/>
      <c r="S341" s="1"/>
      <c r="T341" s="53"/>
      <c r="U341" s="1"/>
      <c r="V341" s="1"/>
      <c r="W341" s="53"/>
      <c r="X341" s="1"/>
    </row>
    <row r="342" spans="1:24">
      <c r="A342" s="387"/>
      <c r="B342" s="26">
        <v>34050787</v>
      </c>
      <c r="C342" s="1"/>
      <c r="D342" s="32">
        <v>44188</v>
      </c>
      <c r="E342" s="1">
        <v>30</v>
      </c>
      <c r="F342" s="32">
        <f t="shared" si="209"/>
        <v>44218</v>
      </c>
      <c r="G342" s="54"/>
      <c r="H342" s="54"/>
      <c r="I342" s="54"/>
      <c r="J342" s="120">
        <f t="shared" si="210"/>
        <v>-22</v>
      </c>
      <c r="K342" s="66">
        <f t="shared" si="211"/>
        <v>34050787</v>
      </c>
      <c r="L342" s="56">
        <f t="shared" si="212"/>
        <v>0</v>
      </c>
      <c r="M342" s="66">
        <f t="shared" si="213"/>
        <v>0</v>
      </c>
      <c r="N342" s="66">
        <f t="shared" si="214"/>
        <v>0</v>
      </c>
      <c r="O342" s="66">
        <f t="shared" si="215"/>
        <v>0</v>
      </c>
      <c r="P342" s="39">
        <v>34050787</v>
      </c>
      <c r="Q342" s="53">
        <v>44202</v>
      </c>
      <c r="R342" s="1"/>
      <c r="S342" s="1"/>
      <c r="T342" s="53"/>
      <c r="U342" s="1"/>
      <c r="V342" s="1"/>
      <c r="W342" s="53"/>
      <c r="X342" s="1"/>
    </row>
    <row r="343" spans="1:24">
      <c r="A343" s="387"/>
      <c r="B343" s="26">
        <v>51894986</v>
      </c>
      <c r="C343" s="1"/>
      <c r="D343" s="32">
        <v>44188</v>
      </c>
      <c r="E343" s="1">
        <v>30</v>
      </c>
      <c r="F343" s="32">
        <f t="shared" si="209"/>
        <v>44218</v>
      </c>
      <c r="G343" s="54"/>
      <c r="H343" s="54"/>
      <c r="I343" s="54"/>
      <c r="J343" s="120">
        <f t="shared" si="210"/>
        <v>-22</v>
      </c>
      <c r="K343" s="66">
        <f t="shared" si="211"/>
        <v>51894986</v>
      </c>
      <c r="L343" s="56">
        <f t="shared" si="212"/>
        <v>0</v>
      </c>
      <c r="M343" s="66">
        <f t="shared" si="213"/>
        <v>0</v>
      </c>
      <c r="N343" s="66">
        <f t="shared" si="214"/>
        <v>0</v>
      </c>
      <c r="O343" s="66">
        <f t="shared" si="215"/>
        <v>0</v>
      </c>
      <c r="P343" s="39">
        <v>51894986</v>
      </c>
      <c r="Q343" s="53">
        <v>44202</v>
      </c>
      <c r="R343" s="1"/>
      <c r="S343" s="1"/>
      <c r="T343" s="53"/>
      <c r="U343" s="1"/>
      <c r="V343" s="1"/>
      <c r="W343" s="53"/>
      <c r="X343" s="1"/>
    </row>
    <row r="344" spans="1:24">
      <c r="A344" s="387"/>
      <c r="B344" s="26">
        <v>11681391</v>
      </c>
      <c r="C344" s="1"/>
      <c r="D344" s="32">
        <v>44191</v>
      </c>
      <c r="E344" s="1">
        <v>30</v>
      </c>
      <c r="F344" s="32">
        <f t="shared" si="209"/>
        <v>44221</v>
      </c>
      <c r="G344" s="54"/>
      <c r="H344" s="54"/>
      <c r="I344" s="54"/>
      <c r="J344" s="120">
        <f t="shared" si="210"/>
        <v>-25</v>
      </c>
      <c r="K344" s="66">
        <f t="shared" si="211"/>
        <v>11681391</v>
      </c>
      <c r="L344" s="56">
        <f t="shared" si="212"/>
        <v>0</v>
      </c>
      <c r="M344" s="66">
        <f t="shared" si="213"/>
        <v>0</v>
      </c>
      <c r="N344" s="66">
        <f t="shared" si="214"/>
        <v>0</v>
      </c>
      <c r="O344" s="66">
        <f t="shared" si="215"/>
        <v>0</v>
      </c>
      <c r="P344" s="39">
        <v>11681391</v>
      </c>
      <c r="Q344" s="53">
        <v>44202</v>
      </c>
      <c r="R344" s="1"/>
      <c r="S344" s="1"/>
      <c r="T344" s="53"/>
      <c r="U344" s="1"/>
      <c r="V344" s="1"/>
      <c r="W344" s="53"/>
      <c r="X344" s="1"/>
    </row>
    <row r="345" spans="1:24">
      <c r="A345" s="387"/>
      <c r="B345" s="26">
        <v>56720798</v>
      </c>
      <c r="C345" s="1"/>
      <c r="D345" s="32">
        <v>44191</v>
      </c>
      <c r="E345" s="1">
        <v>30</v>
      </c>
      <c r="F345" s="32">
        <f t="shared" si="209"/>
        <v>44221</v>
      </c>
      <c r="G345" s="54"/>
      <c r="H345" s="54"/>
      <c r="I345" s="54"/>
      <c r="J345" s="120">
        <f t="shared" si="210"/>
        <v>-25</v>
      </c>
      <c r="K345" s="66">
        <f t="shared" si="211"/>
        <v>56720798</v>
      </c>
      <c r="L345" s="56">
        <f t="shared" si="212"/>
        <v>0</v>
      </c>
      <c r="M345" s="66">
        <f t="shared" si="213"/>
        <v>0</v>
      </c>
      <c r="N345" s="66">
        <f t="shared" si="214"/>
        <v>0</v>
      </c>
      <c r="O345" s="66">
        <f t="shared" si="215"/>
        <v>0</v>
      </c>
      <c r="P345" s="39">
        <v>56720798</v>
      </c>
      <c r="Q345" s="53">
        <v>44202</v>
      </c>
      <c r="R345" s="1"/>
      <c r="S345" s="1"/>
      <c r="T345" s="53"/>
      <c r="U345" s="1"/>
      <c r="V345" s="1"/>
      <c r="W345" s="53"/>
      <c r="X345" s="1"/>
    </row>
    <row r="346" spans="1:24">
      <c r="A346" s="387"/>
      <c r="B346" s="26">
        <v>22854106</v>
      </c>
      <c r="C346" s="1"/>
      <c r="D346" s="32">
        <v>44193</v>
      </c>
      <c r="E346" s="1">
        <v>30</v>
      </c>
      <c r="F346" s="32">
        <f t="shared" si="209"/>
        <v>44223</v>
      </c>
      <c r="G346" s="54"/>
      <c r="H346" s="54"/>
      <c r="I346" s="54"/>
      <c r="J346" s="120">
        <f t="shared" si="210"/>
        <v>-27</v>
      </c>
      <c r="K346" s="66">
        <f t="shared" si="211"/>
        <v>22854106</v>
      </c>
      <c r="L346" s="56">
        <f t="shared" si="212"/>
        <v>0</v>
      </c>
      <c r="M346" s="66">
        <f t="shared" si="213"/>
        <v>0</v>
      </c>
      <c r="N346" s="66">
        <f t="shared" si="214"/>
        <v>0</v>
      </c>
      <c r="O346" s="66">
        <f t="shared" si="215"/>
        <v>0</v>
      </c>
      <c r="P346" s="39">
        <v>22854106</v>
      </c>
      <c r="Q346" s="53">
        <v>44202</v>
      </c>
      <c r="R346" s="1"/>
      <c r="S346" s="1"/>
      <c r="T346" s="53"/>
      <c r="U346" s="1"/>
      <c r="V346" s="1"/>
      <c r="W346" s="53"/>
      <c r="X346" s="1"/>
    </row>
    <row r="347" spans="1:24">
      <c r="A347" s="387"/>
      <c r="B347" s="26">
        <v>136476451</v>
      </c>
      <c r="C347" s="1"/>
      <c r="D347" s="32">
        <v>44194</v>
      </c>
      <c r="E347" s="1">
        <v>30</v>
      </c>
      <c r="F347" s="32">
        <f t="shared" si="209"/>
        <v>44224</v>
      </c>
      <c r="G347" s="54"/>
      <c r="H347" s="54"/>
      <c r="I347" s="54"/>
      <c r="J347" s="120">
        <f t="shared" si="210"/>
        <v>-28</v>
      </c>
      <c r="K347" s="66">
        <f t="shared" si="211"/>
        <v>136476451</v>
      </c>
      <c r="L347" s="56">
        <f t="shared" si="212"/>
        <v>0</v>
      </c>
      <c r="M347" s="66">
        <f t="shared" si="213"/>
        <v>0</v>
      </c>
      <c r="N347" s="66">
        <f t="shared" si="214"/>
        <v>0</v>
      </c>
      <c r="O347" s="66">
        <f t="shared" si="215"/>
        <v>0</v>
      </c>
      <c r="P347" s="39">
        <v>136476451</v>
      </c>
      <c r="Q347" s="53">
        <v>44203</v>
      </c>
      <c r="R347" s="1"/>
      <c r="S347" s="1"/>
      <c r="T347" s="53"/>
      <c r="U347" s="1"/>
      <c r="V347" s="1"/>
      <c r="W347" s="53"/>
      <c r="X347" s="1"/>
    </row>
    <row r="348" spans="1:24">
      <c r="A348" s="387"/>
      <c r="B348" s="26">
        <v>216697866</v>
      </c>
      <c r="C348" s="1"/>
      <c r="D348" s="32">
        <v>44194</v>
      </c>
      <c r="E348" s="1">
        <v>30</v>
      </c>
      <c r="F348" s="32">
        <f t="shared" si="209"/>
        <v>44224</v>
      </c>
      <c r="G348" s="54"/>
      <c r="H348" s="54"/>
      <c r="I348" s="54"/>
      <c r="J348" s="120">
        <f t="shared" si="210"/>
        <v>-28</v>
      </c>
      <c r="K348" s="66">
        <f t="shared" si="211"/>
        <v>216697866</v>
      </c>
      <c r="L348" s="56">
        <f t="shared" si="212"/>
        <v>0</v>
      </c>
      <c r="M348" s="66">
        <f t="shared" si="213"/>
        <v>0</v>
      </c>
      <c r="N348" s="66">
        <f t="shared" si="214"/>
        <v>0</v>
      </c>
      <c r="O348" s="66">
        <f t="shared" si="215"/>
        <v>0</v>
      </c>
      <c r="P348" s="39">
        <v>216697866</v>
      </c>
      <c r="Q348" s="53">
        <v>44203</v>
      </c>
      <c r="R348" s="1"/>
      <c r="S348" s="1"/>
      <c r="T348" s="53"/>
      <c r="U348" s="1"/>
      <c r="V348" s="1"/>
      <c r="W348" s="53"/>
      <c r="X348" s="1"/>
    </row>
    <row r="349" spans="1:24">
      <c r="A349" s="387"/>
      <c r="B349" s="26">
        <v>60441104</v>
      </c>
      <c r="C349" s="1"/>
      <c r="D349" s="32">
        <v>44194</v>
      </c>
      <c r="E349" s="1">
        <v>30</v>
      </c>
      <c r="F349" s="32">
        <f t="shared" si="209"/>
        <v>44224</v>
      </c>
      <c r="G349" s="54"/>
      <c r="H349" s="54"/>
      <c r="I349" s="54"/>
      <c r="J349" s="120">
        <f t="shared" si="210"/>
        <v>-28</v>
      </c>
      <c r="K349" s="66">
        <f t="shared" si="211"/>
        <v>60441104</v>
      </c>
      <c r="L349" s="56">
        <f t="shared" si="212"/>
        <v>0</v>
      </c>
      <c r="M349" s="66">
        <f t="shared" si="213"/>
        <v>0</v>
      </c>
      <c r="N349" s="66">
        <f t="shared" si="214"/>
        <v>0</v>
      </c>
      <c r="O349" s="66">
        <f t="shared" si="215"/>
        <v>0</v>
      </c>
      <c r="P349" s="39">
        <v>60441104</v>
      </c>
      <c r="Q349" s="53">
        <v>44203</v>
      </c>
      <c r="R349" s="1"/>
      <c r="S349" s="1"/>
      <c r="T349" s="53"/>
      <c r="U349" s="1"/>
      <c r="V349" s="1"/>
      <c r="W349" s="53"/>
      <c r="X349" s="1"/>
    </row>
    <row r="350" spans="1:24">
      <c r="A350" s="387"/>
      <c r="B350" s="26">
        <v>85409203</v>
      </c>
      <c r="C350" s="1"/>
      <c r="D350" s="32">
        <v>44195</v>
      </c>
      <c r="E350" s="1">
        <v>30</v>
      </c>
      <c r="F350" s="32">
        <f t="shared" si="209"/>
        <v>44225</v>
      </c>
      <c r="G350" s="54"/>
      <c r="H350" s="54"/>
      <c r="I350" s="54"/>
      <c r="J350" s="120">
        <f t="shared" si="210"/>
        <v>-29</v>
      </c>
      <c r="K350" s="66">
        <f t="shared" si="211"/>
        <v>85409203</v>
      </c>
      <c r="L350" s="56">
        <f t="shared" si="212"/>
        <v>0</v>
      </c>
      <c r="M350" s="66">
        <f t="shared" si="213"/>
        <v>0</v>
      </c>
      <c r="N350" s="66">
        <f t="shared" si="214"/>
        <v>0</v>
      </c>
      <c r="O350" s="66">
        <f t="shared" si="215"/>
        <v>0</v>
      </c>
      <c r="P350" s="39">
        <v>85409203</v>
      </c>
      <c r="Q350" s="53">
        <v>44204</v>
      </c>
      <c r="R350" s="1"/>
      <c r="S350" s="1"/>
      <c r="T350" s="53"/>
      <c r="U350" s="1"/>
      <c r="V350" s="1"/>
      <c r="W350" s="53"/>
      <c r="X350" s="1"/>
    </row>
    <row r="351" spans="1:24">
      <c r="A351" s="387"/>
      <c r="B351" s="26">
        <v>161175875</v>
      </c>
      <c r="C351" s="1"/>
      <c r="D351" s="32">
        <v>44195</v>
      </c>
      <c r="E351" s="1">
        <v>30</v>
      </c>
      <c r="F351" s="32">
        <f t="shared" si="209"/>
        <v>44225</v>
      </c>
      <c r="G351" s="54"/>
      <c r="H351" s="54"/>
      <c r="I351" s="54"/>
      <c r="J351" s="120">
        <f t="shared" si="210"/>
        <v>-29</v>
      </c>
      <c r="K351" s="66">
        <f t="shared" si="211"/>
        <v>161175875</v>
      </c>
      <c r="L351" s="56">
        <f t="shared" si="212"/>
        <v>0</v>
      </c>
      <c r="M351" s="66">
        <f t="shared" si="213"/>
        <v>0</v>
      </c>
      <c r="N351" s="66">
        <f t="shared" si="214"/>
        <v>0</v>
      </c>
      <c r="O351" s="66">
        <f t="shared" si="215"/>
        <v>0</v>
      </c>
      <c r="P351" s="39">
        <v>161175875</v>
      </c>
      <c r="Q351" s="53">
        <v>44204</v>
      </c>
      <c r="R351" s="1"/>
      <c r="S351" s="1"/>
      <c r="T351" s="53"/>
      <c r="U351" s="1"/>
      <c r="V351" s="1"/>
      <c r="W351" s="53"/>
      <c r="X351" s="1"/>
    </row>
    <row r="352" spans="1:24">
      <c r="A352" s="387"/>
      <c r="B352" s="26">
        <v>60619771</v>
      </c>
      <c r="C352" s="1"/>
      <c r="D352" s="32">
        <v>44196</v>
      </c>
      <c r="E352" s="1">
        <v>30</v>
      </c>
      <c r="F352" s="32">
        <f t="shared" si="209"/>
        <v>44226</v>
      </c>
      <c r="G352" s="54"/>
      <c r="H352" s="54"/>
      <c r="I352" s="54"/>
      <c r="J352" s="120">
        <f t="shared" si="210"/>
        <v>-30</v>
      </c>
      <c r="K352" s="66">
        <f t="shared" si="211"/>
        <v>60619771</v>
      </c>
      <c r="L352" s="56">
        <f t="shared" si="212"/>
        <v>0</v>
      </c>
      <c r="M352" s="66">
        <f t="shared" si="213"/>
        <v>0</v>
      </c>
      <c r="N352" s="66">
        <f t="shared" si="214"/>
        <v>0</v>
      </c>
      <c r="O352" s="66">
        <f t="shared" si="215"/>
        <v>0</v>
      </c>
      <c r="P352" s="39">
        <v>60619771</v>
      </c>
      <c r="Q352" s="53">
        <v>44204</v>
      </c>
      <c r="R352" s="1"/>
      <c r="S352" s="1"/>
      <c r="T352" s="53"/>
      <c r="U352" s="1"/>
      <c r="V352" s="1"/>
      <c r="W352" s="53"/>
      <c r="X352" s="1"/>
    </row>
    <row r="353" spans="1:24">
      <c r="A353" s="387"/>
      <c r="B353" s="26">
        <v>44962977</v>
      </c>
      <c r="C353" s="1"/>
      <c r="D353" s="32">
        <v>44196</v>
      </c>
      <c r="E353" s="1">
        <v>30</v>
      </c>
      <c r="F353" s="32">
        <f t="shared" si="209"/>
        <v>44226</v>
      </c>
      <c r="G353" s="54"/>
      <c r="H353" s="54"/>
      <c r="I353" s="54"/>
      <c r="J353" s="120">
        <f t="shared" si="210"/>
        <v>-30</v>
      </c>
      <c r="K353" s="66">
        <f t="shared" si="211"/>
        <v>44962977</v>
      </c>
      <c r="L353" s="56">
        <f t="shared" si="212"/>
        <v>0</v>
      </c>
      <c r="M353" s="66">
        <f t="shared" si="213"/>
        <v>0</v>
      </c>
      <c r="N353" s="66">
        <f t="shared" si="214"/>
        <v>0</v>
      </c>
      <c r="O353" s="66">
        <f t="shared" si="215"/>
        <v>0</v>
      </c>
      <c r="P353" s="39">
        <v>44962977</v>
      </c>
      <c r="Q353" s="53">
        <v>44204</v>
      </c>
      <c r="R353" s="1"/>
      <c r="S353" s="1"/>
      <c r="T353" s="53"/>
      <c r="U353" s="1"/>
      <c r="V353" s="1"/>
      <c r="W353" s="53"/>
      <c r="X353" s="1"/>
    </row>
    <row r="354" spans="1:24">
      <c r="A354" s="387"/>
      <c r="B354" s="26">
        <v>32223870</v>
      </c>
      <c r="C354" s="1"/>
      <c r="D354" s="32">
        <v>44196</v>
      </c>
      <c r="E354" s="1">
        <v>30</v>
      </c>
      <c r="F354" s="32">
        <f t="shared" si="209"/>
        <v>44226</v>
      </c>
      <c r="G354" s="54"/>
      <c r="H354" s="54"/>
      <c r="I354" s="54"/>
      <c r="J354" s="120">
        <f t="shared" si="210"/>
        <v>-30</v>
      </c>
      <c r="K354" s="66">
        <f t="shared" si="211"/>
        <v>32223870</v>
      </c>
      <c r="L354" s="56">
        <f t="shared" si="212"/>
        <v>0</v>
      </c>
      <c r="M354" s="66">
        <f t="shared" si="213"/>
        <v>0</v>
      </c>
      <c r="N354" s="66">
        <f t="shared" si="214"/>
        <v>0</v>
      </c>
      <c r="O354" s="66">
        <f t="shared" si="215"/>
        <v>0</v>
      </c>
      <c r="P354" s="39">
        <v>32223870</v>
      </c>
      <c r="Q354" s="53">
        <v>44204</v>
      </c>
      <c r="R354" s="1"/>
      <c r="S354" s="1"/>
      <c r="T354" s="53"/>
      <c r="U354" s="1"/>
      <c r="V354" s="1"/>
      <c r="W354" s="53"/>
      <c r="X354" s="1"/>
    </row>
    <row r="355" spans="1:24">
      <c r="A355" s="5" t="s">
        <v>42</v>
      </c>
      <c r="B355" s="25">
        <v>58822036</v>
      </c>
      <c r="C355" s="1"/>
      <c r="D355" s="32">
        <v>44190</v>
      </c>
      <c r="E355" s="1">
        <v>30</v>
      </c>
      <c r="F355" s="32">
        <f>D355+E355</f>
        <v>44220</v>
      </c>
      <c r="G355" s="54">
        <f t="shared" ref="G355:G356" si="216">B355</f>
        <v>58822036</v>
      </c>
      <c r="H355" s="54"/>
      <c r="I355" s="54"/>
      <c r="J355" s="120">
        <f t="shared" si="210"/>
        <v>-24</v>
      </c>
      <c r="K355" s="66">
        <f t="shared" si="211"/>
        <v>58822036</v>
      </c>
      <c r="L355" s="56">
        <f t="shared" si="212"/>
        <v>0</v>
      </c>
      <c r="M355" s="66">
        <f t="shared" si="213"/>
        <v>0</v>
      </c>
      <c r="N355" s="66">
        <f t="shared" si="214"/>
        <v>0</v>
      </c>
      <c r="O355" s="66">
        <f t="shared" si="215"/>
        <v>0</v>
      </c>
      <c r="P355" s="39">
        <v>58822036</v>
      </c>
      <c r="Q355" s="53">
        <v>44201</v>
      </c>
      <c r="R355" s="1"/>
      <c r="S355" s="1"/>
      <c r="T355" s="53"/>
      <c r="U355" s="1"/>
      <c r="V355" s="1"/>
      <c r="W355" s="53"/>
      <c r="X355" s="1"/>
    </row>
    <row r="356" spans="1:24">
      <c r="A356" s="387" t="s">
        <v>43</v>
      </c>
      <c r="B356" s="25">
        <v>307950082</v>
      </c>
      <c r="C356" s="1"/>
      <c r="D356" s="32"/>
      <c r="E356" s="1"/>
      <c r="F356" s="32"/>
      <c r="G356" s="54">
        <f t="shared" si="216"/>
        <v>307950082</v>
      </c>
      <c r="H356" s="54"/>
      <c r="I356" s="54"/>
      <c r="J356" s="119"/>
      <c r="K356" s="66"/>
      <c r="L356" s="56"/>
      <c r="M356" s="66"/>
      <c r="N356" s="66"/>
      <c r="O356" s="66"/>
      <c r="P356" s="39"/>
      <c r="Q356" s="53"/>
      <c r="R356" s="1"/>
      <c r="S356" s="1"/>
      <c r="T356" s="53"/>
      <c r="U356" s="1"/>
      <c r="V356" s="1"/>
      <c r="W356" s="53"/>
      <c r="X356" s="1"/>
    </row>
    <row r="357" spans="1:24">
      <c r="A357" s="387"/>
      <c r="B357" s="26">
        <v>45942893</v>
      </c>
      <c r="C357" s="1"/>
      <c r="D357" s="32">
        <v>44179</v>
      </c>
      <c r="E357" s="1">
        <v>30</v>
      </c>
      <c r="F357" s="32">
        <f t="shared" ref="F357:F360" si="217">D357+E357</f>
        <v>44209</v>
      </c>
      <c r="G357" s="54"/>
      <c r="H357" s="54"/>
      <c r="I357" s="54"/>
      <c r="J357" s="120">
        <f t="shared" ref="J357:J360" si="218">$A$3-F357</f>
        <v>-13</v>
      </c>
      <c r="K357" s="66">
        <f t="shared" ref="K357:K360" si="219">IF(J357&lt;=0,B357,0)</f>
        <v>45942893</v>
      </c>
      <c r="L357" s="56">
        <f t="shared" ref="L357:L360" si="220">IF(AND(J357&gt;=1,J357&lt;=30),B357,0)</f>
        <v>0</v>
      </c>
      <c r="M357" s="66">
        <f t="shared" ref="M357:M360" si="221">IF(AND(J357&gt;=31,J357&lt;=60),B357,0)</f>
        <v>0</v>
      </c>
      <c r="N357" s="66">
        <f t="shared" ref="N357:N360" si="222">IF(AND(J357&gt;=61,J357&lt;=90),B357,0)</f>
        <v>0</v>
      </c>
      <c r="O357" s="66">
        <f t="shared" ref="O357:O360" si="223">IF(J357&gt;90,B357,0)</f>
        <v>0</v>
      </c>
      <c r="P357" s="39">
        <v>45942893</v>
      </c>
      <c r="Q357" s="53">
        <v>44201</v>
      </c>
      <c r="R357" s="1"/>
      <c r="S357" s="1"/>
      <c r="T357" s="53"/>
      <c r="U357" s="1"/>
      <c r="V357" s="1"/>
      <c r="W357" s="53"/>
      <c r="X357" s="1"/>
    </row>
    <row r="358" spans="1:24">
      <c r="A358" s="387"/>
      <c r="B358" s="26">
        <v>90456901</v>
      </c>
      <c r="C358" s="1"/>
      <c r="D358" s="32">
        <v>44180</v>
      </c>
      <c r="E358" s="1">
        <v>30</v>
      </c>
      <c r="F358" s="32">
        <f t="shared" si="217"/>
        <v>44210</v>
      </c>
      <c r="G358" s="54"/>
      <c r="H358" s="54"/>
      <c r="I358" s="54"/>
      <c r="J358" s="120">
        <f t="shared" si="218"/>
        <v>-14</v>
      </c>
      <c r="K358" s="66">
        <f t="shared" si="219"/>
        <v>90456901</v>
      </c>
      <c r="L358" s="56">
        <f t="shared" si="220"/>
        <v>0</v>
      </c>
      <c r="M358" s="66">
        <f t="shared" si="221"/>
        <v>0</v>
      </c>
      <c r="N358" s="66">
        <f t="shared" si="222"/>
        <v>0</v>
      </c>
      <c r="O358" s="66">
        <f t="shared" si="223"/>
        <v>0</v>
      </c>
      <c r="P358" s="39">
        <v>90456901</v>
      </c>
      <c r="Q358" s="53">
        <v>44201</v>
      </c>
      <c r="R358" s="1"/>
      <c r="S358" s="1"/>
      <c r="T358" s="53"/>
      <c r="U358" s="1"/>
      <c r="V358" s="1"/>
      <c r="W358" s="53"/>
      <c r="X358" s="1"/>
    </row>
    <row r="359" spans="1:24">
      <c r="A359" s="387"/>
      <c r="B359" s="26">
        <v>60718592</v>
      </c>
      <c r="C359" s="1"/>
      <c r="D359" s="32">
        <v>44191</v>
      </c>
      <c r="E359" s="1">
        <v>30</v>
      </c>
      <c r="F359" s="32">
        <f t="shared" si="217"/>
        <v>44221</v>
      </c>
      <c r="G359" s="54"/>
      <c r="H359" s="54"/>
      <c r="I359" s="54"/>
      <c r="J359" s="120">
        <f t="shared" si="218"/>
        <v>-25</v>
      </c>
      <c r="K359" s="66">
        <f t="shared" si="219"/>
        <v>60718592</v>
      </c>
      <c r="L359" s="56">
        <f t="shared" si="220"/>
        <v>0</v>
      </c>
      <c r="M359" s="66">
        <f t="shared" si="221"/>
        <v>0</v>
      </c>
      <c r="N359" s="66">
        <f t="shared" si="222"/>
        <v>0</v>
      </c>
      <c r="O359" s="66">
        <f t="shared" si="223"/>
        <v>0</v>
      </c>
      <c r="P359" s="39">
        <v>60718592</v>
      </c>
      <c r="Q359" s="53">
        <v>44202</v>
      </c>
      <c r="R359" s="1"/>
      <c r="S359" s="1"/>
      <c r="T359" s="53"/>
      <c r="U359" s="1"/>
      <c r="V359" s="1"/>
      <c r="W359" s="53"/>
      <c r="X359" s="1"/>
    </row>
    <row r="360" spans="1:24">
      <c r="A360" s="387"/>
      <c r="B360" s="26">
        <v>110831696</v>
      </c>
      <c r="C360" s="1"/>
      <c r="D360" s="32">
        <v>44194</v>
      </c>
      <c r="E360" s="1">
        <v>30</v>
      </c>
      <c r="F360" s="32">
        <f t="shared" si="217"/>
        <v>44224</v>
      </c>
      <c r="G360" s="54"/>
      <c r="H360" s="54"/>
      <c r="I360" s="54"/>
      <c r="J360" s="120">
        <f t="shared" si="218"/>
        <v>-28</v>
      </c>
      <c r="K360" s="66">
        <f t="shared" si="219"/>
        <v>110831696</v>
      </c>
      <c r="L360" s="56">
        <f t="shared" si="220"/>
        <v>0</v>
      </c>
      <c r="M360" s="66">
        <f t="shared" si="221"/>
        <v>0</v>
      </c>
      <c r="N360" s="66">
        <f t="shared" si="222"/>
        <v>0</v>
      </c>
      <c r="O360" s="66">
        <f t="shared" si="223"/>
        <v>0</v>
      </c>
      <c r="P360" s="39">
        <v>110831696</v>
      </c>
      <c r="Q360" s="53">
        <v>44203</v>
      </c>
      <c r="R360" s="1"/>
      <c r="S360" s="1"/>
      <c r="T360" s="53"/>
      <c r="U360" s="1"/>
      <c r="V360" s="1"/>
      <c r="W360" s="53"/>
      <c r="X360" s="1"/>
    </row>
    <row r="361" spans="1:24">
      <c r="A361" s="6"/>
      <c r="B361" s="28"/>
      <c r="C361" s="6"/>
      <c r="D361" s="60"/>
      <c r="E361" s="6"/>
      <c r="F361" s="32"/>
      <c r="G361" s="54"/>
      <c r="H361" s="54"/>
      <c r="I361" s="54"/>
      <c r="J361" s="119"/>
      <c r="K361" s="66"/>
      <c r="L361" s="56"/>
      <c r="M361" s="66"/>
      <c r="N361" s="66"/>
      <c r="O361" s="66"/>
      <c r="P361" s="39"/>
      <c r="Q361" s="53"/>
      <c r="R361" s="1"/>
      <c r="S361" s="1"/>
      <c r="T361" s="53"/>
      <c r="U361" s="1"/>
      <c r="V361" s="1"/>
      <c r="W361" s="53"/>
      <c r="X361" s="1"/>
    </row>
    <row r="362" spans="1:24">
      <c r="A362" s="387" t="s">
        <v>44</v>
      </c>
      <c r="B362" s="29">
        <v>18920000</v>
      </c>
      <c r="C362" s="1"/>
      <c r="D362" s="60"/>
      <c r="E362" s="1"/>
      <c r="F362" s="32"/>
      <c r="G362" s="54"/>
      <c r="H362" s="61">
        <f>B362</f>
        <v>18920000</v>
      </c>
      <c r="I362" s="54"/>
      <c r="J362" s="119"/>
      <c r="K362" s="66"/>
      <c r="L362" s="56"/>
      <c r="M362" s="66"/>
      <c r="N362" s="66"/>
      <c r="O362" s="66"/>
      <c r="P362" s="39"/>
      <c r="Q362" s="53"/>
      <c r="R362" s="1"/>
      <c r="S362" s="1"/>
      <c r="T362" s="53"/>
      <c r="U362" s="1"/>
      <c r="V362" s="1"/>
      <c r="W362" s="53"/>
      <c r="X362" s="1"/>
    </row>
    <row r="363" spans="1:24">
      <c r="A363" s="387"/>
      <c r="B363" s="26">
        <v>5500000</v>
      </c>
      <c r="C363" s="1"/>
      <c r="D363" s="32">
        <v>44154</v>
      </c>
      <c r="E363" s="1">
        <v>30</v>
      </c>
      <c r="F363" s="32">
        <f t="shared" ref="F363:F365" si="224">D363+E363</f>
        <v>44184</v>
      </c>
      <c r="G363" s="54"/>
      <c r="H363" s="54"/>
      <c r="I363" s="54"/>
      <c r="J363" s="120">
        <f t="shared" ref="J363:J365" si="225">$A$3-F363</f>
        <v>12</v>
      </c>
      <c r="K363" s="66">
        <f t="shared" ref="K363:K365" si="226">IF(J363&lt;=0,B363,0)</f>
        <v>0</v>
      </c>
      <c r="L363" s="56">
        <f t="shared" ref="L363:L365" si="227">IF(AND(J363&gt;=1,J363&lt;=30),B363,0)</f>
        <v>5500000</v>
      </c>
      <c r="M363" s="66">
        <f t="shared" ref="M363:M365" si="228">IF(AND(J363&gt;=31,J363&lt;=60),B363,0)</f>
        <v>0</v>
      </c>
      <c r="N363" s="66">
        <f t="shared" ref="N363:N365" si="229">IF(AND(J363&gt;=61,J363&lt;=90),B363,0)</f>
        <v>0</v>
      </c>
      <c r="O363" s="66">
        <f t="shared" ref="O363:O365" si="230">IF(J363&gt;90,B363,0)</f>
        <v>0</v>
      </c>
      <c r="P363" s="39">
        <v>5500000</v>
      </c>
      <c r="Q363" s="53">
        <v>44204</v>
      </c>
      <c r="R363" s="1"/>
      <c r="S363" s="1"/>
      <c r="T363" s="53"/>
      <c r="U363" s="1"/>
      <c r="V363" s="1"/>
      <c r="W363" s="53"/>
      <c r="X363" s="1"/>
    </row>
    <row r="364" spans="1:24">
      <c r="A364" s="387"/>
      <c r="B364" s="26">
        <v>5500000</v>
      </c>
      <c r="C364" s="1"/>
      <c r="D364" s="32">
        <v>44167</v>
      </c>
      <c r="E364" s="1">
        <v>30</v>
      </c>
      <c r="F364" s="32">
        <f t="shared" si="224"/>
        <v>44197</v>
      </c>
      <c r="G364" s="54"/>
      <c r="H364" s="54"/>
      <c r="I364" s="54"/>
      <c r="J364" s="120">
        <f t="shared" si="225"/>
        <v>-1</v>
      </c>
      <c r="K364" s="66">
        <f t="shared" si="226"/>
        <v>5500000</v>
      </c>
      <c r="L364" s="56">
        <f t="shared" si="227"/>
        <v>0</v>
      </c>
      <c r="M364" s="66">
        <f t="shared" si="228"/>
        <v>0</v>
      </c>
      <c r="N364" s="66">
        <f t="shared" si="229"/>
        <v>0</v>
      </c>
      <c r="O364" s="66">
        <f t="shared" si="230"/>
        <v>0</v>
      </c>
      <c r="P364" s="39">
        <v>5500000</v>
      </c>
      <c r="Q364" s="53">
        <v>44209</v>
      </c>
      <c r="R364" s="1"/>
      <c r="S364" s="1"/>
      <c r="T364" s="53"/>
      <c r="U364" s="1"/>
      <c r="V364" s="1"/>
      <c r="W364" s="53"/>
      <c r="X364" s="1"/>
    </row>
    <row r="365" spans="1:24">
      <c r="A365" s="387"/>
      <c r="B365" s="26">
        <v>7920000</v>
      </c>
      <c r="C365" s="1"/>
      <c r="D365" s="32">
        <v>44196</v>
      </c>
      <c r="E365" s="1">
        <v>30</v>
      </c>
      <c r="F365" s="32">
        <f t="shared" si="224"/>
        <v>44226</v>
      </c>
      <c r="G365" s="54"/>
      <c r="H365" s="54"/>
      <c r="I365" s="54"/>
      <c r="J365" s="120">
        <f t="shared" si="225"/>
        <v>-30</v>
      </c>
      <c r="K365" s="66">
        <f t="shared" si="226"/>
        <v>7920000</v>
      </c>
      <c r="L365" s="56">
        <f t="shared" si="227"/>
        <v>0</v>
      </c>
      <c r="M365" s="66">
        <f t="shared" si="228"/>
        <v>0</v>
      </c>
      <c r="N365" s="66">
        <f t="shared" si="229"/>
        <v>0</v>
      </c>
      <c r="O365" s="66">
        <f t="shared" si="230"/>
        <v>0</v>
      </c>
      <c r="P365" s="39">
        <v>7920000</v>
      </c>
      <c r="Q365" s="53">
        <v>44243</v>
      </c>
      <c r="R365" s="1"/>
      <c r="S365" s="1"/>
      <c r="T365" s="53"/>
      <c r="U365" s="1"/>
      <c r="V365" s="1"/>
      <c r="W365" s="53"/>
      <c r="X365" s="1"/>
    </row>
    <row r="366" spans="1:24">
      <c r="A366" s="387" t="s">
        <v>45</v>
      </c>
      <c r="B366" s="30">
        <v>18691000</v>
      </c>
      <c r="C366" s="1"/>
      <c r="D366" s="32"/>
      <c r="E366" s="1"/>
      <c r="F366" s="32"/>
      <c r="G366" s="54"/>
      <c r="H366" s="61">
        <f>B366</f>
        <v>18691000</v>
      </c>
      <c r="I366" s="54"/>
      <c r="J366" s="119"/>
      <c r="K366" s="66"/>
      <c r="L366" s="56"/>
      <c r="M366" s="66"/>
      <c r="N366" s="66"/>
      <c r="O366" s="66"/>
      <c r="P366" s="39"/>
      <c r="Q366" s="53"/>
      <c r="R366" s="1"/>
      <c r="S366" s="1"/>
      <c r="T366" s="53"/>
      <c r="U366" s="1"/>
      <c r="V366" s="1"/>
      <c r="W366" s="53"/>
      <c r="X366" s="1"/>
    </row>
    <row r="367" spans="1:24">
      <c r="A367" s="387"/>
      <c r="B367" s="26">
        <v>8294000</v>
      </c>
      <c r="C367" s="1"/>
      <c r="D367" s="32">
        <v>44131</v>
      </c>
      <c r="E367" s="1">
        <v>30</v>
      </c>
      <c r="F367" s="32">
        <f t="shared" ref="F367:F371" si="231">D367+E367</f>
        <v>44161</v>
      </c>
      <c r="G367" s="54"/>
      <c r="H367" s="54"/>
      <c r="I367" s="54"/>
      <c r="J367" s="120">
        <f t="shared" ref="J367:J371" si="232">$A$3-F367</f>
        <v>35</v>
      </c>
      <c r="K367" s="66">
        <f t="shared" ref="K367:K371" si="233">IF(J367&lt;=0,B367,0)</f>
        <v>0</v>
      </c>
      <c r="L367" s="56">
        <f t="shared" ref="L367:L371" si="234">IF(AND(J367&gt;=1,J367&lt;=30),B367,0)</f>
        <v>0</v>
      </c>
      <c r="M367" s="66">
        <f t="shared" ref="M367:M371" si="235">IF(AND(J367&gt;=31,J367&lt;=60),B367,0)</f>
        <v>8294000</v>
      </c>
      <c r="N367" s="66">
        <f t="shared" ref="N367:N371" si="236">IF(AND(J367&gt;=61,J367&lt;=90),B367,0)</f>
        <v>0</v>
      </c>
      <c r="O367" s="66">
        <f t="shared" ref="O367:O371" si="237">IF(J367&gt;90,B367,0)</f>
        <v>0</v>
      </c>
      <c r="P367" s="39">
        <v>8294000</v>
      </c>
      <c r="Q367" s="53">
        <v>44209</v>
      </c>
      <c r="R367" s="1"/>
      <c r="S367" s="1"/>
      <c r="T367" s="53"/>
      <c r="U367" s="1"/>
      <c r="V367" s="1"/>
      <c r="W367" s="53"/>
      <c r="X367" s="1"/>
    </row>
    <row r="368" spans="1:24">
      <c r="A368" s="387"/>
      <c r="B368" s="26">
        <v>1134000</v>
      </c>
      <c r="C368" s="1"/>
      <c r="D368" s="32">
        <v>44163</v>
      </c>
      <c r="E368" s="1">
        <v>30</v>
      </c>
      <c r="F368" s="32">
        <f t="shared" si="231"/>
        <v>44193</v>
      </c>
      <c r="G368" s="54"/>
      <c r="H368" s="54"/>
      <c r="I368" s="54"/>
      <c r="J368" s="120">
        <f t="shared" si="232"/>
        <v>3</v>
      </c>
      <c r="K368" s="66">
        <f t="shared" si="233"/>
        <v>0</v>
      </c>
      <c r="L368" s="56">
        <f t="shared" si="234"/>
        <v>1134000</v>
      </c>
      <c r="M368" s="66">
        <f t="shared" si="235"/>
        <v>0</v>
      </c>
      <c r="N368" s="66">
        <f t="shared" si="236"/>
        <v>0</v>
      </c>
      <c r="O368" s="66">
        <f t="shared" si="237"/>
        <v>0</v>
      </c>
      <c r="P368" s="39">
        <v>1134000</v>
      </c>
      <c r="Q368" s="53">
        <v>44244</v>
      </c>
      <c r="R368" s="1"/>
      <c r="S368" s="1"/>
      <c r="T368" s="53"/>
      <c r="U368" s="1"/>
      <c r="V368" s="1"/>
      <c r="W368" s="53"/>
      <c r="X368" s="1"/>
    </row>
    <row r="369" spans="1:24">
      <c r="A369" s="387"/>
      <c r="B369" s="26">
        <v>6894000</v>
      </c>
      <c r="C369" s="1"/>
      <c r="D369" s="32">
        <v>44167</v>
      </c>
      <c r="E369" s="1">
        <v>30</v>
      </c>
      <c r="F369" s="32">
        <f t="shared" si="231"/>
        <v>44197</v>
      </c>
      <c r="G369" s="54"/>
      <c r="H369" s="54"/>
      <c r="I369" s="54"/>
      <c r="J369" s="120">
        <f t="shared" si="232"/>
        <v>-1</v>
      </c>
      <c r="K369" s="66">
        <f t="shared" si="233"/>
        <v>6894000</v>
      </c>
      <c r="L369" s="56">
        <f t="shared" si="234"/>
        <v>0</v>
      </c>
      <c r="M369" s="66">
        <f t="shared" si="235"/>
        <v>0</v>
      </c>
      <c r="N369" s="66">
        <f t="shared" si="236"/>
        <v>0</v>
      </c>
      <c r="O369" s="66">
        <f t="shared" si="237"/>
        <v>0</v>
      </c>
      <c r="P369" s="39">
        <v>6894000</v>
      </c>
      <c r="Q369" s="53">
        <v>44244</v>
      </c>
      <c r="R369" s="1"/>
      <c r="S369" s="1"/>
      <c r="T369" s="53"/>
      <c r="U369" s="1"/>
      <c r="V369" s="1"/>
      <c r="W369" s="53"/>
      <c r="X369" s="1"/>
    </row>
    <row r="370" spans="1:24">
      <c r="A370" s="387"/>
      <c r="B370" s="26">
        <v>2369000</v>
      </c>
      <c r="C370" s="1"/>
      <c r="D370" s="32">
        <v>44195</v>
      </c>
      <c r="E370" s="1">
        <v>30</v>
      </c>
      <c r="F370" s="32">
        <f t="shared" si="231"/>
        <v>44225</v>
      </c>
      <c r="G370" s="54"/>
      <c r="H370" s="54"/>
      <c r="I370" s="54"/>
      <c r="J370" s="120">
        <f t="shared" si="232"/>
        <v>-29</v>
      </c>
      <c r="K370" s="66">
        <f t="shared" si="233"/>
        <v>2369000</v>
      </c>
      <c r="L370" s="56">
        <f t="shared" si="234"/>
        <v>0</v>
      </c>
      <c r="M370" s="66">
        <f t="shared" si="235"/>
        <v>0</v>
      </c>
      <c r="N370" s="66">
        <f t="shared" si="236"/>
        <v>0</v>
      </c>
      <c r="O370" s="66">
        <f t="shared" si="237"/>
        <v>0</v>
      </c>
      <c r="P370" s="39">
        <v>2369000</v>
      </c>
      <c r="Q370" s="53">
        <v>44232</v>
      </c>
      <c r="R370" s="1"/>
      <c r="S370" s="1"/>
      <c r="T370" s="53"/>
      <c r="U370" s="1"/>
      <c r="V370" s="1"/>
      <c r="W370" s="53"/>
      <c r="X370" s="1"/>
    </row>
    <row r="371" spans="1:24">
      <c r="A371" s="1" t="s">
        <v>46</v>
      </c>
      <c r="B371" s="30">
        <v>17417400</v>
      </c>
      <c r="C371" s="1"/>
      <c r="D371" s="32">
        <v>44196</v>
      </c>
      <c r="E371" s="1">
        <v>30</v>
      </c>
      <c r="F371" s="32">
        <f t="shared" si="231"/>
        <v>44226</v>
      </c>
      <c r="G371" s="54"/>
      <c r="H371" s="61">
        <f>B371</f>
        <v>17417400</v>
      </c>
      <c r="I371" s="54"/>
      <c r="J371" s="120">
        <f t="shared" si="232"/>
        <v>-30</v>
      </c>
      <c r="K371" s="66">
        <f t="shared" si="233"/>
        <v>17417400</v>
      </c>
      <c r="L371" s="56">
        <f t="shared" si="234"/>
        <v>0</v>
      </c>
      <c r="M371" s="66">
        <f t="shared" si="235"/>
        <v>0</v>
      </c>
      <c r="N371" s="66">
        <f t="shared" si="236"/>
        <v>0</v>
      </c>
      <c r="O371" s="66">
        <f t="shared" si="237"/>
        <v>0</v>
      </c>
      <c r="P371" s="39">
        <v>17417400</v>
      </c>
      <c r="Q371" s="53">
        <v>44201</v>
      </c>
      <c r="R371" s="1"/>
      <c r="S371" s="1"/>
      <c r="T371" s="53"/>
      <c r="U371" s="1"/>
      <c r="V371" s="1"/>
      <c r="W371" s="53"/>
      <c r="X371" s="1"/>
    </row>
    <row r="372" spans="1:24">
      <c r="A372" s="387" t="s">
        <v>47</v>
      </c>
      <c r="B372" s="30">
        <v>15400000</v>
      </c>
      <c r="C372" s="1"/>
      <c r="D372" s="32"/>
      <c r="E372" s="1"/>
      <c r="F372" s="32"/>
      <c r="G372" s="54"/>
      <c r="H372" s="61">
        <f>B372</f>
        <v>15400000</v>
      </c>
      <c r="I372" s="54"/>
      <c r="J372" s="119"/>
      <c r="K372" s="66"/>
      <c r="L372" s="56"/>
      <c r="M372" s="66"/>
      <c r="N372" s="66"/>
      <c r="O372" s="66"/>
      <c r="P372" s="39"/>
      <c r="Q372" s="53"/>
      <c r="R372" s="1"/>
      <c r="S372" s="1"/>
      <c r="T372" s="53"/>
      <c r="U372" s="1"/>
      <c r="V372" s="1"/>
      <c r="W372" s="53"/>
      <c r="X372" s="1"/>
    </row>
    <row r="373" spans="1:24">
      <c r="A373" s="387"/>
      <c r="B373" s="26">
        <v>3000000</v>
      </c>
      <c r="C373" s="1"/>
      <c r="D373" s="32">
        <v>44172</v>
      </c>
      <c r="E373" s="1">
        <v>30</v>
      </c>
      <c r="F373" s="32">
        <f t="shared" ref="F373:F376" si="238">D373+E373</f>
        <v>44202</v>
      </c>
      <c r="G373" s="54"/>
      <c r="H373" s="54"/>
      <c r="I373" s="54"/>
      <c r="J373" s="120">
        <f t="shared" ref="J373:J376" si="239">$A$3-F373</f>
        <v>-6</v>
      </c>
      <c r="K373" s="66">
        <f t="shared" ref="K373:K376" si="240">IF(J373&lt;=0,B373,0)</f>
        <v>3000000</v>
      </c>
      <c r="L373" s="56">
        <f t="shared" ref="L373:L376" si="241">IF(AND(J373&gt;=1,J373&lt;=30),B373,0)</f>
        <v>0</v>
      </c>
      <c r="M373" s="66">
        <f t="shared" ref="M373:M376" si="242">IF(AND(J373&gt;=31,J373&lt;=60),B373,0)</f>
        <v>0</v>
      </c>
      <c r="N373" s="66">
        <f t="shared" ref="N373:N376" si="243">IF(AND(J373&gt;=61,J373&lt;=90),B373,0)</f>
        <v>0</v>
      </c>
      <c r="O373" s="66">
        <f t="shared" ref="O373:O376" si="244">IF(J373&gt;90,B373,0)</f>
        <v>0</v>
      </c>
      <c r="P373" s="39">
        <v>3000000</v>
      </c>
      <c r="Q373" s="53">
        <v>44204</v>
      </c>
      <c r="R373" s="1"/>
      <c r="S373" s="1"/>
      <c r="T373" s="53"/>
      <c r="U373" s="1"/>
      <c r="V373" s="1"/>
      <c r="W373" s="53"/>
      <c r="X373" s="1"/>
    </row>
    <row r="374" spans="1:24">
      <c r="A374" s="387"/>
      <c r="B374" s="26">
        <v>4400000</v>
      </c>
      <c r="C374" s="1"/>
      <c r="D374" s="32">
        <v>44177</v>
      </c>
      <c r="E374" s="1">
        <v>30</v>
      </c>
      <c r="F374" s="32">
        <f t="shared" si="238"/>
        <v>44207</v>
      </c>
      <c r="G374" s="54"/>
      <c r="H374" s="54"/>
      <c r="I374" s="54"/>
      <c r="J374" s="120">
        <f t="shared" si="239"/>
        <v>-11</v>
      </c>
      <c r="K374" s="66">
        <f t="shared" si="240"/>
        <v>4400000</v>
      </c>
      <c r="L374" s="56">
        <f t="shared" si="241"/>
        <v>0</v>
      </c>
      <c r="M374" s="66">
        <f t="shared" si="242"/>
        <v>0</v>
      </c>
      <c r="N374" s="66">
        <f t="shared" si="243"/>
        <v>0</v>
      </c>
      <c r="O374" s="66">
        <f t="shared" si="244"/>
        <v>0</v>
      </c>
      <c r="P374" s="39">
        <v>4400000</v>
      </c>
      <c r="Q374" s="53">
        <v>44204</v>
      </c>
      <c r="R374" s="1"/>
      <c r="S374" s="1"/>
      <c r="T374" s="53"/>
      <c r="U374" s="1"/>
      <c r="V374" s="1"/>
      <c r="W374" s="53"/>
      <c r="X374" s="1"/>
    </row>
    <row r="375" spans="1:24">
      <c r="A375" s="387"/>
      <c r="B375" s="26">
        <v>8000000</v>
      </c>
      <c r="C375" s="1"/>
      <c r="D375" s="32">
        <v>44193</v>
      </c>
      <c r="E375" s="1">
        <v>30</v>
      </c>
      <c r="F375" s="32">
        <f t="shared" si="238"/>
        <v>44223</v>
      </c>
      <c r="G375" s="54"/>
      <c r="H375" s="54"/>
      <c r="I375" s="54"/>
      <c r="J375" s="120">
        <f t="shared" si="239"/>
        <v>-27</v>
      </c>
      <c r="K375" s="66">
        <f t="shared" si="240"/>
        <v>8000000</v>
      </c>
      <c r="L375" s="56">
        <f t="shared" si="241"/>
        <v>0</v>
      </c>
      <c r="M375" s="66">
        <f t="shared" si="242"/>
        <v>0</v>
      </c>
      <c r="N375" s="66">
        <f t="shared" si="243"/>
        <v>0</v>
      </c>
      <c r="O375" s="66">
        <f t="shared" si="244"/>
        <v>0</v>
      </c>
      <c r="P375" s="39">
        <v>2137575</v>
      </c>
      <c r="Q375" s="53">
        <v>44209</v>
      </c>
      <c r="R375" s="1"/>
      <c r="S375" s="39">
        <v>4351960</v>
      </c>
      <c r="T375" s="53">
        <v>44299</v>
      </c>
      <c r="U375" s="62"/>
      <c r="V375" s="27">
        <f>B375-P375-S375</f>
        <v>1510465</v>
      </c>
      <c r="W375" s="53">
        <v>44306</v>
      </c>
      <c r="X375" s="1"/>
    </row>
    <row r="376" spans="1:24">
      <c r="A376" s="1" t="s">
        <v>48</v>
      </c>
      <c r="B376" s="30">
        <v>14364000</v>
      </c>
      <c r="C376" s="1"/>
      <c r="D376" s="32">
        <v>44179</v>
      </c>
      <c r="E376" s="1">
        <v>30</v>
      </c>
      <c r="F376" s="32">
        <f t="shared" si="238"/>
        <v>44209</v>
      </c>
      <c r="G376" s="54"/>
      <c r="H376" s="61">
        <f t="shared" ref="H376:H377" si="245">B376</f>
        <v>14364000</v>
      </c>
      <c r="I376" s="54"/>
      <c r="J376" s="120">
        <f t="shared" si="239"/>
        <v>-13</v>
      </c>
      <c r="K376" s="66">
        <f t="shared" si="240"/>
        <v>14364000</v>
      </c>
      <c r="L376" s="56">
        <f t="shared" si="241"/>
        <v>0</v>
      </c>
      <c r="M376" s="66">
        <f t="shared" si="242"/>
        <v>0</v>
      </c>
      <c r="N376" s="66">
        <f t="shared" si="243"/>
        <v>0</v>
      </c>
      <c r="O376" s="66">
        <f t="shared" si="244"/>
        <v>0</v>
      </c>
      <c r="P376" s="39">
        <v>14364000</v>
      </c>
      <c r="Q376" s="53">
        <v>44209</v>
      </c>
      <c r="R376" s="1"/>
      <c r="S376" s="1"/>
      <c r="T376" s="53"/>
      <c r="U376" s="1"/>
      <c r="V376" s="1"/>
      <c r="W376" s="53"/>
      <c r="X376" s="1"/>
    </row>
    <row r="377" spans="1:24">
      <c r="A377" s="387" t="s">
        <v>49</v>
      </c>
      <c r="B377" s="30">
        <v>14069500</v>
      </c>
      <c r="C377" s="1"/>
      <c r="D377" s="32"/>
      <c r="E377" s="1"/>
      <c r="F377" s="32"/>
      <c r="G377" s="54"/>
      <c r="H377" s="63">
        <f t="shared" si="245"/>
        <v>14069500</v>
      </c>
      <c r="I377" s="54"/>
      <c r="J377" s="119"/>
      <c r="K377" s="66"/>
      <c r="L377" s="56"/>
      <c r="M377" s="66"/>
      <c r="N377" s="66"/>
      <c r="O377" s="66"/>
      <c r="P377" s="39"/>
      <c r="Q377" s="53"/>
      <c r="R377" s="1"/>
      <c r="S377" s="1"/>
      <c r="T377" s="53"/>
      <c r="U377" s="1"/>
      <c r="V377" s="1"/>
      <c r="W377" s="53"/>
      <c r="X377" s="1"/>
    </row>
    <row r="378" spans="1:24">
      <c r="A378" s="387"/>
      <c r="B378" s="26">
        <v>11681501</v>
      </c>
      <c r="C378" s="1"/>
      <c r="D378" s="32">
        <v>44188</v>
      </c>
      <c r="E378" s="1">
        <v>30</v>
      </c>
      <c r="F378" s="32">
        <f t="shared" ref="F378" si="246">D378+E378</f>
        <v>44218</v>
      </c>
      <c r="G378" s="54"/>
      <c r="H378" s="63"/>
      <c r="I378" s="54"/>
      <c r="J378" s="120">
        <f t="shared" ref="J378:J381" si="247">$A$3-F378</f>
        <v>-22</v>
      </c>
      <c r="K378" s="66">
        <f t="shared" ref="K378:K381" si="248">IF(J378&lt;=0,B378,0)</f>
        <v>11681501</v>
      </c>
      <c r="L378" s="56">
        <f t="shared" ref="L378:L381" si="249">IF(AND(J378&gt;=1,J378&lt;=30),B378,0)</f>
        <v>0</v>
      </c>
      <c r="M378" s="66">
        <f t="shared" ref="M378:M381" si="250">IF(AND(J378&gt;=31,J378&lt;=60),B378,0)</f>
        <v>0</v>
      </c>
      <c r="N378" s="66">
        <f t="shared" ref="N378:N381" si="251">IF(AND(J378&gt;=61,J378&lt;=90),B378,0)</f>
        <v>0</v>
      </c>
      <c r="O378" s="66">
        <f t="shared" ref="O378:O381" si="252">IF(J378&gt;90,B378,0)</f>
        <v>0</v>
      </c>
      <c r="P378" s="39"/>
      <c r="Q378" s="53"/>
      <c r="R378" s="1"/>
      <c r="S378" s="1"/>
      <c r="T378" s="53"/>
      <c r="U378" s="1"/>
      <c r="V378" s="1"/>
      <c r="W378" s="53"/>
      <c r="X378" s="1"/>
    </row>
    <row r="379" spans="1:24">
      <c r="A379" s="387"/>
      <c r="B379" s="26">
        <v>280000</v>
      </c>
      <c r="C379" s="1"/>
      <c r="D379" s="32">
        <v>44188</v>
      </c>
      <c r="E379" s="1">
        <v>30</v>
      </c>
      <c r="F379" s="32">
        <f t="shared" ref="F379:F381" si="253">D379+E379</f>
        <v>44218</v>
      </c>
      <c r="G379" s="54"/>
      <c r="H379" s="54"/>
      <c r="I379" s="54"/>
      <c r="J379" s="120">
        <f t="shared" si="247"/>
        <v>-22</v>
      </c>
      <c r="K379" s="66">
        <f t="shared" si="248"/>
        <v>280000</v>
      </c>
      <c r="L379" s="56">
        <f t="shared" si="249"/>
        <v>0</v>
      </c>
      <c r="M379" s="66">
        <f t="shared" si="250"/>
        <v>0</v>
      </c>
      <c r="N379" s="66">
        <f t="shared" si="251"/>
        <v>0</v>
      </c>
      <c r="O379" s="66">
        <f t="shared" si="252"/>
        <v>0</v>
      </c>
      <c r="P379" s="39">
        <v>280000</v>
      </c>
      <c r="Q379" s="53">
        <v>44242</v>
      </c>
      <c r="R379" s="1"/>
      <c r="S379" s="1"/>
      <c r="T379" s="53"/>
      <c r="U379" s="1"/>
      <c r="V379" s="1"/>
      <c r="W379" s="53"/>
      <c r="X379" s="1"/>
    </row>
    <row r="380" spans="1:24">
      <c r="A380" s="387"/>
      <c r="B380" s="26">
        <v>760000</v>
      </c>
      <c r="C380" s="1"/>
      <c r="D380" s="32">
        <v>44188</v>
      </c>
      <c r="E380" s="1">
        <v>30</v>
      </c>
      <c r="F380" s="32">
        <f t="shared" si="253"/>
        <v>44218</v>
      </c>
      <c r="G380" s="54"/>
      <c r="H380" s="54"/>
      <c r="I380" s="54"/>
      <c r="J380" s="120">
        <f t="shared" si="247"/>
        <v>-22</v>
      </c>
      <c r="K380" s="66">
        <f t="shared" si="248"/>
        <v>760000</v>
      </c>
      <c r="L380" s="56">
        <f t="shared" si="249"/>
        <v>0</v>
      </c>
      <c r="M380" s="66">
        <f t="shared" si="250"/>
        <v>0</v>
      </c>
      <c r="N380" s="66">
        <f t="shared" si="251"/>
        <v>0</v>
      </c>
      <c r="O380" s="66">
        <f t="shared" si="252"/>
        <v>0</v>
      </c>
      <c r="P380" s="39">
        <v>760000</v>
      </c>
      <c r="Q380" s="53">
        <v>44242</v>
      </c>
      <c r="R380" s="1"/>
      <c r="S380" s="1"/>
      <c r="T380" s="53"/>
      <c r="U380" s="1"/>
      <c r="V380" s="1"/>
      <c r="W380" s="53"/>
      <c r="X380" s="1"/>
    </row>
    <row r="381" spans="1:24">
      <c r="A381" s="387"/>
      <c r="B381" s="26">
        <v>1354000</v>
      </c>
      <c r="C381" s="1"/>
      <c r="D381" s="32">
        <v>44188</v>
      </c>
      <c r="E381" s="1">
        <v>30</v>
      </c>
      <c r="F381" s="32">
        <f t="shared" si="253"/>
        <v>44218</v>
      </c>
      <c r="G381" s="54"/>
      <c r="H381" s="54"/>
      <c r="I381" s="54"/>
      <c r="J381" s="120">
        <f t="shared" si="247"/>
        <v>-22</v>
      </c>
      <c r="K381" s="66">
        <f t="shared" si="248"/>
        <v>1354000</v>
      </c>
      <c r="L381" s="56">
        <f t="shared" si="249"/>
        <v>0</v>
      </c>
      <c r="M381" s="66">
        <f t="shared" si="250"/>
        <v>0</v>
      </c>
      <c r="N381" s="66">
        <f t="shared" si="251"/>
        <v>0</v>
      </c>
      <c r="O381" s="66">
        <f t="shared" si="252"/>
        <v>0</v>
      </c>
      <c r="P381" s="39">
        <v>1354000</v>
      </c>
      <c r="Q381" s="53">
        <v>44242</v>
      </c>
      <c r="R381" s="1"/>
      <c r="S381" s="1"/>
      <c r="T381" s="53"/>
      <c r="U381" s="1"/>
      <c r="V381" s="1"/>
      <c r="W381" s="53"/>
      <c r="X381" s="1"/>
    </row>
    <row r="382" spans="1:24">
      <c r="A382" s="387" t="s">
        <v>50</v>
      </c>
      <c r="B382" s="30">
        <v>13883000</v>
      </c>
      <c r="C382" s="1"/>
      <c r="D382" s="32"/>
      <c r="E382" s="1"/>
      <c r="F382" s="32"/>
      <c r="G382" s="54"/>
      <c r="H382" s="61">
        <f>B382</f>
        <v>13883000</v>
      </c>
      <c r="I382" s="54"/>
      <c r="J382" s="119"/>
      <c r="K382" s="66"/>
      <c r="L382" s="56"/>
      <c r="M382" s="66"/>
      <c r="N382" s="66"/>
      <c r="O382" s="66"/>
      <c r="P382" s="39"/>
      <c r="Q382" s="53"/>
      <c r="R382" s="1"/>
      <c r="S382" s="1"/>
      <c r="T382" s="53"/>
      <c r="U382" s="1"/>
      <c r="V382" s="1"/>
      <c r="W382" s="53"/>
      <c r="X382" s="1"/>
    </row>
    <row r="383" spans="1:24">
      <c r="A383" s="387"/>
      <c r="B383" s="26">
        <v>5619000</v>
      </c>
      <c r="C383" s="1"/>
      <c r="D383" s="32">
        <v>44173</v>
      </c>
      <c r="E383" s="1">
        <v>30</v>
      </c>
      <c r="F383" s="32">
        <f t="shared" ref="F383:F386" si="254">D383+E383</f>
        <v>44203</v>
      </c>
      <c r="G383" s="54"/>
      <c r="H383" s="54"/>
      <c r="I383" s="54"/>
      <c r="J383" s="120">
        <f t="shared" ref="J383:J386" si="255">$A$3-F383</f>
        <v>-7</v>
      </c>
      <c r="K383" s="66">
        <f t="shared" ref="K383:K386" si="256">IF(J383&lt;=0,B383,0)</f>
        <v>5619000</v>
      </c>
      <c r="L383" s="56">
        <f t="shared" ref="L383:L386" si="257">IF(AND(J383&gt;=1,J383&lt;=30),B383,0)</f>
        <v>0</v>
      </c>
      <c r="M383" s="66">
        <f t="shared" ref="M383:M386" si="258">IF(AND(J383&gt;=31,J383&lt;=60),B383,0)</f>
        <v>0</v>
      </c>
      <c r="N383" s="66">
        <f t="shared" ref="N383:N386" si="259">IF(AND(J383&gt;=61,J383&lt;=90),B383,0)</f>
        <v>0</v>
      </c>
      <c r="O383" s="66">
        <f t="shared" ref="O383:O386" si="260">IF(J383&gt;90,B383,0)</f>
        <v>0</v>
      </c>
      <c r="P383" s="39">
        <v>5619000</v>
      </c>
      <c r="Q383" s="53">
        <v>44211</v>
      </c>
      <c r="R383" s="1"/>
      <c r="S383" s="1"/>
      <c r="T383" s="53"/>
      <c r="U383" s="1"/>
      <c r="V383" s="1"/>
      <c r="W383" s="53"/>
      <c r="X383" s="1"/>
    </row>
    <row r="384" spans="1:24">
      <c r="A384" s="387"/>
      <c r="B384" s="26">
        <v>750000</v>
      </c>
      <c r="C384" s="1"/>
      <c r="D384" s="32">
        <v>44173</v>
      </c>
      <c r="E384" s="1">
        <v>30</v>
      </c>
      <c r="F384" s="32">
        <f t="shared" si="254"/>
        <v>44203</v>
      </c>
      <c r="G384" s="54"/>
      <c r="H384" s="54"/>
      <c r="I384" s="54"/>
      <c r="J384" s="120">
        <f t="shared" si="255"/>
        <v>-7</v>
      </c>
      <c r="K384" s="66">
        <f t="shared" si="256"/>
        <v>750000</v>
      </c>
      <c r="L384" s="56">
        <f t="shared" si="257"/>
        <v>0</v>
      </c>
      <c r="M384" s="66">
        <f t="shared" si="258"/>
        <v>0</v>
      </c>
      <c r="N384" s="66">
        <f t="shared" si="259"/>
        <v>0</v>
      </c>
      <c r="O384" s="66">
        <f t="shared" si="260"/>
        <v>0</v>
      </c>
      <c r="P384" s="39">
        <v>750000</v>
      </c>
      <c r="Q384" s="53">
        <v>44209</v>
      </c>
      <c r="R384" s="1"/>
      <c r="S384" s="1"/>
      <c r="T384" s="53"/>
      <c r="U384" s="1"/>
      <c r="V384" s="1"/>
      <c r="W384" s="53"/>
      <c r="X384" s="1"/>
    </row>
    <row r="385" spans="1:24">
      <c r="A385" s="387"/>
      <c r="B385" s="26">
        <v>7514000</v>
      </c>
      <c r="C385" s="1"/>
      <c r="D385" s="32">
        <v>44195</v>
      </c>
      <c r="E385" s="1">
        <v>30</v>
      </c>
      <c r="F385" s="32">
        <f t="shared" si="254"/>
        <v>44225</v>
      </c>
      <c r="G385" s="54"/>
      <c r="H385" s="54"/>
      <c r="I385" s="54"/>
      <c r="J385" s="120">
        <f t="shared" si="255"/>
        <v>-29</v>
      </c>
      <c r="K385" s="66">
        <f t="shared" si="256"/>
        <v>7514000</v>
      </c>
      <c r="L385" s="56">
        <f t="shared" si="257"/>
        <v>0</v>
      </c>
      <c r="M385" s="66">
        <f t="shared" si="258"/>
        <v>0</v>
      </c>
      <c r="N385" s="66">
        <f t="shared" si="259"/>
        <v>0</v>
      </c>
      <c r="O385" s="66">
        <f t="shared" si="260"/>
        <v>0</v>
      </c>
      <c r="P385" s="39">
        <v>7514000</v>
      </c>
      <c r="Q385" s="53">
        <v>44242</v>
      </c>
      <c r="R385" s="1"/>
      <c r="S385" s="1"/>
      <c r="T385" s="53"/>
      <c r="U385" s="1"/>
      <c r="V385" s="1"/>
      <c r="W385" s="53"/>
      <c r="X385" s="1"/>
    </row>
    <row r="386" spans="1:24">
      <c r="A386" s="1" t="s">
        <v>51</v>
      </c>
      <c r="B386" s="30">
        <v>13464000</v>
      </c>
      <c r="C386" s="1"/>
      <c r="D386" s="32">
        <v>44147</v>
      </c>
      <c r="E386" s="1">
        <v>30</v>
      </c>
      <c r="F386" s="32">
        <f t="shared" si="254"/>
        <v>44177</v>
      </c>
      <c r="G386" s="54"/>
      <c r="H386" s="61">
        <f t="shared" ref="H386:H387" si="261">B386</f>
        <v>13464000</v>
      </c>
      <c r="I386" s="54"/>
      <c r="J386" s="120">
        <f t="shared" si="255"/>
        <v>19</v>
      </c>
      <c r="K386" s="66">
        <f t="shared" si="256"/>
        <v>0</v>
      </c>
      <c r="L386" s="56">
        <f t="shared" si="257"/>
        <v>13464000</v>
      </c>
      <c r="M386" s="66">
        <f t="shared" si="258"/>
        <v>0</v>
      </c>
      <c r="N386" s="66">
        <f t="shared" si="259"/>
        <v>0</v>
      </c>
      <c r="O386" s="66">
        <f t="shared" si="260"/>
        <v>0</v>
      </c>
      <c r="P386" s="39">
        <v>13464000</v>
      </c>
      <c r="Q386" s="53">
        <v>44204</v>
      </c>
      <c r="R386" s="1"/>
      <c r="S386" s="1"/>
      <c r="T386" s="53"/>
      <c r="U386" s="1"/>
      <c r="V386" s="1"/>
      <c r="W386" s="53"/>
      <c r="X386" s="1"/>
    </row>
    <row r="387" spans="1:24">
      <c r="A387" s="387" t="s">
        <v>52</v>
      </c>
      <c r="B387" s="30">
        <v>13373200</v>
      </c>
      <c r="C387" s="1"/>
      <c r="D387" s="32"/>
      <c r="E387" s="1"/>
      <c r="F387" s="32"/>
      <c r="G387" s="54"/>
      <c r="H387" s="61">
        <f t="shared" si="261"/>
        <v>13373200</v>
      </c>
      <c r="I387" s="54"/>
      <c r="J387" s="119"/>
      <c r="K387" s="66"/>
      <c r="L387" s="56"/>
      <c r="M387" s="66"/>
      <c r="N387" s="66"/>
      <c r="O387" s="66"/>
      <c r="P387" s="39"/>
      <c r="Q387" s="64"/>
      <c r="R387" s="1"/>
      <c r="S387" s="1"/>
      <c r="T387" s="53"/>
      <c r="U387" s="1"/>
      <c r="V387" s="1"/>
      <c r="W387" s="53"/>
      <c r="X387" s="1"/>
    </row>
    <row r="388" spans="1:24">
      <c r="A388" s="387"/>
      <c r="B388" s="26">
        <v>56000</v>
      </c>
      <c r="C388" s="1"/>
      <c r="D388" s="32">
        <v>44109</v>
      </c>
      <c r="E388" s="1">
        <v>30</v>
      </c>
      <c r="F388" s="32">
        <f t="shared" ref="F388:F429" si="262">D388+E388</f>
        <v>44139</v>
      </c>
      <c r="G388" s="54"/>
      <c r="H388" s="54"/>
      <c r="I388" s="54"/>
      <c r="J388" s="120">
        <f t="shared" ref="J388:J429" si="263">$A$3-F388</f>
        <v>57</v>
      </c>
      <c r="K388" s="66">
        <f t="shared" ref="K388:K429" si="264">IF(J388&lt;=0,B388,0)</f>
        <v>0</v>
      </c>
      <c r="L388" s="56">
        <f t="shared" ref="L388:L429" si="265">IF(AND(J388&gt;=1,J388&lt;=30),B388,0)</f>
        <v>0</v>
      </c>
      <c r="M388" s="66">
        <f t="shared" ref="M388:M429" si="266">IF(AND(J388&gt;=31,J388&lt;=60),B388,0)</f>
        <v>56000</v>
      </c>
      <c r="N388" s="66">
        <f t="shared" ref="N388:N429" si="267">IF(AND(J388&gt;=61,J388&lt;=90),B388,0)</f>
        <v>0</v>
      </c>
      <c r="O388" s="66">
        <f t="shared" ref="O388:O429" si="268">IF(J388&gt;90,B388,0)</f>
        <v>0</v>
      </c>
      <c r="P388" s="39"/>
      <c r="Q388" s="64"/>
      <c r="R388" s="1"/>
      <c r="S388" s="1"/>
      <c r="T388" s="53"/>
      <c r="U388" s="1"/>
      <c r="V388" s="1"/>
      <c r="W388" s="53"/>
      <c r="X388" s="1"/>
    </row>
    <row r="389" spans="1:24">
      <c r="A389" s="387"/>
      <c r="B389" s="26">
        <v>225000</v>
      </c>
      <c r="C389" s="1"/>
      <c r="D389" s="32">
        <v>44110</v>
      </c>
      <c r="E389" s="1">
        <v>30</v>
      </c>
      <c r="F389" s="32">
        <f t="shared" si="262"/>
        <v>44140</v>
      </c>
      <c r="G389" s="54"/>
      <c r="H389" s="54"/>
      <c r="I389" s="54"/>
      <c r="J389" s="120">
        <f t="shared" si="263"/>
        <v>56</v>
      </c>
      <c r="K389" s="66">
        <f t="shared" si="264"/>
        <v>0</v>
      </c>
      <c r="L389" s="56">
        <f t="shared" si="265"/>
        <v>0</v>
      </c>
      <c r="M389" s="66">
        <f t="shared" si="266"/>
        <v>225000</v>
      </c>
      <c r="N389" s="66">
        <f t="shared" si="267"/>
        <v>0</v>
      </c>
      <c r="O389" s="66">
        <f t="shared" si="268"/>
        <v>0</v>
      </c>
      <c r="P389" s="39"/>
      <c r="Q389" s="64"/>
      <c r="R389" s="1"/>
      <c r="S389" s="1"/>
      <c r="T389" s="53"/>
      <c r="U389" s="1"/>
      <c r="V389" s="1"/>
      <c r="W389" s="53"/>
      <c r="X389" s="1"/>
    </row>
    <row r="390" spans="1:24">
      <c r="A390" s="387"/>
      <c r="B390" s="26">
        <v>17000</v>
      </c>
      <c r="C390" s="1"/>
      <c r="D390" s="32">
        <v>44117</v>
      </c>
      <c r="E390" s="1">
        <v>30</v>
      </c>
      <c r="F390" s="32">
        <f t="shared" si="262"/>
        <v>44147</v>
      </c>
      <c r="G390" s="54"/>
      <c r="H390" s="54"/>
      <c r="I390" s="54"/>
      <c r="J390" s="120">
        <f t="shared" si="263"/>
        <v>49</v>
      </c>
      <c r="K390" s="66">
        <f t="shared" si="264"/>
        <v>0</v>
      </c>
      <c r="L390" s="56">
        <f t="shared" si="265"/>
        <v>0</v>
      </c>
      <c r="M390" s="66">
        <f t="shared" si="266"/>
        <v>17000</v>
      </c>
      <c r="N390" s="66">
        <f t="shared" si="267"/>
        <v>0</v>
      </c>
      <c r="O390" s="66">
        <f t="shared" si="268"/>
        <v>0</v>
      </c>
      <c r="P390" s="39"/>
      <c r="Q390" s="64"/>
      <c r="R390" s="1"/>
      <c r="S390" s="1"/>
      <c r="T390" s="53"/>
      <c r="U390" s="1"/>
      <c r="V390" s="1"/>
      <c r="W390" s="53"/>
      <c r="X390" s="1"/>
    </row>
    <row r="391" spans="1:24">
      <c r="A391" s="387"/>
      <c r="B391" s="26">
        <v>126000</v>
      </c>
      <c r="C391" s="1"/>
      <c r="D391" s="32">
        <v>44117</v>
      </c>
      <c r="E391" s="1">
        <v>30</v>
      </c>
      <c r="F391" s="32">
        <f t="shared" si="262"/>
        <v>44147</v>
      </c>
      <c r="G391" s="54"/>
      <c r="H391" s="54"/>
      <c r="I391" s="54"/>
      <c r="J391" s="120">
        <f t="shared" si="263"/>
        <v>49</v>
      </c>
      <c r="K391" s="66">
        <f t="shared" si="264"/>
        <v>0</v>
      </c>
      <c r="L391" s="56">
        <f t="shared" si="265"/>
        <v>0</v>
      </c>
      <c r="M391" s="66">
        <f t="shared" si="266"/>
        <v>126000</v>
      </c>
      <c r="N391" s="66">
        <f t="shared" si="267"/>
        <v>0</v>
      </c>
      <c r="O391" s="66">
        <f t="shared" si="268"/>
        <v>0</v>
      </c>
      <c r="P391" s="39"/>
      <c r="Q391" s="64"/>
      <c r="R391" s="1"/>
      <c r="S391" s="1"/>
      <c r="T391" s="53"/>
      <c r="U391" s="1"/>
      <c r="V391" s="1"/>
      <c r="W391" s="53"/>
      <c r="X391" s="1"/>
    </row>
    <row r="392" spans="1:24">
      <c r="A392" s="387"/>
      <c r="B392" s="26">
        <v>76000</v>
      </c>
      <c r="C392" s="1"/>
      <c r="D392" s="32">
        <v>44120</v>
      </c>
      <c r="E392" s="1">
        <v>30</v>
      </c>
      <c r="F392" s="32">
        <f t="shared" si="262"/>
        <v>44150</v>
      </c>
      <c r="G392" s="54"/>
      <c r="H392" s="54"/>
      <c r="I392" s="54"/>
      <c r="J392" s="120">
        <f t="shared" si="263"/>
        <v>46</v>
      </c>
      <c r="K392" s="66">
        <f t="shared" si="264"/>
        <v>0</v>
      </c>
      <c r="L392" s="56">
        <f t="shared" si="265"/>
        <v>0</v>
      </c>
      <c r="M392" s="66">
        <f t="shared" si="266"/>
        <v>76000</v>
      </c>
      <c r="N392" s="66">
        <f t="shared" si="267"/>
        <v>0</v>
      </c>
      <c r="O392" s="66">
        <f t="shared" si="268"/>
        <v>0</v>
      </c>
      <c r="P392" s="39"/>
      <c r="Q392" s="64"/>
      <c r="R392" s="1"/>
      <c r="S392" s="1"/>
      <c r="T392" s="53"/>
      <c r="U392" s="1"/>
      <c r="V392" s="1"/>
      <c r="W392" s="53"/>
      <c r="X392" s="1"/>
    </row>
    <row r="393" spans="1:24">
      <c r="A393" s="387"/>
      <c r="B393" s="26">
        <v>52800</v>
      </c>
      <c r="C393" s="1"/>
      <c r="D393" s="32">
        <v>44128</v>
      </c>
      <c r="E393" s="1">
        <v>30</v>
      </c>
      <c r="F393" s="32">
        <f t="shared" si="262"/>
        <v>44158</v>
      </c>
      <c r="G393" s="54"/>
      <c r="H393" s="54"/>
      <c r="I393" s="54"/>
      <c r="J393" s="120">
        <f t="shared" si="263"/>
        <v>38</v>
      </c>
      <c r="K393" s="66">
        <f t="shared" si="264"/>
        <v>0</v>
      </c>
      <c r="L393" s="56">
        <f t="shared" si="265"/>
        <v>0</v>
      </c>
      <c r="M393" s="66">
        <f t="shared" si="266"/>
        <v>52800</v>
      </c>
      <c r="N393" s="66">
        <f t="shared" si="267"/>
        <v>0</v>
      </c>
      <c r="O393" s="66">
        <f t="shared" si="268"/>
        <v>0</v>
      </c>
      <c r="P393" s="39">
        <v>52800</v>
      </c>
      <c r="Q393" s="53">
        <v>44204</v>
      </c>
      <c r="R393" s="1"/>
      <c r="S393" s="1"/>
      <c r="T393" s="53"/>
      <c r="U393" s="1"/>
      <c r="V393" s="1"/>
      <c r="W393" s="53"/>
      <c r="X393" s="1"/>
    </row>
    <row r="394" spans="1:24">
      <c r="A394" s="387"/>
      <c r="B394" s="26">
        <v>412000</v>
      </c>
      <c r="C394" s="1"/>
      <c r="D394" s="32">
        <v>44128</v>
      </c>
      <c r="E394" s="1">
        <v>30</v>
      </c>
      <c r="F394" s="32">
        <f t="shared" si="262"/>
        <v>44158</v>
      </c>
      <c r="G394" s="54"/>
      <c r="H394" s="54"/>
      <c r="I394" s="54"/>
      <c r="J394" s="120">
        <f t="shared" si="263"/>
        <v>38</v>
      </c>
      <c r="K394" s="66">
        <f t="shared" si="264"/>
        <v>0</v>
      </c>
      <c r="L394" s="56">
        <f t="shared" si="265"/>
        <v>0</v>
      </c>
      <c r="M394" s="66">
        <f t="shared" si="266"/>
        <v>412000</v>
      </c>
      <c r="N394" s="66">
        <f t="shared" si="267"/>
        <v>0</v>
      </c>
      <c r="O394" s="66">
        <f t="shared" si="268"/>
        <v>0</v>
      </c>
      <c r="P394" s="39"/>
      <c r="Q394" s="64"/>
      <c r="R394" s="1"/>
      <c r="S394" s="1"/>
      <c r="T394" s="53"/>
      <c r="U394" s="1"/>
      <c r="V394" s="1"/>
      <c r="W394" s="53"/>
      <c r="X394" s="1"/>
    </row>
    <row r="395" spans="1:24">
      <c r="A395" s="387"/>
      <c r="B395" s="26">
        <v>371000</v>
      </c>
      <c r="C395" s="1"/>
      <c r="D395" s="32">
        <v>44128</v>
      </c>
      <c r="E395" s="1">
        <v>30</v>
      </c>
      <c r="F395" s="32">
        <f t="shared" si="262"/>
        <v>44158</v>
      </c>
      <c r="G395" s="54"/>
      <c r="H395" s="54"/>
      <c r="I395" s="54"/>
      <c r="J395" s="120">
        <f t="shared" si="263"/>
        <v>38</v>
      </c>
      <c r="K395" s="66">
        <f t="shared" si="264"/>
        <v>0</v>
      </c>
      <c r="L395" s="56">
        <f t="shared" si="265"/>
        <v>0</v>
      </c>
      <c r="M395" s="66">
        <f t="shared" si="266"/>
        <v>371000</v>
      </c>
      <c r="N395" s="66">
        <f t="shared" si="267"/>
        <v>0</v>
      </c>
      <c r="O395" s="66">
        <f t="shared" si="268"/>
        <v>0</v>
      </c>
      <c r="P395" s="39"/>
      <c r="Q395" s="64"/>
      <c r="R395" s="1"/>
      <c r="S395" s="1"/>
      <c r="T395" s="53"/>
      <c r="U395" s="1"/>
      <c r="V395" s="1"/>
      <c r="W395" s="53"/>
      <c r="X395" s="1"/>
    </row>
    <row r="396" spans="1:24">
      <c r="A396" s="387"/>
      <c r="B396" s="26">
        <v>55000</v>
      </c>
      <c r="C396" s="1"/>
      <c r="D396" s="32">
        <v>44128</v>
      </c>
      <c r="E396" s="1">
        <v>30</v>
      </c>
      <c r="F396" s="32">
        <f t="shared" si="262"/>
        <v>44158</v>
      </c>
      <c r="G396" s="54"/>
      <c r="H396" s="54"/>
      <c r="I396" s="54"/>
      <c r="J396" s="120">
        <f t="shared" si="263"/>
        <v>38</v>
      </c>
      <c r="K396" s="66">
        <f t="shared" si="264"/>
        <v>0</v>
      </c>
      <c r="L396" s="56">
        <f t="shared" si="265"/>
        <v>0</v>
      </c>
      <c r="M396" s="66">
        <f t="shared" si="266"/>
        <v>55000</v>
      </c>
      <c r="N396" s="66">
        <f t="shared" si="267"/>
        <v>0</v>
      </c>
      <c r="O396" s="66">
        <f t="shared" si="268"/>
        <v>0</v>
      </c>
      <c r="P396" s="39">
        <v>55000</v>
      </c>
      <c r="Q396" s="53">
        <v>44204</v>
      </c>
      <c r="R396" s="1"/>
      <c r="S396" s="1"/>
      <c r="T396" s="53"/>
      <c r="U396" s="1"/>
      <c r="V396" s="1"/>
      <c r="W396" s="53"/>
      <c r="X396" s="1"/>
    </row>
    <row r="397" spans="1:24">
      <c r="A397" s="387"/>
      <c r="B397" s="26">
        <v>25000</v>
      </c>
      <c r="C397" s="1"/>
      <c r="D397" s="32">
        <v>44130</v>
      </c>
      <c r="E397" s="1">
        <v>30</v>
      </c>
      <c r="F397" s="32">
        <f t="shared" si="262"/>
        <v>44160</v>
      </c>
      <c r="G397" s="54"/>
      <c r="H397" s="54"/>
      <c r="I397" s="54"/>
      <c r="J397" s="120">
        <f t="shared" si="263"/>
        <v>36</v>
      </c>
      <c r="K397" s="66">
        <f t="shared" si="264"/>
        <v>0</v>
      </c>
      <c r="L397" s="56">
        <f t="shared" si="265"/>
        <v>0</v>
      </c>
      <c r="M397" s="66">
        <f t="shared" si="266"/>
        <v>25000</v>
      </c>
      <c r="N397" s="66">
        <f t="shared" si="267"/>
        <v>0</v>
      </c>
      <c r="O397" s="66">
        <f t="shared" si="268"/>
        <v>0</v>
      </c>
      <c r="P397" s="39">
        <v>25000</v>
      </c>
      <c r="Q397" s="53">
        <v>44204</v>
      </c>
      <c r="R397" s="1"/>
      <c r="S397" s="1"/>
      <c r="T397" s="53"/>
      <c r="U397" s="1"/>
      <c r="V397" s="1"/>
      <c r="W397" s="53"/>
      <c r="X397" s="1"/>
    </row>
    <row r="398" spans="1:24">
      <c r="A398" s="387"/>
      <c r="B398" s="26">
        <v>67500</v>
      </c>
      <c r="C398" s="1"/>
      <c r="D398" s="32">
        <v>44131</v>
      </c>
      <c r="E398" s="1">
        <v>30</v>
      </c>
      <c r="F398" s="32">
        <f t="shared" si="262"/>
        <v>44161</v>
      </c>
      <c r="G398" s="54"/>
      <c r="H398" s="54"/>
      <c r="I398" s="54"/>
      <c r="J398" s="120">
        <f t="shared" si="263"/>
        <v>35</v>
      </c>
      <c r="K398" s="66">
        <f t="shared" si="264"/>
        <v>0</v>
      </c>
      <c r="L398" s="56">
        <f t="shared" si="265"/>
        <v>0</v>
      </c>
      <c r="M398" s="66">
        <f t="shared" si="266"/>
        <v>67500</v>
      </c>
      <c r="N398" s="66">
        <f t="shared" si="267"/>
        <v>0</v>
      </c>
      <c r="O398" s="66">
        <f t="shared" si="268"/>
        <v>0</v>
      </c>
      <c r="P398" s="39">
        <v>67500</v>
      </c>
      <c r="Q398" s="53">
        <v>44204</v>
      </c>
      <c r="R398" s="1"/>
      <c r="S398" s="1"/>
      <c r="T398" s="53"/>
      <c r="U398" s="1"/>
      <c r="V398" s="1"/>
      <c r="W398" s="53"/>
      <c r="X398" s="1"/>
    </row>
    <row r="399" spans="1:24">
      <c r="A399" s="387"/>
      <c r="B399" s="26">
        <v>228000</v>
      </c>
      <c r="C399" s="1"/>
      <c r="D399" s="32">
        <v>44131</v>
      </c>
      <c r="E399" s="1">
        <v>30</v>
      </c>
      <c r="F399" s="32">
        <f t="shared" si="262"/>
        <v>44161</v>
      </c>
      <c r="G399" s="54"/>
      <c r="H399" s="54"/>
      <c r="I399" s="54"/>
      <c r="J399" s="120">
        <f t="shared" si="263"/>
        <v>35</v>
      </c>
      <c r="K399" s="66">
        <f t="shared" si="264"/>
        <v>0</v>
      </c>
      <c r="L399" s="56">
        <f t="shared" si="265"/>
        <v>0</v>
      </c>
      <c r="M399" s="66">
        <f t="shared" si="266"/>
        <v>228000</v>
      </c>
      <c r="N399" s="66">
        <f t="shared" si="267"/>
        <v>0</v>
      </c>
      <c r="O399" s="66">
        <f t="shared" si="268"/>
        <v>0</v>
      </c>
      <c r="P399" s="39">
        <v>228000</v>
      </c>
      <c r="Q399" s="53">
        <v>44204</v>
      </c>
      <c r="R399" s="1"/>
      <c r="S399" s="1"/>
      <c r="T399" s="53"/>
      <c r="U399" s="1"/>
      <c r="V399" s="1"/>
      <c r="W399" s="53"/>
      <c r="X399" s="1"/>
    </row>
    <row r="400" spans="1:24">
      <c r="A400" s="387"/>
      <c r="B400" s="26">
        <v>55000</v>
      </c>
      <c r="C400" s="1"/>
      <c r="D400" s="32">
        <v>44132</v>
      </c>
      <c r="E400" s="1">
        <v>30</v>
      </c>
      <c r="F400" s="32">
        <f t="shared" si="262"/>
        <v>44162</v>
      </c>
      <c r="G400" s="54"/>
      <c r="H400" s="54"/>
      <c r="I400" s="54"/>
      <c r="J400" s="120">
        <f t="shared" si="263"/>
        <v>34</v>
      </c>
      <c r="K400" s="66">
        <f t="shared" si="264"/>
        <v>0</v>
      </c>
      <c r="L400" s="56">
        <f t="shared" si="265"/>
        <v>0</v>
      </c>
      <c r="M400" s="66">
        <f t="shared" si="266"/>
        <v>55000</v>
      </c>
      <c r="N400" s="66">
        <f t="shared" si="267"/>
        <v>0</v>
      </c>
      <c r="O400" s="66">
        <f t="shared" si="268"/>
        <v>0</v>
      </c>
      <c r="P400" s="39">
        <v>55000</v>
      </c>
      <c r="Q400" s="53">
        <v>44204</v>
      </c>
      <c r="R400" s="1"/>
      <c r="S400" s="1"/>
      <c r="T400" s="53"/>
      <c r="U400" s="1"/>
      <c r="V400" s="1"/>
      <c r="W400" s="53"/>
      <c r="X400" s="1"/>
    </row>
    <row r="401" spans="1:24">
      <c r="A401" s="387"/>
      <c r="B401" s="26">
        <v>31000</v>
      </c>
      <c r="C401" s="1"/>
      <c r="D401" s="32">
        <v>44132</v>
      </c>
      <c r="E401" s="1">
        <v>30</v>
      </c>
      <c r="F401" s="32">
        <f t="shared" si="262"/>
        <v>44162</v>
      </c>
      <c r="G401" s="54"/>
      <c r="H401" s="54"/>
      <c r="I401" s="54"/>
      <c r="J401" s="120">
        <f t="shared" si="263"/>
        <v>34</v>
      </c>
      <c r="K401" s="66">
        <f t="shared" si="264"/>
        <v>0</v>
      </c>
      <c r="L401" s="56">
        <f t="shared" si="265"/>
        <v>0</v>
      </c>
      <c r="M401" s="66">
        <f t="shared" si="266"/>
        <v>31000</v>
      </c>
      <c r="N401" s="66">
        <f t="shared" si="267"/>
        <v>0</v>
      </c>
      <c r="O401" s="66">
        <f t="shared" si="268"/>
        <v>0</v>
      </c>
      <c r="P401" s="39"/>
      <c r="Q401" s="64"/>
      <c r="R401" s="1"/>
      <c r="S401" s="1"/>
      <c r="T401" s="53"/>
      <c r="U401" s="1"/>
      <c r="V401" s="1"/>
      <c r="W401" s="53"/>
      <c r="X401" s="1"/>
    </row>
    <row r="402" spans="1:24">
      <c r="A402" s="387"/>
      <c r="B402" s="26">
        <v>751000</v>
      </c>
      <c r="C402" s="1"/>
      <c r="D402" s="32">
        <v>44141</v>
      </c>
      <c r="E402" s="1">
        <v>30</v>
      </c>
      <c r="F402" s="32">
        <f t="shared" si="262"/>
        <v>44171</v>
      </c>
      <c r="G402" s="54"/>
      <c r="H402" s="54"/>
      <c r="I402" s="54"/>
      <c r="J402" s="120">
        <f t="shared" si="263"/>
        <v>25</v>
      </c>
      <c r="K402" s="66">
        <f t="shared" si="264"/>
        <v>0</v>
      </c>
      <c r="L402" s="56">
        <f t="shared" si="265"/>
        <v>751000</v>
      </c>
      <c r="M402" s="66">
        <f t="shared" si="266"/>
        <v>0</v>
      </c>
      <c r="N402" s="66">
        <f t="shared" si="267"/>
        <v>0</v>
      </c>
      <c r="O402" s="66">
        <f t="shared" si="268"/>
        <v>0</v>
      </c>
      <c r="P402" s="39">
        <v>751000</v>
      </c>
      <c r="Q402" s="53">
        <v>44204</v>
      </c>
      <c r="R402" s="1"/>
      <c r="S402" s="1"/>
      <c r="T402" s="53"/>
      <c r="U402" s="1"/>
      <c r="V402" s="1"/>
      <c r="W402" s="53"/>
      <c r="X402" s="1"/>
    </row>
    <row r="403" spans="1:24">
      <c r="A403" s="387"/>
      <c r="B403" s="26">
        <v>577000</v>
      </c>
      <c r="C403" s="1"/>
      <c r="D403" s="32">
        <v>44145</v>
      </c>
      <c r="E403" s="1">
        <v>30</v>
      </c>
      <c r="F403" s="32">
        <f t="shared" si="262"/>
        <v>44175</v>
      </c>
      <c r="G403" s="54"/>
      <c r="H403" s="54"/>
      <c r="I403" s="54"/>
      <c r="J403" s="120">
        <f t="shared" si="263"/>
        <v>21</v>
      </c>
      <c r="K403" s="66">
        <f t="shared" si="264"/>
        <v>0</v>
      </c>
      <c r="L403" s="56">
        <f t="shared" si="265"/>
        <v>577000</v>
      </c>
      <c r="M403" s="66">
        <f t="shared" si="266"/>
        <v>0</v>
      </c>
      <c r="N403" s="66">
        <f t="shared" si="267"/>
        <v>0</v>
      </c>
      <c r="O403" s="66">
        <f t="shared" si="268"/>
        <v>0</v>
      </c>
      <c r="P403" s="39">
        <v>577000</v>
      </c>
      <c r="Q403" s="53">
        <v>44211</v>
      </c>
      <c r="R403" s="1"/>
      <c r="S403" s="1"/>
      <c r="T403" s="53"/>
      <c r="U403" s="1"/>
      <c r="V403" s="1"/>
      <c r="W403" s="53"/>
      <c r="X403" s="1"/>
    </row>
    <row r="404" spans="1:24">
      <c r="A404" s="387"/>
      <c r="B404" s="26">
        <v>35000</v>
      </c>
      <c r="C404" s="1"/>
      <c r="D404" s="32">
        <v>44147</v>
      </c>
      <c r="E404" s="1">
        <v>30</v>
      </c>
      <c r="F404" s="32">
        <f t="shared" si="262"/>
        <v>44177</v>
      </c>
      <c r="G404" s="54"/>
      <c r="H404" s="54"/>
      <c r="I404" s="54"/>
      <c r="J404" s="120">
        <f t="shared" si="263"/>
        <v>19</v>
      </c>
      <c r="K404" s="66">
        <f t="shared" si="264"/>
        <v>0</v>
      </c>
      <c r="L404" s="56">
        <f t="shared" si="265"/>
        <v>35000</v>
      </c>
      <c r="M404" s="66">
        <f t="shared" si="266"/>
        <v>0</v>
      </c>
      <c r="N404" s="66">
        <f t="shared" si="267"/>
        <v>0</v>
      </c>
      <c r="O404" s="66">
        <f t="shared" si="268"/>
        <v>0</v>
      </c>
      <c r="P404" s="39"/>
      <c r="Q404" s="64"/>
      <c r="R404" s="1"/>
      <c r="S404" s="1"/>
      <c r="T404" s="53"/>
      <c r="U404" s="1"/>
      <c r="V404" s="1"/>
      <c r="W404" s="53"/>
      <c r="X404" s="1"/>
    </row>
    <row r="405" spans="1:24">
      <c r="A405" s="387"/>
      <c r="B405" s="26">
        <v>220500</v>
      </c>
      <c r="C405" s="1"/>
      <c r="D405" s="32">
        <v>44148</v>
      </c>
      <c r="E405" s="1">
        <v>30</v>
      </c>
      <c r="F405" s="32">
        <f t="shared" si="262"/>
        <v>44178</v>
      </c>
      <c r="G405" s="54"/>
      <c r="H405" s="54"/>
      <c r="I405" s="54"/>
      <c r="J405" s="120">
        <f t="shared" si="263"/>
        <v>18</v>
      </c>
      <c r="K405" s="66">
        <f t="shared" si="264"/>
        <v>0</v>
      </c>
      <c r="L405" s="56">
        <f t="shared" si="265"/>
        <v>220500</v>
      </c>
      <c r="M405" s="66">
        <f t="shared" si="266"/>
        <v>0</v>
      </c>
      <c r="N405" s="66">
        <f t="shared" si="267"/>
        <v>0</v>
      </c>
      <c r="O405" s="66">
        <f t="shared" si="268"/>
        <v>0</v>
      </c>
      <c r="P405" s="39">
        <v>220500</v>
      </c>
      <c r="Q405" s="53">
        <v>44204</v>
      </c>
      <c r="R405" s="1"/>
      <c r="S405" s="1"/>
      <c r="T405" s="53"/>
      <c r="U405" s="1"/>
      <c r="V405" s="1"/>
      <c r="W405" s="53"/>
      <c r="X405" s="1"/>
    </row>
    <row r="406" spans="1:24">
      <c r="A406" s="387"/>
      <c r="B406" s="26">
        <v>500000</v>
      </c>
      <c r="C406" s="1"/>
      <c r="D406" s="32">
        <v>44152</v>
      </c>
      <c r="E406" s="1">
        <v>30</v>
      </c>
      <c r="F406" s="32">
        <f t="shared" si="262"/>
        <v>44182</v>
      </c>
      <c r="G406" s="54"/>
      <c r="H406" s="54"/>
      <c r="I406" s="54"/>
      <c r="J406" s="120">
        <f t="shared" si="263"/>
        <v>14</v>
      </c>
      <c r="K406" s="66">
        <f t="shared" si="264"/>
        <v>0</v>
      </c>
      <c r="L406" s="56">
        <f t="shared" si="265"/>
        <v>500000</v>
      </c>
      <c r="M406" s="66">
        <f t="shared" si="266"/>
        <v>0</v>
      </c>
      <c r="N406" s="66">
        <f t="shared" si="267"/>
        <v>0</v>
      </c>
      <c r="O406" s="66">
        <f t="shared" si="268"/>
        <v>0</v>
      </c>
      <c r="P406" s="39">
        <v>500000</v>
      </c>
      <c r="Q406" s="53">
        <v>44204</v>
      </c>
      <c r="R406" s="1"/>
      <c r="S406" s="1"/>
      <c r="T406" s="53"/>
      <c r="U406" s="1"/>
      <c r="V406" s="1"/>
      <c r="W406" s="53"/>
      <c r="X406" s="1"/>
    </row>
    <row r="407" spans="1:24">
      <c r="A407" s="387"/>
      <c r="B407" s="26">
        <v>35000</v>
      </c>
      <c r="C407" s="1"/>
      <c r="D407" s="32">
        <v>44152</v>
      </c>
      <c r="E407" s="1">
        <v>30</v>
      </c>
      <c r="F407" s="32">
        <f t="shared" si="262"/>
        <v>44182</v>
      </c>
      <c r="G407" s="54"/>
      <c r="H407" s="54"/>
      <c r="I407" s="54"/>
      <c r="J407" s="120">
        <f t="shared" si="263"/>
        <v>14</v>
      </c>
      <c r="K407" s="66">
        <f t="shared" si="264"/>
        <v>0</v>
      </c>
      <c r="L407" s="56">
        <f t="shared" si="265"/>
        <v>35000</v>
      </c>
      <c r="M407" s="66">
        <f t="shared" si="266"/>
        <v>0</v>
      </c>
      <c r="N407" s="66">
        <f t="shared" si="267"/>
        <v>0</v>
      </c>
      <c r="O407" s="66">
        <f t="shared" si="268"/>
        <v>0</v>
      </c>
      <c r="P407" s="39"/>
      <c r="Q407" s="64"/>
      <c r="R407" s="1"/>
      <c r="S407" s="1"/>
      <c r="T407" s="53"/>
      <c r="U407" s="1"/>
      <c r="V407" s="1"/>
      <c r="W407" s="53"/>
      <c r="X407" s="1"/>
    </row>
    <row r="408" spans="1:24">
      <c r="A408" s="387"/>
      <c r="B408" s="26">
        <v>55000</v>
      </c>
      <c r="C408" s="1"/>
      <c r="D408" s="32">
        <v>44159</v>
      </c>
      <c r="E408" s="1">
        <v>30</v>
      </c>
      <c r="F408" s="32">
        <f t="shared" si="262"/>
        <v>44189</v>
      </c>
      <c r="G408" s="54"/>
      <c r="H408" s="54"/>
      <c r="I408" s="54"/>
      <c r="J408" s="120">
        <f t="shared" si="263"/>
        <v>7</v>
      </c>
      <c r="K408" s="66">
        <f t="shared" si="264"/>
        <v>0</v>
      </c>
      <c r="L408" s="56">
        <f t="shared" si="265"/>
        <v>55000</v>
      </c>
      <c r="M408" s="66">
        <f t="shared" si="266"/>
        <v>0</v>
      </c>
      <c r="N408" s="66">
        <f t="shared" si="267"/>
        <v>0</v>
      </c>
      <c r="O408" s="66">
        <f t="shared" si="268"/>
        <v>0</v>
      </c>
      <c r="P408" s="39"/>
      <c r="Q408" s="64"/>
      <c r="R408" s="1"/>
      <c r="S408" s="1"/>
      <c r="T408" s="53"/>
      <c r="U408" s="1"/>
      <c r="V408" s="1"/>
      <c r="W408" s="53"/>
      <c r="X408" s="1"/>
    </row>
    <row r="409" spans="1:24">
      <c r="A409" s="387"/>
      <c r="B409" s="26">
        <v>79500</v>
      </c>
      <c r="C409" s="1"/>
      <c r="D409" s="32">
        <v>44159</v>
      </c>
      <c r="E409" s="1">
        <v>30</v>
      </c>
      <c r="F409" s="32">
        <f t="shared" si="262"/>
        <v>44189</v>
      </c>
      <c r="G409" s="54"/>
      <c r="H409" s="54"/>
      <c r="I409" s="54"/>
      <c r="J409" s="120">
        <f t="shared" si="263"/>
        <v>7</v>
      </c>
      <c r="K409" s="66">
        <f t="shared" si="264"/>
        <v>0</v>
      </c>
      <c r="L409" s="56">
        <f t="shared" si="265"/>
        <v>79500</v>
      </c>
      <c r="M409" s="66">
        <f t="shared" si="266"/>
        <v>0</v>
      </c>
      <c r="N409" s="66">
        <f t="shared" si="267"/>
        <v>0</v>
      </c>
      <c r="O409" s="66">
        <f t="shared" si="268"/>
        <v>0</v>
      </c>
      <c r="P409" s="39">
        <v>79500</v>
      </c>
      <c r="Q409" s="53">
        <v>44204</v>
      </c>
      <c r="R409" s="1"/>
      <c r="S409" s="1"/>
      <c r="T409" s="53"/>
      <c r="U409" s="1"/>
      <c r="V409" s="1"/>
      <c r="W409" s="53"/>
      <c r="X409" s="1"/>
    </row>
    <row r="410" spans="1:24">
      <c r="A410" s="387"/>
      <c r="B410" s="26">
        <v>22000</v>
      </c>
      <c r="C410" s="1"/>
      <c r="D410" s="32">
        <v>44159</v>
      </c>
      <c r="E410" s="1">
        <v>30</v>
      </c>
      <c r="F410" s="32">
        <f t="shared" si="262"/>
        <v>44189</v>
      </c>
      <c r="G410" s="54"/>
      <c r="H410" s="54"/>
      <c r="I410" s="54"/>
      <c r="J410" s="120">
        <f t="shared" si="263"/>
        <v>7</v>
      </c>
      <c r="K410" s="66">
        <f t="shared" si="264"/>
        <v>0</v>
      </c>
      <c r="L410" s="56">
        <f t="shared" si="265"/>
        <v>22000</v>
      </c>
      <c r="M410" s="66">
        <f t="shared" si="266"/>
        <v>0</v>
      </c>
      <c r="N410" s="66">
        <f t="shared" si="267"/>
        <v>0</v>
      </c>
      <c r="O410" s="66">
        <f t="shared" si="268"/>
        <v>0</v>
      </c>
      <c r="P410" s="39"/>
      <c r="Q410" s="64"/>
      <c r="R410" s="1"/>
      <c r="S410" s="1"/>
      <c r="T410" s="53"/>
      <c r="U410" s="1"/>
      <c r="V410" s="1"/>
      <c r="W410" s="53"/>
      <c r="X410" s="1"/>
    </row>
    <row r="411" spans="1:24">
      <c r="A411" s="387"/>
      <c r="B411" s="26">
        <v>90000</v>
      </c>
      <c r="C411" s="1"/>
      <c r="D411" s="32">
        <v>44162</v>
      </c>
      <c r="E411" s="1">
        <v>30</v>
      </c>
      <c r="F411" s="32">
        <f t="shared" si="262"/>
        <v>44192</v>
      </c>
      <c r="G411" s="54"/>
      <c r="H411" s="54"/>
      <c r="I411" s="54"/>
      <c r="J411" s="120">
        <f t="shared" si="263"/>
        <v>4</v>
      </c>
      <c r="K411" s="66">
        <f t="shared" si="264"/>
        <v>0</v>
      </c>
      <c r="L411" s="56">
        <f t="shared" si="265"/>
        <v>90000</v>
      </c>
      <c r="M411" s="66">
        <f t="shared" si="266"/>
        <v>0</v>
      </c>
      <c r="N411" s="66">
        <f t="shared" si="267"/>
        <v>0</v>
      </c>
      <c r="O411" s="66">
        <f t="shared" si="268"/>
        <v>0</v>
      </c>
      <c r="P411" s="39">
        <v>90000</v>
      </c>
      <c r="Q411" s="53">
        <v>44210</v>
      </c>
      <c r="R411" s="1"/>
      <c r="S411" s="1"/>
      <c r="T411" s="53"/>
      <c r="U411" s="1"/>
      <c r="V411" s="1"/>
      <c r="W411" s="53"/>
      <c r="X411" s="1"/>
    </row>
    <row r="412" spans="1:24">
      <c r="A412" s="387"/>
      <c r="B412" s="26">
        <v>42000</v>
      </c>
      <c r="C412" s="1"/>
      <c r="D412" s="32">
        <v>44162</v>
      </c>
      <c r="E412" s="1">
        <v>30</v>
      </c>
      <c r="F412" s="32">
        <f t="shared" si="262"/>
        <v>44192</v>
      </c>
      <c r="G412" s="54"/>
      <c r="H412" s="54"/>
      <c r="I412" s="54"/>
      <c r="J412" s="120">
        <f t="shared" si="263"/>
        <v>4</v>
      </c>
      <c r="K412" s="66">
        <f t="shared" si="264"/>
        <v>0</v>
      </c>
      <c r="L412" s="56">
        <f t="shared" si="265"/>
        <v>42000</v>
      </c>
      <c r="M412" s="66">
        <f t="shared" si="266"/>
        <v>0</v>
      </c>
      <c r="N412" s="66">
        <f t="shared" si="267"/>
        <v>0</v>
      </c>
      <c r="O412" s="66">
        <f t="shared" si="268"/>
        <v>0</v>
      </c>
      <c r="P412" s="39">
        <v>42000</v>
      </c>
      <c r="Q412" s="53">
        <v>44210</v>
      </c>
      <c r="R412" s="1"/>
      <c r="S412" s="1"/>
      <c r="T412" s="53"/>
      <c r="U412" s="1"/>
      <c r="V412" s="1"/>
      <c r="W412" s="53"/>
      <c r="X412" s="1"/>
    </row>
    <row r="413" spans="1:24">
      <c r="A413" s="387"/>
      <c r="B413" s="26">
        <v>17000</v>
      </c>
      <c r="C413" s="1"/>
      <c r="D413" s="32">
        <v>44162</v>
      </c>
      <c r="E413" s="1">
        <v>30</v>
      </c>
      <c r="F413" s="32">
        <f t="shared" si="262"/>
        <v>44192</v>
      </c>
      <c r="G413" s="54"/>
      <c r="H413" s="54"/>
      <c r="I413" s="54"/>
      <c r="J413" s="120">
        <f t="shared" si="263"/>
        <v>4</v>
      </c>
      <c r="K413" s="66">
        <f t="shared" si="264"/>
        <v>0</v>
      </c>
      <c r="L413" s="56">
        <f t="shared" si="265"/>
        <v>17000</v>
      </c>
      <c r="M413" s="66">
        <f t="shared" si="266"/>
        <v>0</v>
      </c>
      <c r="N413" s="66">
        <f t="shared" si="267"/>
        <v>0</v>
      </c>
      <c r="O413" s="66">
        <f t="shared" si="268"/>
        <v>0</v>
      </c>
      <c r="P413" s="39">
        <v>17000</v>
      </c>
      <c r="Q413" s="53">
        <v>44210</v>
      </c>
      <c r="R413" s="1"/>
      <c r="S413" s="1"/>
      <c r="T413" s="53"/>
      <c r="U413" s="1"/>
      <c r="V413" s="1"/>
      <c r="W413" s="53"/>
      <c r="X413" s="1"/>
    </row>
    <row r="414" spans="1:24">
      <c r="A414" s="387"/>
      <c r="B414" s="26">
        <v>28500</v>
      </c>
      <c r="C414" s="1"/>
      <c r="D414" s="32">
        <v>44168</v>
      </c>
      <c r="E414" s="1">
        <v>30</v>
      </c>
      <c r="F414" s="32">
        <f t="shared" si="262"/>
        <v>44198</v>
      </c>
      <c r="G414" s="54"/>
      <c r="H414" s="54"/>
      <c r="I414" s="54"/>
      <c r="J414" s="120">
        <f t="shared" si="263"/>
        <v>-2</v>
      </c>
      <c r="K414" s="66">
        <f t="shared" si="264"/>
        <v>28500</v>
      </c>
      <c r="L414" s="56">
        <f t="shared" si="265"/>
        <v>0</v>
      </c>
      <c r="M414" s="66">
        <f t="shared" si="266"/>
        <v>0</v>
      </c>
      <c r="N414" s="66">
        <f t="shared" si="267"/>
        <v>0</v>
      </c>
      <c r="O414" s="66">
        <f t="shared" si="268"/>
        <v>0</v>
      </c>
      <c r="P414" s="39"/>
      <c r="Q414" s="64"/>
      <c r="R414" s="1"/>
      <c r="S414" s="1"/>
      <c r="T414" s="53"/>
      <c r="U414" s="1"/>
      <c r="V414" s="1"/>
      <c r="W414" s="53"/>
      <c r="X414" s="1"/>
    </row>
    <row r="415" spans="1:24">
      <c r="A415" s="387"/>
      <c r="B415" s="26">
        <v>72000</v>
      </c>
      <c r="C415" s="1"/>
      <c r="D415" s="32">
        <v>44168</v>
      </c>
      <c r="E415" s="1">
        <v>30</v>
      </c>
      <c r="F415" s="32">
        <f t="shared" si="262"/>
        <v>44198</v>
      </c>
      <c r="G415" s="54"/>
      <c r="H415" s="54"/>
      <c r="I415" s="54"/>
      <c r="J415" s="120">
        <f t="shared" si="263"/>
        <v>-2</v>
      </c>
      <c r="K415" s="66">
        <f t="shared" si="264"/>
        <v>72000</v>
      </c>
      <c r="L415" s="56">
        <f t="shared" si="265"/>
        <v>0</v>
      </c>
      <c r="M415" s="66">
        <f t="shared" si="266"/>
        <v>0</v>
      </c>
      <c r="N415" s="66">
        <f t="shared" si="267"/>
        <v>0</v>
      </c>
      <c r="O415" s="66">
        <f t="shared" si="268"/>
        <v>0</v>
      </c>
      <c r="P415" s="39"/>
      <c r="Q415" s="64"/>
      <c r="R415" s="1"/>
      <c r="S415" s="1"/>
      <c r="T415" s="53"/>
      <c r="U415" s="1"/>
      <c r="V415" s="1"/>
      <c r="W415" s="53"/>
      <c r="X415" s="1"/>
    </row>
    <row r="416" spans="1:24">
      <c r="A416" s="387"/>
      <c r="B416" s="26">
        <v>252500</v>
      </c>
      <c r="C416" s="1"/>
      <c r="D416" s="32">
        <v>44170</v>
      </c>
      <c r="E416" s="1">
        <v>30</v>
      </c>
      <c r="F416" s="32">
        <f t="shared" si="262"/>
        <v>44200</v>
      </c>
      <c r="G416" s="54"/>
      <c r="H416" s="54"/>
      <c r="I416" s="54"/>
      <c r="J416" s="120">
        <f t="shared" si="263"/>
        <v>-4</v>
      </c>
      <c r="K416" s="66">
        <f t="shared" si="264"/>
        <v>252500</v>
      </c>
      <c r="L416" s="56">
        <f t="shared" si="265"/>
        <v>0</v>
      </c>
      <c r="M416" s="66">
        <f t="shared" si="266"/>
        <v>0</v>
      </c>
      <c r="N416" s="66">
        <f t="shared" si="267"/>
        <v>0</v>
      </c>
      <c r="O416" s="66">
        <f t="shared" si="268"/>
        <v>0</v>
      </c>
      <c r="P416" s="39">
        <v>252500</v>
      </c>
      <c r="Q416" s="53">
        <v>44230</v>
      </c>
      <c r="R416" s="1"/>
      <c r="S416" s="1"/>
      <c r="T416" s="53"/>
      <c r="U416" s="1"/>
      <c r="V416" s="1"/>
      <c r="W416" s="53"/>
      <c r="X416" s="1"/>
    </row>
    <row r="417" spans="1:26">
      <c r="A417" s="387"/>
      <c r="B417" s="26">
        <v>240000</v>
      </c>
      <c r="C417" s="1"/>
      <c r="D417" s="32">
        <v>44173</v>
      </c>
      <c r="E417" s="1">
        <v>30</v>
      </c>
      <c r="F417" s="32">
        <f t="shared" si="262"/>
        <v>44203</v>
      </c>
      <c r="G417" s="54"/>
      <c r="H417" s="54"/>
      <c r="I417" s="54"/>
      <c r="J417" s="120">
        <f t="shared" si="263"/>
        <v>-7</v>
      </c>
      <c r="K417" s="66">
        <f t="shared" si="264"/>
        <v>240000</v>
      </c>
      <c r="L417" s="56">
        <f t="shared" si="265"/>
        <v>0</v>
      </c>
      <c r="M417" s="66">
        <f t="shared" si="266"/>
        <v>0</v>
      </c>
      <c r="N417" s="66">
        <f t="shared" si="267"/>
        <v>0</v>
      </c>
      <c r="O417" s="66">
        <f t="shared" si="268"/>
        <v>0</v>
      </c>
      <c r="P417" s="39">
        <v>240000</v>
      </c>
      <c r="Q417" s="53">
        <v>44230</v>
      </c>
      <c r="R417" s="1"/>
      <c r="S417" s="1"/>
      <c r="T417" s="53"/>
      <c r="U417" s="1"/>
      <c r="V417" s="1"/>
      <c r="W417" s="53"/>
      <c r="X417" s="1"/>
    </row>
    <row r="418" spans="1:26">
      <c r="A418" s="387"/>
      <c r="B418" s="26">
        <v>688000</v>
      </c>
      <c r="C418" s="1"/>
      <c r="D418" s="32">
        <v>44180</v>
      </c>
      <c r="E418" s="1">
        <v>30</v>
      </c>
      <c r="F418" s="32">
        <f t="shared" si="262"/>
        <v>44210</v>
      </c>
      <c r="G418" s="54"/>
      <c r="H418" s="54"/>
      <c r="I418" s="54"/>
      <c r="J418" s="120">
        <f t="shared" si="263"/>
        <v>-14</v>
      </c>
      <c r="K418" s="66">
        <f t="shared" si="264"/>
        <v>688000</v>
      </c>
      <c r="L418" s="56">
        <f t="shared" si="265"/>
        <v>0</v>
      </c>
      <c r="M418" s="66">
        <f t="shared" si="266"/>
        <v>0</v>
      </c>
      <c r="N418" s="66">
        <f t="shared" si="267"/>
        <v>0</v>
      </c>
      <c r="O418" s="66">
        <f t="shared" si="268"/>
        <v>0</v>
      </c>
      <c r="P418" s="39">
        <v>688000</v>
      </c>
      <c r="Q418" s="53">
        <v>44230</v>
      </c>
      <c r="R418" s="1"/>
      <c r="S418" s="1"/>
      <c r="T418" s="53"/>
      <c r="U418" s="1"/>
      <c r="V418" s="1"/>
      <c r="W418" s="53"/>
      <c r="X418" s="1"/>
    </row>
    <row r="419" spans="1:26">
      <c r="A419" s="387"/>
      <c r="B419" s="26">
        <v>500000</v>
      </c>
      <c r="C419" s="1"/>
      <c r="D419" s="32">
        <v>44182</v>
      </c>
      <c r="E419" s="1">
        <v>30</v>
      </c>
      <c r="F419" s="32">
        <f t="shared" si="262"/>
        <v>44212</v>
      </c>
      <c r="G419" s="54"/>
      <c r="H419" s="54"/>
      <c r="I419" s="54"/>
      <c r="J419" s="120">
        <f t="shared" si="263"/>
        <v>-16</v>
      </c>
      <c r="K419" s="66">
        <f t="shared" si="264"/>
        <v>500000</v>
      </c>
      <c r="L419" s="56">
        <f t="shared" si="265"/>
        <v>0</v>
      </c>
      <c r="M419" s="66">
        <f t="shared" si="266"/>
        <v>0</v>
      </c>
      <c r="N419" s="66">
        <f t="shared" si="267"/>
        <v>0</v>
      </c>
      <c r="O419" s="66">
        <f t="shared" si="268"/>
        <v>0</v>
      </c>
      <c r="P419" s="39">
        <v>500000</v>
      </c>
      <c r="Q419" s="53">
        <v>44230</v>
      </c>
      <c r="R419" s="1"/>
      <c r="S419" s="1"/>
      <c r="T419" s="53"/>
      <c r="U419" s="1"/>
      <c r="V419" s="1"/>
      <c r="W419" s="53"/>
      <c r="X419" s="1"/>
    </row>
    <row r="420" spans="1:26">
      <c r="A420" s="387"/>
      <c r="B420" s="26">
        <v>6166000</v>
      </c>
      <c r="C420" s="1"/>
      <c r="D420" s="32">
        <v>44182</v>
      </c>
      <c r="E420" s="1">
        <v>30</v>
      </c>
      <c r="F420" s="32">
        <f t="shared" si="262"/>
        <v>44212</v>
      </c>
      <c r="G420" s="54"/>
      <c r="H420" s="54"/>
      <c r="I420" s="54"/>
      <c r="J420" s="120">
        <f t="shared" si="263"/>
        <v>-16</v>
      </c>
      <c r="K420" s="66">
        <f t="shared" si="264"/>
        <v>6166000</v>
      </c>
      <c r="L420" s="56">
        <f t="shared" si="265"/>
        <v>0</v>
      </c>
      <c r="M420" s="66">
        <f t="shared" si="266"/>
        <v>0</v>
      </c>
      <c r="N420" s="66">
        <f t="shared" si="267"/>
        <v>0</v>
      </c>
      <c r="O420" s="66">
        <f t="shared" si="268"/>
        <v>0</v>
      </c>
      <c r="P420" s="39">
        <v>6166000</v>
      </c>
      <c r="Q420" s="53">
        <v>44242</v>
      </c>
      <c r="R420" s="1"/>
      <c r="S420" s="1"/>
      <c r="T420" s="53"/>
      <c r="U420" s="1"/>
      <c r="V420" s="1"/>
      <c r="W420" s="53"/>
      <c r="X420" s="1"/>
    </row>
    <row r="421" spans="1:26">
      <c r="A421" s="387"/>
      <c r="B421" s="26">
        <v>116000</v>
      </c>
      <c r="C421" s="1"/>
      <c r="D421" s="32">
        <v>44186</v>
      </c>
      <c r="E421" s="1">
        <v>30</v>
      </c>
      <c r="F421" s="32">
        <f t="shared" si="262"/>
        <v>44216</v>
      </c>
      <c r="G421" s="54"/>
      <c r="H421" s="54"/>
      <c r="I421" s="54"/>
      <c r="J421" s="120">
        <f t="shared" si="263"/>
        <v>-20</v>
      </c>
      <c r="K421" s="66">
        <f t="shared" si="264"/>
        <v>116000</v>
      </c>
      <c r="L421" s="56">
        <f t="shared" si="265"/>
        <v>0</v>
      </c>
      <c r="M421" s="66">
        <f t="shared" si="266"/>
        <v>0</v>
      </c>
      <c r="N421" s="66">
        <f t="shared" si="267"/>
        <v>0</v>
      </c>
      <c r="O421" s="66">
        <f t="shared" si="268"/>
        <v>0</v>
      </c>
      <c r="P421" s="39">
        <v>116000</v>
      </c>
      <c r="Q421" s="53">
        <v>44230</v>
      </c>
      <c r="R421" s="1"/>
      <c r="S421" s="1"/>
      <c r="T421" s="53"/>
      <c r="U421" s="1"/>
      <c r="V421" s="1"/>
      <c r="W421" s="53"/>
      <c r="X421" s="1"/>
    </row>
    <row r="422" spans="1:26">
      <c r="A422" s="387"/>
      <c r="B422" s="26">
        <v>30000</v>
      </c>
      <c r="C422" s="1"/>
      <c r="D422" s="32">
        <v>44188</v>
      </c>
      <c r="E422" s="1">
        <v>30</v>
      </c>
      <c r="F422" s="32">
        <f t="shared" si="262"/>
        <v>44218</v>
      </c>
      <c r="G422" s="54"/>
      <c r="H422" s="54"/>
      <c r="I422" s="54"/>
      <c r="J422" s="120">
        <f t="shared" si="263"/>
        <v>-22</v>
      </c>
      <c r="K422" s="66">
        <f t="shared" si="264"/>
        <v>30000</v>
      </c>
      <c r="L422" s="56">
        <f t="shared" si="265"/>
        <v>0</v>
      </c>
      <c r="M422" s="66">
        <f t="shared" si="266"/>
        <v>0</v>
      </c>
      <c r="N422" s="66">
        <f t="shared" si="267"/>
        <v>0</v>
      </c>
      <c r="O422" s="66">
        <f t="shared" si="268"/>
        <v>0</v>
      </c>
      <c r="P422" s="39">
        <v>30000</v>
      </c>
      <c r="Q422" s="53">
        <v>44230</v>
      </c>
      <c r="R422" s="1"/>
      <c r="S422" s="1"/>
      <c r="T422" s="53"/>
      <c r="U422" s="1"/>
      <c r="V422" s="1"/>
      <c r="W422" s="53"/>
      <c r="X422" s="1"/>
    </row>
    <row r="423" spans="1:26">
      <c r="A423" s="387"/>
      <c r="B423" s="26">
        <v>177800</v>
      </c>
      <c r="C423" s="1"/>
      <c r="D423" s="32">
        <v>44189</v>
      </c>
      <c r="E423" s="1">
        <v>30</v>
      </c>
      <c r="F423" s="32">
        <f t="shared" si="262"/>
        <v>44219</v>
      </c>
      <c r="G423" s="54"/>
      <c r="H423" s="54"/>
      <c r="I423" s="54"/>
      <c r="J423" s="120">
        <f t="shared" si="263"/>
        <v>-23</v>
      </c>
      <c r="K423" s="66">
        <f t="shared" si="264"/>
        <v>177800</v>
      </c>
      <c r="L423" s="56">
        <f t="shared" si="265"/>
        <v>0</v>
      </c>
      <c r="M423" s="66">
        <f t="shared" si="266"/>
        <v>0</v>
      </c>
      <c r="N423" s="66">
        <f t="shared" si="267"/>
        <v>0</v>
      </c>
      <c r="O423" s="66">
        <f t="shared" si="268"/>
        <v>0</v>
      </c>
      <c r="P423" s="39">
        <v>177800</v>
      </c>
      <c r="Q423" s="53">
        <v>44230</v>
      </c>
      <c r="R423" s="1"/>
      <c r="S423" s="1"/>
      <c r="T423" s="53"/>
      <c r="U423" s="1"/>
      <c r="V423" s="1"/>
      <c r="W423" s="53"/>
      <c r="X423" s="1"/>
    </row>
    <row r="424" spans="1:26">
      <c r="A424" s="387"/>
      <c r="B424" s="26">
        <v>493600</v>
      </c>
      <c r="C424" s="1"/>
      <c r="D424" s="32">
        <v>44193</v>
      </c>
      <c r="E424" s="1">
        <v>30</v>
      </c>
      <c r="F424" s="32">
        <f t="shared" si="262"/>
        <v>44223</v>
      </c>
      <c r="G424" s="54"/>
      <c r="H424" s="54"/>
      <c r="I424" s="54"/>
      <c r="J424" s="120">
        <f t="shared" si="263"/>
        <v>-27</v>
      </c>
      <c r="K424" s="66">
        <f t="shared" si="264"/>
        <v>493600</v>
      </c>
      <c r="L424" s="56">
        <f t="shared" si="265"/>
        <v>0</v>
      </c>
      <c r="M424" s="66">
        <f t="shared" si="266"/>
        <v>0</v>
      </c>
      <c r="N424" s="66">
        <f t="shared" si="267"/>
        <v>0</v>
      </c>
      <c r="O424" s="66">
        <f t="shared" si="268"/>
        <v>0</v>
      </c>
      <c r="P424" s="39">
        <v>493600</v>
      </c>
      <c r="Q424" s="53">
        <v>44230</v>
      </c>
      <c r="R424" s="1"/>
      <c r="S424" s="1"/>
      <c r="T424" s="53"/>
      <c r="U424" s="1"/>
      <c r="V424" s="1"/>
      <c r="W424" s="53"/>
      <c r="X424" s="1"/>
    </row>
    <row r="425" spans="1:26">
      <c r="A425" s="387"/>
      <c r="B425" s="26">
        <v>15000</v>
      </c>
      <c r="C425" s="1"/>
      <c r="D425" s="32">
        <v>44194</v>
      </c>
      <c r="E425" s="1">
        <v>30</v>
      </c>
      <c r="F425" s="32">
        <f t="shared" si="262"/>
        <v>44224</v>
      </c>
      <c r="G425" s="54"/>
      <c r="H425" s="54"/>
      <c r="I425" s="54"/>
      <c r="J425" s="120">
        <f t="shared" si="263"/>
        <v>-28</v>
      </c>
      <c r="K425" s="66">
        <f t="shared" si="264"/>
        <v>15000</v>
      </c>
      <c r="L425" s="56">
        <f t="shared" si="265"/>
        <v>0</v>
      </c>
      <c r="M425" s="66">
        <f t="shared" si="266"/>
        <v>0</v>
      </c>
      <c r="N425" s="66">
        <f t="shared" si="267"/>
        <v>0</v>
      </c>
      <c r="O425" s="66">
        <f t="shared" si="268"/>
        <v>0</v>
      </c>
      <c r="P425" s="39">
        <v>15000</v>
      </c>
      <c r="Q425" s="53">
        <v>44230</v>
      </c>
      <c r="R425" s="1"/>
      <c r="S425" s="1"/>
      <c r="T425" s="53"/>
      <c r="U425" s="1"/>
      <c r="V425" s="1"/>
      <c r="W425" s="53"/>
      <c r="X425" s="1"/>
    </row>
    <row r="426" spans="1:26">
      <c r="A426" s="387"/>
      <c r="B426" s="26">
        <v>11000</v>
      </c>
      <c r="C426" s="1"/>
      <c r="D426" s="32">
        <v>44194</v>
      </c>
      <c r="E426" s="1">
        <v>30</v>
      </c>
      <c r="F426" s="32">
        <f t="shared" si="262"/>
        <v>44224</v>
      </c>
      <c r="G426" s="54"/>
      <c r="H426" s="54"/>
      <c r="I426" s="54"/>
      <c r="J426" s="120">
        <f t="shared" si="263"/>
        <v>-28</v>
      </c>
      <c r="K426" s="66">
        <f t="shared" si="264"/>
        <v>11000</v>
      </c>
      <c r="L426" s="56">
        <f t="shared" si="265"/>
        <v>0</v>
      </c>
      <c r="M426" s="66">
        <f t="shared" si="266"/>
        <v>0</v>
      </c>
      <c r="N426" s="66">
        <f t="shared" si="267"/>
        <v>0</v>
      </c>
      <c r="O426" s="66">
        <f t="shared" si="268"/>
        <v>0</v>
      </c>
      <c r="P426" s="39">
        <v>11000</v>
      </c>
      <c r="Q426" s="53">
        <v>44230</v>
      </c>
      <c r="R426" s="1"/>
      <c r="S426" s="1"/>
      <c r="T426" s="53"/>
      <c r="U426" s="1"/>
      <c r="V426" s="1"/>
      <c r="W426" s="53"/>
      <c r="X426" s="1"/>
    </row>
    <row r="427" spans="1:26">
      <c r="A427" s="387"/>
      <c r="B427" s="26">
        <v>361500</v>
      </c>
      <c r="C427" s="1"/>
      <c r="D427" s="32">
        <v>44194</v>
      </c>
      <c r="E427" s="1">
        <v>30</v>
      </c>
      <c r="F427" s="32">
        <f t="shared" si="262"/>
        <v>44224</v>
      </c>
      <c r="G427" s="54"/>
      <c r="H427" s="54"/>
      <c r="I427" s="54"/>
      <c r="J427" s="120">
        <f t="shared" si="263"/>
        <v>-28</v>
      </c>
      <c r="K427" s="66">
        <f t="shared" si="264"/>
        <v>361500</v>
      </c>
      <c r="L427" s="56">
        <f t="shared" si="265"/>
        <v>0</v>
      </c>
      <c r="M427" s="66">
        <f t="shared" si="266"/>
        <v>0</v>
      </c>
      <c r="N427" s="66">
        <f t="shared" si="267"/>
        <v>0</v>
      </c>
      <c r="O427" s="66">
        <f t="shared" si="268"/>
        <v>0</v>
      </c>
      <c r="P427" s="39">
        <v>361500</v>
      </c>
      <c r="Q427" s="53">
        <v>44230</v>
      </c>
      <c r="R427" s="1"/>
      <c r="S427" s="1"/>
      <c r="T427" s="53"/>
      <c r="U427" s="1"/>
      <c r="V427" s="1"/>
      <c r="W427" s="53"/>
      <c r="X427" s="1"/>
    </row>
    <row r="428" spans="1:26">
      <c r="A428" s="1" t="s">
        <v>53</v>
      </c>
      <c r="B428" s="30">
        <v>12400000</v>
      </c>
      <c r="C428" s="1"/>
      <c r="D428" s="32">
        <v>44086</v>
      </c>
      <c r="E428" s="1">
        <v>30</v>
      </c>
      <c r="F428" s="32">
        <f t="shared" si="262"/>
        <v>44116</v>
      </c>
      <c r="G428" s="54"/>
      <c r="H428" s="61">
        <f t="shared" ref="H428:H431" si="269">B428</f>
        <v>12400000</v>
      </c>
      <c r="I428" s="54"/>
      <c r="J428" s="120">
        <f t="shared" si="263"/>
        <v>80</v>
      </c>
      <c r="K428" s="66">
        <f t="shared" si="264"/>
        <v>0</v>
      </c>
      <c r="L428" s="56">
        <f t="shared" si="265"/>
        <v>0</v>
      </c>
      <c r="M428" s="66">
        <f t="shared" si="266"/>
        <v>0</v>
      </c>
      <c r="N428" s="66">
        <f t="shared" si="267"/>
        <v>12400000</v>
      </c>
      <c r="O428" s="66">
        <f t="shared" si="268"/>
        <v>0</v>
      </c>
      <c r="P428" s="39">
        <v>12400000</v>
      </c>
      <c r="Q428" s="53">
        <v>44210</v>
      </c>
      <c r="R428" s="1"/>
      <c r="S428" s="1"/>
      <c r="T428" s="53"/>
      <c r="U428" s="1"/>
      <c r="V428" s="1"/>
      <c r="W428" s="53"/>
      <c r="X428" s="1"/>
    </row>
    <row r="429" spans="1:26">
      <c r="A429" s="1" t="s">
        <v>54</v>
      </c>
      <c r="B429" s="30">
        <v>11000000</v>
      </c>
      <c r="C429" s="1"/>
      <c r="D429" s="32">
        <v>44141</v>
      </c>
      <c r="E429" s="1">
        <v>30</v>
      </c>
      <c r="F429" s="32">
        <f t="shared" si="262"/>
        <v>44171</v>
      </c>
      <c r="G429" s="54"/>
      <c r="H429" s="61">
        <f t="shared" si="269"/>
        <v>11000000</v>
      </c>
      <c r="I429" s="54"/>
      <c r="J429" s="120">
        <f t="shared" si="263"/>
        <v>25</v>
      </c>
      <c r="K429" s="66">
        <f t="shared" si="264"/>
        <v>0</v>
      </c>
      <c r="L429" s="56">
        <f t="shared" si="265"/>
        <v>11000000</v>
      </c>
      <c r="M429" s="66">
        <f t="shared" si="266"/>
        <v>0</v>
      </c>
      <c r="N429" s="66">
        <f t="shared" si="267"/>
        <v>0</v>
      </c>
      <c r="O429" s="66">
        <f t="shared" si="268"/>
        <v>0</v>
      </c>
      <c r="P429" s="39">
        <v>11000000</v>
      </c>
      <c r="Q429" s="53">
        <v>44209</v>
      </c>
      <c r="R429" s="1"/>
      <c r="S429" s="1"/>
      <c r="T429" s="53"/>
      <c r="U429" s="1"/>
      <c r="V429" s="1"/>
      <c r="W429" s="53"/>
      <c r="X429" s="1"/>
    </row>
    <row r="430" spans="1:26">
      <c r="A430" s="7" t="s">
        <v>55</v>
      </c>
      <c r="B430" s="30">
        <v>10864149.51</v>
      </c>
      <c r="C430" s="1"/>
      <c r="D430" s="32"/>
      <c r="E430" s="1"/>
      <c r="F430" s="32"/>
      <c r="G430" s="54"/>
      <c r="H430" s="54"/>
      <c r="I430" s="54"/>
      <c r="J430" s="119"/>
      <c r="K430" s="66"/>
      <c r="L430" s="56"/>
      <c r="M430" s="66"/>
      <c r="N430" s="66"/>
      <c r="O430" s="66"/>
      <c r="P430" s="39">
        <v>10864149.51</v>
      </c>
      <c r="Q430" s="64"/>
      <c r="R430" s="1"/>
      <c r="S430" s="1"/>
      <c r="T430" s="53"/>
      <c r="U430" s="1"/>
      <c r="V430" s="1"/>
      <c r="W430" s="53"/>
      <c r="X430" s="1"/>
      <c r="Y430" s="48" t="s">
        <v>187</v>
      </c>
      <c r="Z430" t="s">
        <v>155</v>
      </c>
    </row>
    <row r="431" spans="1:26">
      <c r="A431" s="387" t="s">
        <v>56</v>
      </c>
      <c r="B431" s="30">
        <v>9822000</v>
      </c>
      <c r="C431" s="1"/>
      <c r="D431" s="32"/>
      <c r="E431" s="1"/>
      <c r="F431" s="32"/>
      <c r="G431" s="54"/>
      <c r="H431" s="61">
        <f t="shared" si="269"/>
        <v>9822000</v>
      </c>
      <c r="I431" s="54"/>
      <c r="J431" s="119"/>
      <c r="K431" s="66"/>
      <c r="L431" s="56"/>
      <c r="M431" s="66"/>
      <c r="N431" s="66"/>
      <c r="O431" s="66"/>
      <c r="P431" s="39"/>
      <c r="Q431" s="64"/>
      <c r="R431" s="1"/>
      <c r="S431" s="1"/>
      <c r="T431" s="53"/>
      <c r="U431" s="1"/>
      <c r="V431" s="1"/>
      <c r="W431" s="53"/>
      <c r="X431" s="1"/>
    </row>
    <row r="432" spans="1:26">
      <c r="A432" s="387"/>
      <c r="B432" s="26">
        <v>2454000</v>
      </c>
      <c r="C432" s="1"/>
      <c r="D432" s="32">
        <v>44162</v>
      </c>
      <c r="E432" s="1">
        <v>30</v>
      </c>
      <c r="F432" s="32">
        <f t="shared" ref="F432:F434" si="270">D432+E432</f>
        <v>44192</v>
      </c>
      <c r="G432" s="54"/>
      <c r="H432" s="54"/>
      <c r="I432" s="54"/>
      <c r="J432" s="120">
        <f t="shared" ref="J432:J434" si="271">$A$3-F432</f>
        <v>4</v>
      </c>
      <c r="K432" s="66">
        <f t="shared" ref="K432:K434" si="272">IF(J432&lt;=0,B432,0)</f>
        <v>0</v>
      </c>
      <c r="L432" s="56">
        <f t="shared" ref="L432:L434" si="273">IF(AND(J432&gt;=1,J432&lt;=30),B432,0)</f>
        <v>2454000</v>
      </c>
      <c r="M432" s="66">
        <f t="shared" ref="M432:M434" si="274">IF(AND(J432&gt;=31,J432&lt;=60),B432,0)</f>
        <v>0</v>
      </c>
      <c r="N432" s="66">
        <f t="shared" ref="N432:N434" si="275">IF(AND(J432&gt;=61,J432&lt;=90),B432,0)</f>
        <v>0</v>
      </c>
      <c r="O432" s="66">
        <f t="shared" ref="O432:O434" si="276">IF(J432&gt;90,B432,0)</f>
        <v>0</v>
      </c>
      <c r="P432" s="39">
        <v>2454000</v>
      </c>
      <c r="Q432" s="53">
        <v>44210</v>
      </c>
      <c r="R432" s="1"/>
      <c r="S432" s="1"/>
      <c r="T432" s="53"/>
      <c r="U432" s="1"/>
      <c r="V432" s="1"/>
      <c r="W432" s="53"/>
      <c r="X432" s="1"/>
    </row>
    <row r="433" spans="1:24">
      <c r="A433" s="387"/>
      <c r="B433" s="26">
        <v>4914000</v>
      </c>
      <c r="C433" s="1"/>
      <c r="D433" s="32">
        <v>44182</v>
      </c>
      <c r="E433" s="1">
        <v>30</v>
      </c>
      <c r="F433" s="32">
        <f t="shared" si="270"/>
        <v>44212</v>
      </c>
      <c r="G433" s="54"/>
      <c r="H433" s="54"/>
      <c r="I433" s="54"/>
      <c r="J433" s="120">
        <f t="shared" si="271"/>
        <v>-16</v>
      </c>
      <c r="K433" s="66">
        <f t="shared" si="272"/>
        <v>4914000</v>
      </c>
      <c r="L433" s="56">
        <f t="shared" si="273"/>
        <v>0</v>
      </c>
      <c r="M433" s="66">
        <f t="shared" si="274"/>
        <v>0</v>
      </c>
      <c r="N433" s="66">
        <f t="shared" si="275"/>
        <v>0</v>
      </c>
      <c r="O433" s="66">
        <f t="shared" si="276"/>
        <v>0</v>
      </c>
      <c r="P433" s="39">
        <v>4914000</v>
      </c>
      <c r="Q433" s="53">
        <v>44229</v>
      </c>
      <c r="R433" s="1"/>
      <c r="S433" s="1"/>
      <c r="T433" s="53"/>
      <c r="U433" s="1"/>
      <c r="V433" s="1"/>
      <c r="W433" s="53"/>
      <c r="X433" s="1"/>
    </row>
    <row r="434" spans="1:24">
      <c r="A434" s="387"/>
      <c r="B434" s="26">
        <v>2454000</v>
      </c>
      <c r="C434" s="1"/>
      <c r="D434" s="32">
        <v>44195</v>
      </c>
      <c r="E434" s="1">
        <v>30</v>
      </c>
      <c r="F434" s="32">
        <f t="shared" si="270"/>
        <v>44225</v>
      </c>
      <c r="G434" s="54"/>
      <c r="H434" s="54"/>
      <c r="I434" s="54"/>
      <c r="J434" s="120">
        <f t="shared" si="271"/>
        <v>-29</v>
      </c>
      <c r="K434" s="66">
        <f t="shared" si="272"/>
        <v>2454000</v>
      </c>
      <c r="L434" s="56">
        <f t="shared" si="273"/>
        <v>0</v>
      </c>
      <c r="M434" s="66">
        <f t="shared" si="274"/>
        <v>0</v>
      </c>
      <c r="N434" s="66">
        <f t="shared" si="275"/>
        <v>0</v>
      </c>
      <c r="O434" s="66">
        <f t="shared" si="276"/>
        <v>0</v>
      </c>
      <c r="P434" s="39">
        <v>2454000</v>
      </c>
      <c r="Q434" s="53">
        <v>44242</v>
      </c>
      <c r="R434" s="1"/>
      <c r="S434" s="1"/>
      <c r="T434" s="53"/>
      <c r="U434" s="1"/>
      <c r="V434" s="1"/>
      <c r="W434" s="53"/>
      <c r="X434" s="1"/>
    </row>
    <row r="435" spans="1:24">
      <c r="A435" s="387" t="s">
        <v>57</v>
      </c>
      <c r="B435" s="30">
        <v>9359020</v>
      </c>
      <c r="C435" s="1"/>
      <c r="D435" s="32"/>
      <c r="E435" s="1"/>
      <c r="F435" s="32"/>
      <c r="G435" s="54"/>
      <c r="H435" s="61">
        <f>B435</f>
        <v>9359020</v>
      </c>
      <c r="I435" s="54"/>
      <c r="J435" s="119"/>
      <c r="K435" s="66"/>
      <c r="L435" s="56"/>
      <c r="M435" s="66"/>
      <c r="N435" s="66"/>
      <c r="O435" s="66"/>
      <c r="P435" s="39"/>
      <c r="Q435" s="64"/>
      <c r="R435" s="1"/>
      <c r="S435" s="1"/>
      <c r="T435" s="53"/>
      <c r="U435" s="1"/>
      <c r="V435" s="1"/>
      <c r="W435" s="53"/>
      <c r="X435" s="1"/>
    </row>
    <row r="436" spans="1:24">
      <c r="A436" s="387"/>
      <c r="B436" s="26">
        <v>5159000</v>
      </c>
      <c r="C436" s="1"/>
      <c r="D436" s="32">
        <v>44146</v>
      </c>
      <c r="E436" s="1">
        <v>30</v>
      </c>
      <c r="F436" s="32">
        <f t="shared" ref="F436:F438" si="277">D436+E436</f>
        <v>44176</v>
      </c>
      <c r="G436" s="54"/>
      <c r="H436" s="54"/>
      <c r="I436" s="54"/>
      <c r="J436" s="120">
        <f t="shared" ref="J436:J438" si="278">$A$3-F436</f>
        <v>20</v>
      </c>
      <c r="K436" s="66">
        <f t="shared" ref="K436:K438" si="279">IF(J436&lt;=0,B436,0)</f>
        <v>0</v>
      </c>
      <c r="L436" s="56">
        <f t="shared" ref="L436:L438" si="280">IF(AND(J436&gt;=1,J436&lt;=30),B436,0)</f>
        <v>5159000</v>
      </c>
      <c r="M436" s="66">
        <f t="shared" ref="M436:M438" si="281">IF(AND(J436&gt;=31,J436&lt;=60),B436,0)</f>
        <v>0</v>
      </c>
      <c r="N436" s="66">
        <f t="shared" ref="N436:N438" si="282">IF(AND(J436&gt;=61,J436&lt;=90),B436,0)</f>
        <v>0</v>
      </c>
      <c r="O436" s="66">
        <f t="shared" ref="O436:O438" si="283">IF(J436&gt;90,B436,0)</f>
        <v>0</v>
      </c>
      <c r="P436" s="39">
        <v>5159000</v>
      </c>
      <c r="Q436" s="53">
        <v>44204</v>
      </c>
      <c r="R436" s="1"/>
      <c r="S436" s="1"/>
      <c r="T436" s="53"/>
      <c r="U436" s="1"/>
      <c r="V436" s="1"/>
      <c r="W436" s="53"/>
      <c r="X436" s="1"/>
    </row>
    <row r="437" spans="1:24">
      <c r="A437" s="387"/>
      <c r="B437" s="26">
        <v>4200020</v>
      </c>
      <c r="C437" s="1"/>
      <c r="D437" s="32">
        <v>44176</v>
      </c>
      <c r="E437" s="1">
        <v>30</v>
      </c>
      <c r="F437" s="32">
        <f t="shared" si="277"/>
        <v>44206</v>
      </c>
      <c r="G437" s="54"/>
      <c r="H437" s="54"/>
      <c r="I437" s="54"/>
      <c r="J437" s="120">
        <f t="shared" si="278"/>
        <v>-10</v>
      </c>
      <c r="K437" s="66">
        <f t="shared" si="279"/>
        <v>4200020</v>
      </c>
      <c r="L437" s="56">
        <f t="shared" si="280"/>
        <v>0</v>
      </c>
      <c r="M437" s="66">
        <f t="shared" si="281"/>
        <v>0</v>
      </c>
      <c r="N437" s="66">
        <f t="shared" si="282"/>
        <v>0</v>
      </c>
      <c r="O437" s="66">
        <f t="shared" si="283"/>
        <v>0</v>
      </c>
      <c r="P437" s="39">
        <v>4200020</v>
      </c>
      <c r="Q437" s="53">
        <v>44224</v>
      </c>
      <c r="R437" s="1"/>
      <c r="S437" s="1"/>
      <c r="T437" s="53"/>
      <c r="U437" s="1"/>
      <c r="V437" s="1"/>
      <c r="W437" s="53"/>
      <c r="X437" s="1"/>
    </row>
    <row r="438" spans="1:24">
      <c r="A438" s="1" t="s">
        <v>58</v>
      </c>
      <c r="B438" s="30">
        <v>9154633</v>
      </c>
      <c r="C438" s="1"/>
      <c r="D438" s="32">
        <v>44196</v>
      </c>
      <c r="E438" s="1">
        <v>30</v>
      </c>
      <c r="F438" s="32">
        <f t="shared" si="277"/>
        <v>44226</v>
      </c>
      <c r="G438" s="54"/>
      <c r="H438" s="61">
        <f t="shared" ref="H438:H439" si="284">B438</f>
        <v>9154633</v>
      </c>
      <c r="I438" s="54"/>
      <c r="J438" s="120">
        <f t="shared" si="278"/>
        <v>-30</v>
      </c>
      <c r="K438" s="66">
        <f t="shared" si="279"/>
        <v>9154633</v>
      </c>
      <c r="L438" s="56">
        <f t="shared" si="280"/>
        <v>0</v>
      </c>
      <c r="M438" s="66">
        <f t="shared" si="281"/>
        <v>0</v>
      </c>
      <c r="N438" s="66">
        <f t="shared" si="282"/>
        <v>0</v>
      </c>
      <c r="O438" s="66">
        <f t="shared" si="283"/>
        <v>0</v>
      </c>
      <c r="P438" s="39">
        <v>9154633</v>
      </c>
      <c r="Q438" s="53">
        <v>44201</v>
      </c>
      <c r="R438" s="1"/>
      <c r="S438" s="1"/>
      <c r="T438" s="53"/>
      <c r="U438" s="1"/>
      <c r="V438" s="1"/>
      <c r="W438" s="53"/>
      <c r="X438" s="1"/>
    </row>
    <row r="439" spans="1:24">
      <c r="A439" s="387" t="s">
        <v>59</v>
      </c>
      <c r="B439" s="30">
        <v>8704575</v>
      </c>
      <c r="C439" s="1"/>
      <c r="D439" s="32"/>
      <c r="E439" s="1"/>
      <c r="F439" s="32"/>
      <c r="G439" s="54"/>
      <c r="H439" s="61">
        <f t="shared" si="284"/>
        <v>8704575</v>
      </c>
      <c r="I439" s="54"/>
      <c r="J439" s="119"/>
      <c r="K439" s="66"/>
      <c r="L439" s="56"/>
      <c r="M439" s="66"/>
      <c r="N439" s="66"/>
      <c r="O439" s="66"/>
      <c r="P439" s="39"/>
      <c r="Q439" s="64"/>
      <c r="R439" s="1"/>
      <c r="S439" s="1"/>
      <c r="T439" s="53"/>
      <c r="U439" s="1"/>
      <c r="V439" s="1"/>
      <c r="W439" s="53"/>
      <c r="X439" s="1"/>
    </row>
    <row r="440" spans="1:24">
      <c r="A440" s="387"/>
      <c r="B440" s="26">
        <v>6567000</v>
      </c>
      <c r="C440" s="1"/>
      <c r="D440" s="32">
        <v>44120</v>
      </c>
      <c r="E440" s="1">
        <v>30</v>
      </c>
      <c r="F440" s="32">
        <f t="shared" ref="F440:F443" si="285">D440+E440</f>
        <v>44150</v>
      </c>
      <c r="G440" s="54"/>
      <c r="H440" s="54"/>
      <c r="I440" s="54"/>
      <c r="J440" s="120">
        <f t="shared" ref="J440:J443" si="286">$A$3-F440</f>
        <v>46</v>
      </c>
      <c r="K440" s="66">
        <f t="shared" ref="K440:K443" si="287">IF(J440&lt;=0,B440,0)</f>
        <v>0</v>
      </c>
      <c r="L440" s="56">
        <f t="shared" ref="L440:L443" si="288">IF(AND(J440&gt;=1,J440&lt;=30),B440,0)</f>
        <v>0</v>
      </c>
      <c r="M440" s="66">
        <f t="shared" ref="M440:M443" si="289">IF(AND(J440&gt;=31,J440&lt;=60),B440,0)</f>
        <v>6567000</v>
      </c>
      <c r="N440" s="66">
        <f t="shared" ref="N440:N443" si="290">IF(AND(J440&gt;=61,J440&lt;=90),B440,0)</f>
        <v>0</v>
      </c>
      <c r="O440" s="66">
        <f t="shared" ref="O440:O443" si="291">IF(J440&gt;90,B440,0)</f>
        <v>0</v>
      </c>
      <c r="P440" s="39">
        <v>6567000</v>
      </c>
      <c r="Q440" s="53">
        <v>44204</v>
      </c>
      <c r="R440" s="1"/>
      <c r="S440" s="1"/>
      <c r="T440" s="53"/>
      <c r="U440" s="1"/>
      <c r="V440" s="1"/>
      <c r="W440" s="53"/>
      <c r="X440" s="1"/>
    </row>
    <row r="441" spans="1:24">
      <c r="A441" s="387"/>
      <c r="B441" s="26">
        <v>2137575</v>
      </c>
      <c r="C441" s="1"/>
      <c r="D441" s="32">
        <v>44154</v>
      </c>
      <c r="E441" s="1">
        <v>30</v>
      </c>
      <c r="F441" s="32">
        <f t="shared" si="285"/>
        <v>44184</v>
      </c>
      <c r="G441" s="54"/>
      <c r="H441" s="54"/>
      <c r="I441" s="54"/>
      <c r="J441" s="120">
        <f t="shared" si="286"/>
        <v>12</v>
      </c>
      <c r="K441" s="66">
        <f t="shared" si="287"/>
        <v>0</v>
      </c>
      <c r="L441" s="56">
        <f t="shared" si="288"/>
        <v>2137575</v>
      </c>
      <c r="M441" s="66">
        <f t="shared" si="289"/>
        <v>0</v>
      </c>
      <c r="N441" s="66">
        <f t="shared" si="290"/>
        <v>0</v>
      </c>
      <c r="O441" s="66">
        <f t="shared" si="291"/>
        <v>0</v>
      </c>
      <c r="P441" s="39">
        <v>2137575</v>
      </c>
      <c r="Q441" s="53">
        <v>44209</v>
      </c>
      <c r="R441" s="1"/>
      <c r="S441" s="1"/>
      <c r="T441" s="53"/>
      <c r="U441" s="1"/>
      <c r="V441" s="1"/>
      <c r="W441" s="53"/>
      <c r="X441" s="1"/>
    </row>
    <row r="442" spans="1:24">
      <c r="A442" s="1" t="s">
        <v>60</v>
      </c>
      <c r="B442" s="30">
        <v>7150000</v>
      </c>
      <c r="C442" s="1"/>
      <c r="D442" s="32">
        <v>44147</v>
      </c>
      <c r="E442" s="1">
        <v>30</v>
      </c>
      <c r="F442" s="32">
        <f t="shared" si="285"/>
        <v>44177</v>
      </c>
      <c r="G442" s="54"/>
      <c r="H442" s="61">
        <f t="shared" ref="H442:H444" si="292">B442</f>
        <v>7150000</v>
      </c>
      <c r="I442" s="54"/>
      <c r="J442" s="120">
        <f t="shared" si="286"/>
        <v>19</v>
      </c>
      <c r="K442" s="66">
        <f t="shared" si="287"/>
        <v>0</v>
      </c>
      <c r="L442" s="56">
        <f t="shared" si="288"/>
        <v>7150000</v>
      </c>
      <c r="M442" s="66">
        <f t="shared" si="289"/>
        <v>0</v>
      </c>
      <c r="N442" s="66">
        <f t="shared" si="290"/>
        <v>0</v>
      </c>
      <c r="O442" s="66">
        <f t="shared" si="291"/>
        <v>0</v>
      </c>
      <c r="P442" s="39">
        <v>7150000</v>
      </c>
      <c r="Q442" s="53">
        <v>44204</v>
      </c>
      <c r="R442" s="1"/>
      <c r="S442" s="1"/>
      <c r="T442" s="53"/>
      <c r="U442" s="1"/>
      <c r="V442" s="1"/>
      <c r="W442" s="53"/>
      <c r="X442" s="1"/>
    </row>
    <row r="443" spans="1:24">
      <c r="A443" s="1" t="s">
        <v>61</v>
      </c>
      <c r="B443" s="30">
        <v>6744000</v>
      </c>
      <c r="C443" s="1"/>
      <c r="D443" s="32">
        <v>44195</v>
      </c>
      <c r="E443" s="1">
        <v>30</v>
      </c>
      <c r="F443" s="32">
        <f t="shared" si="285"/>
        <v>44225</v>
      </c>
      <c r="G443" s="54"/>
      <c r="H443" s="61">
        <f t="shared" si="292"/>
        <v>6744000</v>
      </c>
      <c r="I443" s="54"/>
      <c r="J443" s="120">
        <f t="shared" si="286"/>
        <v>-29</v>
      </c>
      <c r="K443" s="66">
        <f t="shared" si="287"/>
        <v>6744000</v>
      </c>
      <c r="L443" s="56">
        <f t="shared" si="288"/>
        <v>0</v>
      </c>
      <c r="M443" s="66">
        <f t="shared" si="289"/>
        <v>0</v>
      </c>
      <c r="N443" s="66">
        <f t="shared" si="290"/>
        <v>0</v>
      </c>
      <c r="O443" s="66">
        <f t="shared" si="291"/>
        <v>0</v>
      </c>
      <c r="P443" s="39">
        <v>6744000</v>
      </c>
      <c r="Q443" s="53">
        <v>44230</v>
      </c>
      <c r="R443" s="1"/>
      <c r="S443" s="1"/>
      <c r="T443" s="53"/>
      <c r="U443" s="1"/>
      <c r="V443" s="1"/>
      <c r="W443" s="53"/>
      <c r="X443" s="1"/>
    </row>
    <row r="444" spans="1:24">
      <c r="A444" s="387" t="s">
        <v>62</v>
      </c>
      <c r="B444" s="30">
        <v>6611880</v>
      </c>
      <c r="C444" s="1"/>
      <c r="D444" s="32"/>
      <c r="E444" s="1"/>
      <c r="F444" s="32"/>
      <c r="G444" s="54"/>
      <c r="H444" s="61">
        <f t="shared" si="292"/>
        <v>6611880</v>
      </c>
      <c r="I444" s="54"/>
      <c r="J444" s="119"/>
      <c r="K444" s="66"/>
      <c r="L444" s="56"/>
      <c r="M444" s="66"/>
      <c r="N444" s="66"/>
      <c r="O444" s="66"/>
      <c r="P444" s="39"/>
      <c r="Q444" s="64"/>
      <c r="R444" s="1"/>
      <c r="S444" s="1"/>
      <c r="T444" s="53"/>
      <c r="U444" s="1"/>
      <c r="V444" s="1"/>
      <c r="W444" s="53"/>
      <c r="X444" s="1"/>
    </row>
    <row r="445" spans="1:24">
      <c r="A445" s="387"/>
      <c r="B445" s="26">
        <v>2973080</v>
      </c>
      <c r="C445" s="1"/>
      <c r="D445" s="32">
        <v>44153</v>
      </c>
      <c r="E445" s="1">
        <v>30</v>
      </c>
      <c r="F445" s="32">
        <f t="shared" ref="F445:F447" si="293">D445+E445</f>
        <v>44183</v>
      </c>
      <c r="G445" s="54"/>
      <c r="H445" s="54"/>
      <c r="I445" s="54"/>
      <c r="J445" s="120">
        <f t="shared" ref="J445:J447" si="294">$A$3-F445</f>
        <v>13</v>
      </c>
      <c r="K445" s="66">
        <f t="shared" ref="K445:K447" si="295">IF(J445&lt;=0,B445,0)</f>
        <v>0</v>
      </c>
      <c r="L445" s="56">
        <f t="shared" ref="L445:L447" si="296">IF(AND(J445&gt;=1,J445&lt;=30),B445,0)</f>
        <v>2973080</v>
      </c>
      <c r="M445" s="66">
        <f t="shared" ref="M445:M447" si="297">IF(AND(J445&gt;=31,J445&lt;=60),B445,0)</f>
        <v>0</v>
      </c>
      <c r="N445" s="66">
        <f t="shared" ref="N445:N447" si="298">IF(AND(J445&gt;=61,J445&lt;=90),B445,0)</f>
        <v>0</v>
      </c>
      <c r="O445" s="66">
        <f t="shared" ref="O445:O447" si="299">IF(J445&gt;90,B445,0)</f>
        <v>0</v>
      </c>
      <c r="P445" s="39">
        <v>2973080</v>
      </c>
      <c r="Q445" s="53">
        <v>44209</v>
      </c>
      <c r="R445" s="1"/>
      <c r="S445" s="1"/>
      <c r="T445" s="53"/>
      <c r="U445" s="1"/>
      <c r="V445" s="1"/>
      <c r="W445" s="53"/>
      <c r="X445" s="1"/>
    </row>
    <row r="446" spans="1:24">
      <c r="A446" s="387"/>
      <c r="B446" s="26">
        <v>3638800</v>
      </c>
      <c r="C446" s="1"/>
      <c r="D446" s="32">
        <v>44158</v>
      </c>
      <c r="E446" s="1">
        <v>30</v>
      </c>
      <c r="F446" s="32">
        <f t="shared" si="293"/>
        <v>44188</v>
      </c>
      <c r="G446" s="54"/>
      <c r="H446" s="54"/>
      <c r="I446" s="54"/>
      <c r="J446" s="120">
        <f t="shared" si="294"/>
        <v>8</v>
      </c>
      <c r="K446" s="66">
        <f t="shared" si="295"/>
        <v>0</v>
      </c>
      <c r="L446" s="56">
        <f t="shared" si="296"/>
        <v>3638800</v>
      </c>
      <c r="M446" s="66">
        <f t="shared" si="297"/>
        <v>0</v>
      </c>
      <c r="N446" s="66">
        <f t="shared" si="298"/>
        <v>0</v>
      </c>
      <c r="O446" s="66">
        <f t="shared" si="299"/>
        <v>0</v>
      </c>
      <c r="P446" s="39">
        <v>3638800</v>
      </c>
      <c r="Q446" s="53">
        <v>44209</v>
      </c>
      <c r="R446" s="1"/>
      <c r="S446" s="1"/>
      <c r="T446" s="53"/>
      <c r="U446" s="1"/>
      <c r="V446" s="1"/>
      <c r="W446" s="53"/>
      <c r="X446" s="1"/>
    </row>
    <row r="447" spans="1:24">
      <c r="A447" s="1" t="s">
        <v>63</v>
      </c>
      <c r="B447" s="30">
        <v>6480144</v>
      </c>
      <c r="C447" s="1"/>
      <c r="D447" s="32">
        <v>44187</v>
      </c>
      <c r="E447" s="1">
        <v>30</v>
      </c>
      <c r="F447" s="32">
        <f t="shared" si="293"/>
        <v>44217</v>
      </c>
      <c r="G447" s="54"/>
      <c r="H447" s="61">
        <f t="shared" ref="H447:H448" si="300">B447</f>
        <v>6480144</v>
      </c>
      <c r="I447" s="54"/>
      <c r="J447" s="120">
        <f t="shared" si="294"/>
        <v>-21</v>
      </c>
      <c r="K447" s="66">
        <f t="shared" si="295"/>
        <v>6480144</v>
      </c>
      <c r="L447" s="56">
        <f t="shared" si="296"/>
        <v>0</v>
      </c>
      <c r="M447" s="66">
        <f t="shared" si="297"/>
        <v>0</v>
      </c>
      <c r="N447" s="66">
        <f t="shared" si="298"/>
        <v>0</v>
      </c>
      <c r="O447" s="66">
        <f t="shared" si="299"/>
        <v>0</v>
      </c>
      <c r="P447" s="39">
        <v>6480144</v>
      </c>
      <c r="Q447" s="53">
        <v>44242</v>
      </c>
      <c r="R447" s="1"/>
      <c r="S447" s="1"/>
      <c r="T447" s="53"/>
      <c r="U447" s="1"/>
      <c r="V447" s="1"/>
      <c r="W447" s="53"/>
      <c r="X447" s="1"/>
    </row>
    <row r="448" spans="1:24">
      <c r="A448" s="387" t="s">
        <v>64</v>
      </c>
      <c r="B448" s="30">
        <v>5728000</v>
      </c>
      <c r="C448" s="1"/>
      <c r="D448" s="32"/>
      <c r="E448" s="1"/>
      <c r="F448" s="32"/>
      <c r="G448" s="54"/>
      <c r="H448" s="61">
        <f t="shared" si="300"/>
        <v>5728000</v>
      </c>
      <c r="I448" s="54"/>
      <c r="J448" s="119"/>
      <c r="K448" s="66"/>
      <c r="L448" s="56"/>
      <c r="M448" s="66"/>
      <c r="N448" s="66"/>
      <c r="O448" s="66"/>
      <c r="P448" s="39"/>
      <c r="Q448" s="64"/>
      <c r="R448" s="1"/>
      <c r="S448" s="1"/>
      <c r="T448" s="53"/>
      <c r="U448" s="1"/>
      <c r="V448" s="1"/>
      <c r="W448" s="53"/>
      <c r="X448" s="1"/>
    </row>
    <row r="449" spans="1:24">
      <c r="A449" s="387"/>
      <c r="B449" s="26">
        <v>1794000</v>
      </c>
      <c r="C449" s="1"/>
      <c r="D449" s="32">
        <v>44145</v>
      </c>
      <c r="E449" s="1">
        <v>30</v>
      </c>
      <c r="F449" s="32">
        <f t="shared" ref="F449:F451" si="301">D449+E449</f>
        <v>44175</v>
      </c>
      <c r="G449" s="54"/>
      <c r="H449" s="54"/>
      <c r="I449" s="54"/>
      <c r="J449" s="120">
        <f t="shared" ref="J449:J451" si="302">$A$3-F449</f>
        <v>21</v>
      </c>
      <c r="K449" s="66">
        <f t="shared" ref="K449:K451" si="303">IF(J449&lt;=0,B449,0)</f>
        <v>0</v>
      </c>
      <c r="L449" s="56">
        <f t="shared" ref="L449:L451" si="304">IF(AND(J449&gt;=1,J449&lt;=30),B449,0)</f>
        <v>1794000</v>
      </c>
      <c r="M449" s="66">
        <f t="shared" ref="M449:M451" si="305">IF(AND(J449&gt;=31,J449&lt;=60),B449,0)</f>
        <v>0</v>
      </c>
      <c r="N449" s="66">
        <f t="shared" ref="N449:N451" si="306">IF(AND(J449&gt;=61,J449&lt;=90),B449,0)</f>
        <v>0</v>
      </c>
      <c r="O449" s="66">
        <f t="shared" ref="O449:O451" si="307">IF(J449&gt;90,B449,0)</f>
        <v>0</v>
      </c>
      <c r="P449" s="39">
        <v>1794000</v>
      </c>
      <c r="Q449" s="53">
        <v>44210</v>
      </c>
      <c r="R449" s="1"/>
      <c r="S449" s="1"/>
      <c r="T449" s="53"/>
      <c r="U449" s="1"/>
      <c r="V449" s="1"/>
      <c r="W449" s="53"/>
      <c r="X449" s="1"/>
    </row>
    <row r="450" spans="1:24">
      <c r="A450" s="387"/>
      <c r="B450" s="26">
        <v>3234000</v>
      </c>
      <c r="C450" s="1"/>
      <c r="D450" s="32">
        <v>44155</v>
      </c>
      <c r="E450" s="1">
        <v>30</v>
      </c>
      <c r="F450" s="32">
        <f t="shared" si="301"/>
        <v>44185</v>
      </c>
      <c r="G450" s="54"/>
      <c r="H450" s="54"/>
      <c r="I450" s="54"/>
      <c r="J450" s="120">
        <f t="shared" si="302"/>
        <v>11</v>
      </c>
      <c r="K450" s="66">
        <f t="shared" si="303"/>
        <v>0</v>
      </c>
      <c r="L450" s="56">
        <f t="shared" si="304"/>
        <v>3234000</v>
      </c>
      <c r="M450" s="66">
        <f t="shared" si="305"/>
        <v>0</v>
      </c>
      <c r="N450" s="66">
        <f t="shared" si="306"/>
        <v>0</v>
      </c>
      <c r="O450" s="66">
        <f t="shared" si="307"/>
        <v>0</v>
      </c>
      <c r="P450" s="39">
        <v>3234000</v>
      </c>
      <c r="Q450" s="53">
        <v>44210</v>
      </c>
      <c r="R450" s="1"/>
      <c r="S450" s="1"/>
      <c r="T450" s="53"/>
      <c r="U450" s="1"/>
      <c r="V450" s="1"/>
      <c r="W450" s="53"/>
      <c r="X450" s="1"/>
    </row>
    <row r="451" spans="1:24">
      <c r="A451" s="387"/>
      <c r="B451" s="26">
        <v>700000</v>
      </c>
      <c r="C451" s="1"/>
      <c r="D451" s="32">
        <v>44186</v>
      </c>
      <c r="E451" s="1">
        <v>30</v>
      </c>
      <c r="F451" s="32">
        <f t="shared" si="301"/>
        <v>44216</v>
      </c>
      <c r="G451" s="54"/>
      <c r="H451" s="54"/>
      <c r="I451" s="54"/>
      <c r="J451" s="120">
        <f t="shared" si="302"/>
        <v>-20</v>
      </c>
      <c r="K451" s="66">
        <f t="shared" si="303"/>
        <v>700000</v>
      </c>
      <c r="L451" s="56">
        <f t="shared" si="304"/>
        <v>0</v>
      </c>
      <c r="M451" s="66">
        <f t="shared" si="305"/>
        <v>0</v>
      </c>
      <c r="N451" s="66">
        <f t="shared" si="306"/>
        <v>0</v>
      </c>
      <c r="O451" s="66">
        <f t="shared" si="307"/>
        <v>0</v>
      </c>
      <c r="P451" s="39">
        <v>700000</v>
      </c>
      <c r="Q451" s="53">
        <v>44230</v>
      </c>
      <c r="R451" s="1"/>
      <c r="S451" s="1"/>
      <c r="T451" s="53"/>
      <c r="U451" s="1"/>
      <c r="V451" s="1"/>
      <c r="W451" s="53"/>
      <c r="X451" s="1"/>
    </row>
    <row r="452" spans="1:24">
      <c r="A452" s="387" t="s">
        <v>65</v>
      </c>
      <c r="B452" s="30">
        <v>5070000</v>
      </c>
      <c r="C452" s="1"/>
      <c r="D452" s="32"/>
      <c r="E452" s="1"/>
      <c r="F452" s="32"/>
      <c r="G452" s="54"/>
      <c r="H452" s="61">
        <f>B452</f>
        <v>5070000</v>
      </c>
      <c r="I452" s="54"/>
      <c r="J452" s="119"/>
      <c r="K452" s="66"/>
      <c r="L452" s="56"/>
      <c r="M452" s="66"/>
      <c r="N452" s="66"/>
      <c r="O452" s="66"/>
      <c r="P452" s="39"/>
      <c r="Q452" s="64"/>
      <c r="R452" s="1"/>
      <c r="S452" s="1"/>
      <c r="T452" s="53"/>
      <c r="U452" s="1"/>
      <c r="V452" s="1"/>
      <c r="W452" s="53"/>
      <c r="X452" s="1"/>
    </row>
    <row r="453" spans="1:24">
      <c r="A453" s="387"/>
      <c r="B453" s="26">
        <v>787000</v>
      </c>
      <c r="C453" s="1"/>
      <c r="D453" s="32">
        <v>44131</v>
      </c>
      <c r="E453" s="1">
        <v>30</v>
      </c>
      <c r="F453" s="32">
        <f t="shared" ref="F453:F458" si="308">D453+E453</f>
        <v>44161</v>
      </c>
      <c r="G453" s="54"/>
      <c r="H453" s="54"/>
      <c r="I453" s="54"/>
      <c r="J453" s="120">
        <f t="shared" ref="J453:J458" si="309">$A$3-F453</f>
        <v>35</v>
      </c>
      <c r="K453" s="66">
        <f t="shared" ref="K453:K458" si="310">IF(J453&lt;=0,B453,0)</f>
        <v>0</v>
      </c>
      <c r="L453" s="56">
        <f t="shared" ref="L453:L458" si="311">IF(AND(J453&gt;=1,J453&lt;=30),B453,0)</f>
        <v>0</v>
      </c>
      <c r="M453" s="66">
        <f t="shared" ref="M453:M458" si="312">IF(AND(J453&gt;=31,J453&lt;=60),B453,0)</f>
        <v>787000</v>
      </c>
      <c r="N453" s="66">
        <f t="shared" ref="N453:N458" si="313">IF(AND(J453&gt;=61,J453&lt;=90),B453,0)</f>
        <v>0</v>
      </c>
      <c r="O453" s="66">
        <f t="shared" ref="O453:O458" si="314">IF(J453&gt;90,B453,0)</f>
        <v>0</v>
      </c>
      <c r="P453" s="39">
        <v>787000</v>
      </c>
      <c r="Q453" s="53">
        <v>44242</v>
      </c>
      <c r="R453" s="1"/>
      <c r="S453" s="1"/>
      <c r="T453" s="53"/>
      <c r="U453" s="1"/>
      <c r="V453" s="1"/>
      <c r="W453" s="53"/>
      <c r="X453" s="1"/>
    </row>
    <row r="454" spans="1:24">
      <c r="A454" s="387"/>
      <c r="B454" s="26">
        <v>3788000</v>
      </c>
      <c r="C454" s="1"/>
      <c r="D454" s="32">
        <v>44155</v>
      </c>
      <c r="E454" s="1">
        <v>30</v>
      </c>
      <c r="F454" s="32">
        <f t="shared" si="308"/>
        <v>44185</v>
      </c>
      <c r="G454" s="54"/>
      <c r="H454" s="54"/>
      <c r="I454" s="54"/>
      <c r="J454" s="120">
        <f t="shared" si="309"/>
        <v>11</v>
      </c>
      <c r="K454" s="66">
        <f t="shared" si="310"/>
        <v>0</v>
      </c>
      <c r="L454" s="56">
        <f t="shared" si="311"/>
        <v>3788000</v>
      </c>
      <c r="M454" s="66">
        <f t="shared" si="312"/>
        <v>0</v>
      </c>
      <c r="N454" s="66">
        <f t="shared" si="313"/>
        <v>0</v>
      </c>
      <c r="O454" s="66">
        <f t="shared" si="314"/>
        <v>0</v>
      </c>
      <c r="P454" s="39">
        <v>3788000</v>
      </c>
      <c r="Q454" s="53">
        <v>44209</v>
      </c>
      <c r="R454" s="1"/>
      <c r="S454" s="1"/>
      <c r="T454" s="53"/>
      <c r="U454" s="1"/>
      <c r="V454" s="1"/>
      <c r="W454" s="53"/>
      <c r="X454" s="1"/>
    </row>
    <row r="455" spans="1:24">
      <c r="A455" s="387"/>
      <c r="B455" s="26">
        <v>405000</v>
      </c>
      <c r="C455" s="1"/>
      <c r="D455" s="32">
        <v>44153</v>
      </c>
      <c r="E455" s="1">
        <v>30</v>
      </c>
      <c r="F455" s="32">
        <f t="shared" si="308"/>
        <v>44183</v>
      </c>
      <c r="G455" s="54"/>
      <c r="H455" s="54"/>
      <c r="I455" s="54"/>
      <c r="J455" s="120">
        <f t="shared" si="309"/>
        <v>13</v>
      </c>
      <c r="K455" s="66">
        <f t="shared" si="310"/>
        <v>0</v>
      </c>
      <c r="L455" s="56">
        <f t="shared" si="311"/>
        <v>405000</v>
      </c>
      <c r="M455" s="66">
        <f t="shared" si="312"/>
        <v>0</v>
      </c>
      <c r="N455" s="66">
        <f t="shared" si="313"/>
        <v>0</v>
      </c>
      <c r="O455" s="66">
        <f t="shared" si="314"/>
        <v>0</v>
      </c>
      <c r="P455" s="39">
        <v>405000</v>
      </c>
      <c r="Q455" s="53">
        <v>44399</v>
      </c>
      <c r="R455" s="1"/>
      <c r="S455" s="1"/>
      <c r="T455" s="53"/>
      <c r="U455" s="1"/>
      <c r="V455" s="1"/>
      <c r="W455" s="53"/>
      <c r="X455" s="1"/>
    </row>
    <row r="456" spans="1:24">
      <c r="A456" s="387"/>
      <c r="B456" s="26">
        <v>90000</v>
      </c>
      <c r="C456" s="1"/>
      <c r="D456" s="32">
        <v>44166</v>
      </c>
      <c r="E456" s="1">
        <v>30</v>
      </c>
      <c r="F456" s="32">
        <f t="shared" si="308"/>
        <v>44196</v>
      </c>
      <c r="G456" s="54"/>
      <c r="H456" s="54"/>
      <c r="I456" s="54"/>
      <c r="J456" s="120">
        <f t="shared" si="309"/>
        <v>0</v>
      </c>
      <c r="K456" s="66">
        <f t="shared" si="310"/>
        <v>90000</v>
      </c>
      <c r="L456" s="56">
        <f t="shared" si="311"/>
        <v>0</v>
      </c>
      <c r="M456" s="66">
        <f t="shared" si="312"/>
        <v>0</v>
      </c>
      <c r="N456" s="66">
        <f t="shared" si="313"/>
        <v>0</v>
      </c>
      <c r="O456" s="66">
        <f t="shared" si="314"/>
        <v>0</v>
      </c>
      <c r="P456" s="39">
        <v>90000</v>
      </c>
      <c r="Q456" s="53">
        <v>44399</v>
      </c>
      <c r="R456" s="1"/>
      <c r="S456" s="1"/>
      <c r="T456" s="53"/>
      <c r="U456" s="1"/>
      <c r="V456" s="1"/>
      <c r="W456" s="53"/>
      <c r="X456" s="1"/>
    </row>
    <row r="457" spans="1:24">
      <c r="A457" s="1" t="s">
        <v>66</v>
      </c>
      <c r="B457" s="30">
        <v>4945270</v>
      </c>
      <c r="C457" s="1"/>
      <c r="D457" s="32">
        <v>44158</v>
      </c>
      <c r="E457" s="1">
        <v>30</v>
      </c>
      <c r="F457" s="32">
        <f t="shared" si="308"/>
        <v>44188</v>
      </c>
      <c r="G457" s="54"/>
      <c r="H457" s="61">
        <f t="shared" ref="H457:H459" si="315">B457</f>
        <v>4945270</v>
      </c>
      <c r="I457" s="54"/>
      <c r="J457" s="120">
        <f t="shared" si="309"/>
        <v>8</v>
      </c>
      <c r="K457" s="66">
        <f t="shared" si="310"/>
        <v>0</v>
      </c>
      <c r="L457" s="56">
        <f t="shared" si="311"/>
        <v>4945270</v>
      </c>
      <c r="M457" s="66">
        <f t="shared" si="312"/>
        <v>0</v>
      </c>
      <c r="N457" s="66">
        <f t="shared" si="313"/>
        <v>0</v>
      </c>
      <c r="O457" s="66">
        <f t="shared" si="314"/>
        <v>0</v>
      </c>
      <c r="P457" s="39">
        <v>4945270</v>
      </c>
      <c r="Q457" s="53">
        <v>44204</v>
      </c>
      <c r="R457" s="1"/>
      <c r="S457" s="1"/>
      <c r="T457" s="53"/>
      <c r="U457" s="1"/>
      <c r="V457" s="1"/>
      <c r="W457" s="53"/>
      <c r="X457" s="1"/>
    </row>
    <row r="458" spans="1:24">
      <c r="A458" s="1" t="s">
        <v>67</v>
      </c>
      <c r="B458" s="30">
        <v>4831000</v>
      </c>
      <c r="C458" s="1"/>
      <c r="D458" s="32">
        <v>44090</v>
      </c>
      <c r="E458" s="1">
        <v>30</v>
      </c>
      <c r="F458" s="32">
        <f t="shared" si="308"/>
        <v>44120</v>
      </c>
      <c r="G458" s="54"/>
      <c r="H458" s="61">
        <f t="shared" si="315"/>
        <v>4831000</v>
      </c>
      <c r="I458" s="54"/>
      <c r="J458" s="120">
        <f t="shared" si="309"/>
        <v>76</v>
      </c>
      <c r="K458" s="66">
        <f t="shared" si="310"/>
        <v>0</v>
      </c>
      <c r="L458" s="56">
        <f t="shared" si="311"/>
        <v>0</v>
      </c>
      <c r="M458" s="66">
        <f t="shared" si="312"/>
        <v>0</v>
      </c>
      <c r="N458" s="66">
        <f t="shared" si="313"/>
        <v>4831000</v>
      </c>
      <c r="O458" s="66">
        <f t="shared" si="314"/>
        <v>0</v>
      </c>
      <c r="P458" s="39">
        <v>4831000</v>
      </c>
      <c r="Q458" s="53">
        <v>44205</v>
      </c>
      <c r="R458" s="1"/>
      <c r="S458" s="1"/>
      <c r="T458" s="53"/>
      <c r="U458" s="1"/>
      <c r="V458" s="1"/>
      <c r="W458" s="53"/>
      <c r="X458" s="1"/>
    </row>
    <row r="459" spans="1:24">
      <c r="A459" s="387" t="s">
        <v>68</v>
      </c>
      <c r="B459" s="30">
        <v>4396000</v>
      </c>
      <c r="C459" s="1"/>
      <c r="D459" s="32"/>
      <c r="E459" s="1"/>
      <c r="F459" s="32"/>
      <c r="G459" s="54"/>
      <c r="H459" s="61">
        <f t="shared" si="315"/>
        <v>4396000</v>
      </c>
      <c r="I459" s="54"/>
      <c r="J459" s="119"/>
      <c r="K459" s="66"/>
      <c r="L459" s="56"/>
      <c r="M459" s="66"/>
      <c r="N459" s="66"/>
      <c r="O459" s="66"/>
      <c r="P459" s="39"/>
      <c r="Q459" s="64"/>
      <c r="R459" s="1"/>
      <c r="S459" s="1"/>
      <c r="T459" s="53"/>
      <c r="U459" s="1"/>
      <c r="V459" s="1"/>
      <c r="W459" s="53"/>
      <c r="X459" s="1"/>
    </row>
    <row r="460" spans="1:24">
      <c r="A460" s="387"/>
      <c r="B460" s="26">
        <v>1346000</v>
      </c>
      <c r="C460" s="1"/>
      <c r="D460" s="32">
        <v>44118</v>
      </c>
      <c r="E460" s="1">
        <v>30</v>
      </c>
      <c r="F460" s="32">
        <f t="shared" ref="F460:F464" si="316">D460+E460</f>
        <v>44148</v>
      </c>
      <c r="G460" s="54"/>
      <c r="H460" s="54"/>
      <c r="I460" s="54"/>
      <c r="J460" s="120">
        <f t="shared" ref="J460:J464" si="317">$A$3-F460</f>
        <v>48</v>
      </c>
      <c r="K460" s="66">
        <f t="shared" ref="K460:K464" si="318">IF(J460&lt;=0,B460,0)</f>
        <v>0</v>
      </c>
      <c r="L460" s="56">
        <f t="shared" ref="L460:L464" si="319">IF(AND(J460&gt;=1,J460&lt;=30),B460,0)</f>
        <v>0</v>
      </c>
      <c r="M460" s="66">
        <f t="shared" ref="M460:M464" si="320">IF(AND(J460&gt;=31,J460&lt;=60),B460,0)</f>
        <v>1346000</v>
      </c>
      <c r="N460" s="66">
        <f t="shared" ref="N460:N464" si="321">IF(AND(J460&gt;=61,J460&lt;=90),B460,0)</f>
        <v>0</v>
      </c>
      <c r="O460" s="66">
        <f t="shared" ref="O460:O464" si="322">IF(J460&gt;90,B460,0)</f>
        <v>0</v>
      </c>
      <c r="P460" s="39">
        <v>1346000</v>
      </c>
      <c r="Q460" s="53">
        <v>44204</v>
      </c>
      <c r="R460" s="1"/>
      <c r="S460" s="1"/>
      <c r="T460" s="53"/>
      <c r="U460" s="1"/>
      <c r="V460" s="1"/>
      <c r="W460" s="53"/>
      <c r="X460" s="1"/>
    </row>
    <row r="461" spans="1:24">
      <c r="A461" s="387"/>
      <c r="B461" s="26">
        <v>3050000</v>
      </c>
      <c r="C461" s="1"/>
      <c r="D461" s="32">
        <v>44132</v>
      </c>
      <c r="E461" s="1">
        <v>30</v>
      </c>
      <c r="F461" s="32">
        <f t="shared" si="316"/>
        <v>44162</v>
      </c>
      <c r="G461" s="54"/>
      <c r="H461" s="54"/>
      <c r="I461" s="54"/>
      <c r="J461" s="120">
        <f t="shared" si="317"/>
        <v>34</v>
      </c>
      <c r="K461" s="66">
        <f t="shared" si="318"/>
        <v>0</v>
      </c>
      <c r="L461" s="56">
        <f t="shared" si="319"/>
        <v>0</v>
      </c>
      <c r="M461" s="66">
        <f t="shared" si="320"/>
        <v>3050000</v>
      </c>
      <c r="N461" s="66">
        <f t="shared" si="321"/>
        <v>0</v>
      </c>
      <c r="O461" s="66">
        <f t="shared" si="322"/>
        <v>0</v>
      </c>
      <c r="P461" s="39">
        <v>3050000</v>
      </c>
      <c r="Q461" s="53">
        <v>44210</v>
      </c>
      <c r="R461" s="1"/>
      <c r="S461" s="1"/>
      <c r="T461" s="53"/>
      <c r="U461" s="1"/>
      <c r="V461" s="1"/>
      <c r="W461" s="53"/>
      <c r="X461" s="1"/>
    </row>
    <row r="462" spans="1:24">
      <c r="A462" s="1" t="s">
        <v>69</v>
      </c>
      <c r="B462" s="30">
        <v>3764000</v>
      </c>
      <c r="C462" s="1"/>
      <c r="D462" s="32">
        <v>44194</v>
      </c>
      <c r="E462" s="1">
        <v>30</v>
      </c>
      <c r="F462" s="32">
        <f t="shared" si="316"/>
        <v>44224</v>
      </c>
      <c r="G462" s="54"/>
      <c r="H462" s="61">
        <f t="shared" ref="H462:H466" si="323">B462</f>
        <v>3764000</v>
      </c>
      <c r="I462" s="54"/>
      <c r="J462" s="120">
        <f t="shared" si="317"/>
        <v>-28</v>
      </c>
      <c r="K462" s="66">
        <f t="shared" si="318"/>
        <v>3764000</v>
      </c>
      <c r="L462" s="56">
        <f t="shared" si="319"/>
        <v>0</v>
      </c>
      <c r="M462" s="66">
        <f t="shared" si="320"/>
        <v>0</v>
      </c>
      <c r="N462" s="66">
        <f t="shared" si="321"/>
        <v>0</v>
      </c>
      <c r="O462" s="66">
        <f t="shared" si="322"/>
        <v>0</v>
      </c>
      <c r="P462" s="39">
        <v>3764000</v>
      </c>
      <c r="Q462" s="53">
        <v>44294</v>
      </c>
      <c r="R462" s="1"/>
      <c r="S462" s="1"/>
      <c r="T462" s="53"/>
      <c r="U462" s="1"/>
      <c r="V462" s="1"/>
      <c r="W462" s="53"/>
      <c r="X462" s="1"/>
    </row>
    <row r="463" spans="1:24">
      <c r="A463" s="1" t="s">
        <v>70</v>
      </c>
      <c r="B463" s="30">
        <v>3630000</v>
      </c>
      <c r="C463" s="1"/>
      <c r="D463" s="32">
        <v>44166</v>
      </c>
      <c r="E463" s="1">
        <v>30</v>
      </c>
      <c r="F463" s="32">
        <f t="shared" si="316"/>
        <v>44196</v>
      </c>
      <c r="G463" s="54"/>
      <c r="H463" s="61">
        <f t="shared" si="323"/>
        <v>3630000</v>
      </c>
      <c r="I463" s="54"/>
      <c r="J463" s="120">
        <f t="shared" si="317"/>
        <v>0</v>
      </c>
      <c r="K463" s="66">
        <f t="shared" si="318"/>
        <v>3630000</v>
      </c>
      <c r="L463" s="56">
        <f t="shared" si="319"/>
        <v>0</v>
      </c>
      <c r="M463" s="66">
        <f t="shared" si="320"/>
        <v>0</v>
      </c>
      <c r="N463" s="66">
        <f t="shared" si="321"/>
        <v>0</v>
      </c>
      <c r="O463" s="66">
        <f t="shared" si="322"/>
        <v>0</v>
      </c>
      <c r="P463" s="39">
        <v>3630000</v>
      </c>
      <c r="Q463" s="53">
        <v>44216</v>
      </c>
      <c r="R463" s="1"/>
      <c r="S463" s="1"/>
      <c r="T463" s="53"/>
      <c r="U463" s="1"/>
      <c r="V463" s="1"/>
      <c r="W463" s="53"/>
      <c r="X463" s="1"/>
    </row>
    <row r="464" spans="1:24">
      <c r="A464" s="1" t="s">
        <v>71</v>
      </c>
      <c r="B464" s="30">
        <v>3600000</v>
      </c>
      <c r="C464" s="1"/>
      <c r="D464" s="32">
        <v>43867</v>
      </c>
      <c r="E464" s="1">
        <v>30</v>
      </c>
      <c r="F464" s="32">
        <f t="shared" si="316"/>
        <v>43897</v>
      </c>
      <c r="G464" s="54"/>
      <c r="H464" s="61">
        <f t="shared" si="323"/>
        <v>3600000</v>
      </c>
      <c r="I464" s="54"/>
      <c r="J464" s="120">
        <f t="shared" si="317"/>
        <v>299</v>
      </c>
      <c r="K464" s="66">
        <f t="shared" si="318"/>
        <v>0</v>
      </c>
      <c r="L464" s="56">
        <f t="shared" si="319"/>
        <v>0</v>
      </c>
      <c r="M464" s="66">
        <f t="shared" si="320"/>
        <v>0</v>
      </c>
      <c r="N464" s="66">
        <f t="shared" si="321"/>
        <v>0</v>
      </c>
      <c r="O464" s="66">
        <f t="shared" si="322"/>
        <v>3600000</v>
      </c>
      <c r="P464" s="39">
        <v>3600000</v>
      </c>
      <c r="Q464" s="64" t="s">
        <v>182</v>
      </c>
      <c r="R464" s="1"/>
      <c r="S464" s="1"/>
      <c r="T464" s="53"/>
      <c r="U464" s="1"/>
      <c r="V464" s="1"/>
      <c r="W464" s="53"/>
      <c r="X464" s="1"/>
    </row>
    <row r="465" spans="1:26">
      <c r="A465" s="7" t="s">
        <v>72</v>
      </c>
      <c r="B465" s="30">
        <v>3499500</v>
      </c>
      <c r="C465" s="1"/>
      <c r="D465" s="32"/>
      <c r="E465" s="1"/>
      <c r="F465" s="32"/>
      <c r="G465" s="54"/>
      <c r="H465" s="54"/>
      <c r="I465" s="54"/>
      <c r="J465" s="119"/>
      <c r="K465" s="66"/>
      <c r="L465" s="56"/>
      <c r="M465" s="66"/>
      <c r="N465" s="66"/>
      <c r="O465" s="66"/>
      <c r="P465" s="39">
        <v>3499500</v>
      </c>
      <c r="Q465" s="64" t="s">
        <v>183</v>
      </c>
      <c r="R465" s="1"/>
      <c r="S465" s="1"/>
      <c r="T465" s="53"/>
      <c r="U465" s="1"/>
      <c r="V465" s="1"/>
      <c r="W465" s="53"/>
      <c r="X465" s="1"/>
      <c r="Y465" s="48" t="s">
        <v>188</v>
      </c>
      <c r="Z465" t="s">
        <v>155</v>
      </c>
    </row>
    <row r="466" spans="1:26">
      <c r="A466" s="387" t="s">
        <v>73</v>
      </c>
      <c r="B466" s="30">
        <v>3365000</v>
      </c>
      <c r="C466" s="1"/>
      <c r="D466" s="32"/>
      <c r="E466" s="1"/>
      <c r="F466" s="32"/>
      <c r="G466" s="54"/>
      <c r="H466" s="61">
        <f t="shared" si="323"/>
        <v>3365000</v>
      </c>
      <c r="I466" s="54"/>
      <c r="J466" s="119"/>
      <c r="K466" s="66"/>
      <c r="L466" s="56"/>
      <c r="M466" s="66"/>
      <c r="N466" s="66"/>
      <c r="O466" s="66"/>
      <c r="P466" s="39"/>
      <c r="Q466" s="64"/>
      <c r="R466" s="1"/>
      <c r="S466" s="1"/>
      <c r="T466" s="53"/>
      <c r="U466" s="1"/>
      <c r="V466" s="1"/>
      <c r="W466" s="53"/>
      <c r="X466" s="1"/>
    </row>
    <row r="467" spans="1:26">
      <c r="A467" s="387"/>
      <c r="B467" s="26">
        <v>412500</v>
      </c>
      <c r="C467" s="1"/>
      <c r="D467" s="32">
        <v>44148</v>
      </c>
      <c r="E467" s="1">
        <v>30</v>
      </c>
      <c r="F467" s="32">
        <f t="shared" ref="F467:F472" si="324">D467+E467</f>
        <v>44178</v>
      </c>
      <c r="G467" s="54"/>
      <c r="H467" s="54"/>
      <c r="I467" s="54"/>
      <c r="J467" s="120">
        <f t="shared" ref="J467:J472" si="325">$A$3-F467</f>
        <v>18</v>
      </c>
      <c r="K467" s="66">
        <f t="shared" ref="K467:K472" si="326">IF(J467&lt;=0,B467,0)</f>
        <v>0</v>
      </c>
      <c r="L467" s="56">
        <f t="shared" ref="L467:L472" si="327">IF(AND(J467&gt;=1,J467&lt;=30),B467,0)</f>
        <v>412500</v>
      </c>
      <c r="M467" s="66">
        <f t="shared" ref="M467:M472" si="328">IF(AND(J467&gt;=31,J467&lt;=60),B467,0)</f>
        <v>0</v>
      </c>
      <c r="N467" s="66">
        <f t="shared" ref="N467:N472" si="329">IF(AND(J467&gt;=61,J467&lt;=90),B467,0)</f>
        <v>0</v>
      </c>
      <c r="O467" s="66">
        <f t="shared" ref="O467:O472" si="330">IF(J467&gt;90,B467,0)</f>
        <v>0</v>
      </c>
      <c r="P467" s="39">
        <v>412500</v>
      </c>
      <c r="Q467" s="53">
        <v>44204</v>
      </c>
      <c r="R467" s="1"/>
      <c r="S467" s="1"/>
      <c r="T467" s="53"/>
      <c r="U467" s="1"/>
      <c r="V467" s="1"/>
      <c r="W467" s="53"/>
      <c r="X467" s="1"/>
    </row>
    <row r="468" spans="1:26">
      <c r="A468" s="387"/>
      <c r="B468" s="26">
        <v>1049000</v>
      </c>
      <c r="C468" s="1"/>
      <c r="D468" s="32">
        <v>44148</v>
      </c>
      <c r="E468" s="1">
        <v>30</v>
      </c>
      <c r="F468" s="32">
        <f t="shared" si="324"/>
        <v>44178</v>
      </c>
      <c r="G468" s="54"/>
      <c r="H468" s="54"/>
      <c r="I468" s="54"/>
      <c r="J468" s="120">
        <f t="shared" si="325"/>
        <v>18</v>
      </c>
      <c r="K468" s="66">
        <f t="shared" si="326"/>
        <v>0</v>
      </c>
      <c r="L468" s="56">
        <f t="shared" si="327"/>
        <v>1049000</v>
      </c>
      <c r="M468" s="66">
        <f t="shared" si="328"/>
        <v>0</v>
      </c>
      <c r="N468" s="66">
        <f t="shared" si="329"/>
        <v>0</v>
      </c>
      <c r="O468" s="66">
        <f t="shared" si="330"/>
        <v>0</v>
      </c>
      <c r="P468" s="39">
        <v>1049000</v>
      </c>
      <c r="Q468" s="53">
        <v>44204</v>
      </c>
      <c r="R468" s="1"/>
      <c r="S468" s="1"/>
      <c r="T468" s="53"/>
      <c r="U468" s="1"/>
      <c r="V468" s="1"/>
      <c r="W468" s="53"/>
      <c r="X468" s="1"/>
    </row>
    <row r="469" spans="1:26">
      <c r="A469" s="387"/>
      <c r="B469" s="26">
        <v>606000</v>
      </c>
      <c r="C469" s="1"/>
      <c r="D469" s="32">
        <v>44163</v>
      </c>
      <c r="E469" s="1">
        <v>30</v>
      </c>
      <c r="F469" s="32">
        <f t="shared" si="324"/>
        <v>44193</v>
      </c>
      <c r="G469" s="54"/>
      <c r="H469" s="54"/>
      <c r="I469" s="54"/>
      <c r="J469" s="120">
        <f t="shared" si="325"/>
        <v>3</v>
      </c>
      <c r="K469" s="66">
        <f t="shared" si="326"/>
        <v>0</v>
      </c>
      <c r="L469" s="56">
        <f t="shared" si="327"/>
        <v>606000</v>
      </c>
      <c r="M469" s="66">
        <f t="shared" si="328"/>
        <v>0</v>
      </c>
      <c r="N469" s="66">
        <f t="shared" si="329"/>
        <v>0</v>
      </c>
      <c r="O469" s="66">
        <f t="shared" si="330"/>
        <v>0</v>
      </c>
      <c r="P469" s="39">
        <v>606000</v>
      </c>
      <c r="Q469" s="53">
        <v>44209</v>
      </c>
      <c r="R469" s="1"/>
      <c r="S469" s="1"/>
      <c r="T469" s="53"/>
      <c r="U469" s="1"/>
      <c r="V469" s="1"/>
      <c r="W469" s="53"/>
      <c r="X469" s="1"/>
    </row>
    <row r="470" spans="1:26">
      <c r="A470" s="387"/>
      <c r="B470" s="26">
        <v>1145000</v>
      </c>
      <c r="C470" s="1"/>
      <c r="D470" s="32">
        <v>44163</v>
      </c>
      <c r="E470" s="1">
        <v>30</v>
      </c>
      <c r="F470" s="32">
        <f t="shared" si="324"/>
        <v>44193</v>
      </c>
      <c r="G470" s="54"/>
      <c r="H470" s="54"/>
      <c r="I470" s="54"/>
      <c r="J470" s="120">
        <f t="shared" si="325"/>
        <v>3</v>
      </c>
      <c r="K470" s="66">
        <f t="shared" si="326"/>
        <v>0</v>
      </c>
      <c r="L470" s="56">
        <f t="shared" si="327"/>
        <v>1145000</v>
      </c>
      <c r="M470" s="66">
        <f t="shared" si="328"/>
        <v>0</v>
      </c>
      <c r="N470" s="66">
        <f t="shared" si="329"/>
        <v>0</v>
      </c>
      <c r="O470" s="66">
        <f t="shared" si="330"/>
        <v>0</v>
      </c>
      <c r="P470" s="39">
        <v>1145000</v>
      </c>
      <c r="Q470" s="53">
        <v>44237</v>
      </c>
      <c r="R470" s="1"/>
      <c r="S470" s="1"/>
      <c r="T470" s="53"/>
      <c r="U470" s="1"/>
      <c r="V470" s="1"/>
      <c r="W470" s="53"/>
      <c r="X470" s="1"/>
    </row>
    <row r="471" spans="1:26">
      <c r="A471" s="387"/>
      <c r="B471" s="26">
        <v>152500</v>
      </c>
      <c r="C471" s="1"/>
      <c r="D471" s="32">
        <v>44186</v>
      </c>
      <c r="E471" s="1">
        <v>30</v>
      </c>
      <c r="F471" s="32">
        <f t="shared" si="324"/>
        <v>44216</v>
      </c>
      <c r="G471" s="54"/>
      <c r="H471" s="54"/>
      <c r="I471" s="54"/>
      <c r="J471" s="120">
        <f t="shared" si="325"/>
        <v>-20</v>
      </c>
      <c r="K471" s="66">
        <f t="shared" si="326"/>
        <v>152500</v>
      </c>
      <c r="L471" s="56">
        <f t="shared" si="327"/>
        <v>0</v>
      </c>
      <c r="M471" s="66">
        <f t="shared" si="328"/>
        <v>0</v>
      </c>
      <c r="N471" s="66">
        <f t="shared" si="329"/>
        <v>0</v>
      </c>
      <c r="O471" s="66">
        <f t="shared" si="330"/>
        <v>0</v>
      </c>
      <c r="P471" s="39">
        <v>152500</v>
      </c>
      <c r="Q471" s="53">
        <v>44237</v>
      </c>
      <c r="R471" s="1"/>
      <c r="S471" s="1"/>
      <c r="T471" s="53"/>
      <c r="U471" s="1"/>
      <c r="V471" s="1"/>
      <c r="W471" s="53"/>
      <c r="X471" s="1"/>
    </row>
    <row r="472" spans="1:26">
      <c r="A472" s="1" t="s">
        <v>74</v>
      </c>
      <c r="B472" s="30">
        <v>2819920</v>
      </c>
      <c r="C472" s="1"/>
      <c r="D472" s="32">
        <v>44196</v>
      </c>
      <c r="E472" s="1">
        <v>30</v>
      </c>
      <c r="F472" s="32">
        <f t="shared" si="324"/>
        <v>44226</v>
      </c>
      <c r="G472" s="54"/>
      <c r="H472" s="61">
        <f t="shared" ref="H472:H473" si="331">B472</f>
        <v>2819920</v>
      </c>
      <c r="I472" s="54"/>
      <c r="J472" s="120">
        <f t="shared" si="325"/>
        <v>-30</v>
      </c>
      <c r="K472" s="66">
        <f t="shared" si="326"/>
        <v>2819920</v>
      </c>
      <c r="L472" s="56">
        <f t="shared" si="327"/>
        <v>0</v>
      </c>
      <c r="M472" s="66">
        <f t="shared" si="328"/>
        <v>0</v>
      </c>
      <c r="N472" s="66">
        <f t="shared" si="329"/>
        <v>0</v>
      </c>
      <c r="O472" s="66">
        <f t="shared" si="330"/>
        <v>0</v>
      </c>
      <c r="P472" s="39">
        <v>2819920</v>
      </c>
      <c r="Q472" s="53">
        <v>44204</v>
      </c>
      <c r="R472" s="1"/>
      <c r="S472" s="1"/>
      <c r="T472" s="53"/>
      <c r="U472" s="1"/>
      <c r="V472" s="1"/>
      <c r="W472" s="53"/>
      <c r="X472" s="1"/>
    </row>
    <row r="473" spans="1:26">
      <c r="A473" s="387" t="s">
        <v>75</v>
      </c>
      <c r="B473" s="30">
        <v>2819000</v>
      </c>
      <c r="C473" s="1"/>
      <c r="D473" s="32"/>
      <c r="E473" s="1"/>
      <c r="F473" s="32"/>
      <c r="G473" s="54"/>
      <c r="H473" s="61">
        <f t="shared" si="331"/>
        <v>2819000</v>
      </c>
      <c r="I473" s="54"/>
      <c r="J473" s="119"/>
      <c r="K473" s="66"/>
      <c r="L473" s="56"/>
      <c r="M473" s="66"/>
      <c r="N473" s="66"/>
      <c r="O473" s="66"/>
      <c r="P473" s="39"/>
      <c r="Q473" s="64"/>
      <c r="R473" s="1"/>
      <c r="S473" s="1"/>
      <c r="T473" s="53"/>
      <c r="U473" s="1"/>
      <c r="V473" s="1"/>
      <c r="W473" s="53"/>
      <c r="X473" s="1"/>
    </row>
    <row r="474" spans="1:26">
      <c r="A474" s="387"/>
      <c r="B474" s="26">
        <v>250000</v>
      </c>
      <c r="C474" s="1"/>
      <c r="D474" s="32">
        <v>44146</v>
      </c>
      <c r="E474" s="1">
        <v>30</v>
      </c>
      <c r="F474" s="32">
        <f t="shared" ref="F474:F477" si="332">D474+E474</f>
        <v>44176</v>
      </c>
      <c r="G474" s="54"/>
      <c r="H474" s="54"/>
      <c r="I474" s="54"/>
      <c r="J474" s="120">
        <f t="shared" ref="J474:J477" si="333">$A$3-F474</f>
        <v>20</v>
      </c>
      <c r="K474" s="66">
        <f t="shared" ref="K474:K477" si="334">IF(J474&lt;=0,B474,0)</f>
        <v>0</v>
      </c>
      <c r="L474" s="56">
        <f t="shared" ref="L474:L477" si="335">IF(AND(J474&gt;=1,J474&lt;=30),B474,0)</f>
        <v>250000</v>
      </c>
      <c r="M474" s="66">
        <f t="shared" ref="M474:M477" si="336">IF(AND(J474&gt;=31,J474&lt;=60),B474,0)</f>
        <v>0</v>
      </c>
      <c r="N474" s="66">
        <f t="shared" ref="N474:N477" si="337">IF(AND(J474&gt;=61,J474&lt;=90),B474,0)</f>
        <v>0</v>
      </c>
      <c r="O474" s="66">
        <f t="shared" ref="O474:O477" si="338">IF(J474&gt;90,B474,0)</f>
        <v>0</v>
      </c>
      <c r="P474" s="39">
        <v>250000</v>
      </c>
      <c r="Q474" s="53">
        <v>44209</v>
      </c>
      <c r="R474" s="1"/>
      <c r="S474" s="1"/>
      <c r="T474" s="53"/>
      <c r="U474" s="1"/>
      <c r="V474" s="1"/>
      <c r="W474" s="53"/>
      <c r="X474" s="1"/>
    </row>
    <row r="475" spans="1:26">
      <c r="A475" s="387"/>
      <c r="B475" s="26">
        <v>1779000</v>
      </c>
      <c r="C475" s="1"/>
      <c r="D475" s="32">
        <v>44162</v>
      </c>
      <c r="E475" s="1">
        <v>30</v>
      </c>
      <c r="F475" s="32">
        <f t="shared" si="332"/>
        <v>44192</v>
      </c>
      <c r="G475" s="54"/>
      <c r="H475" s="54"/>
      <c r="I475" s="54"/>
      <c r="J475" s="120">
        <f t="shared" si="333"/>
        <v>4</v>
      </c>
      <c r="K475" s="66">
        <f t="shared" si="334"/>
        <v>0</v>
      </c>
      <c r="L475" s="56">
        <f t="shared" si="335"/>
        <v>1779000</v>
      </c>
      <c r="M475" s="66">
        <f t="shared" si="336"/>
        <v>0</v>
      </c>
      <c r="N475" s="66">
        <f t="shared" si="337"/>
        <v>0</v>
      </c>
      <c r="O475" s="66">
        <f t="shared" si="338"/>
        <v>0</v>
      </c>
      <c r="P475" s="39">
        <v>1779000</v>
      </c>
      <c r="Q475" s="53">
        <v>44209</v>
      </c>
      <c r="R475" s="1"/>
      <c r="S475" s="1"/>
      <c r="T475" s="53"/>
      <c r="U475" s="1"/>
      <c r="V475" s="1"/>
      <c r="W475" s="53"/>
      <c r="X475" s="1"/>
    </row>
    <row r="476" spans="1:26">
      <c r="A476" s="387"/>
      <c r="B476" s="26">
        <v>480000</v>
      </c>
      <c r="C476" s="1"/>
      <c r="D476" s="32">
        <v>44173</v>
      </c>
      <c r="E476" s="1">
        <v>30</v>
      </c>
      <c r="F476" s="32">
        <f t="shared" si="332"/>
        <v>44203</v>
      </c>
      <c r="G476" s="54"/>
      <c r="H476" s="54"/>
      <c r="I476" s="54"/>
      <c r="J476" s="120">
        <f t="shared" si="333"/>
        <v>-7</v>
      </c>
      <c r="K476" s="66">
        <f t="shared" si="334"/>
        <v>480000</v>
      </c>
      <c r="L476" s="56">
        <f t="shared" si="335"/>
        <v>0</v>
      </c>
      <c r="M476" s="66">
        <f t="shared" si="336"/>
        <v>0</v>
      </c>
      <c r="N476" s="66">
        <f t="shared" si="337"/>
        <v>0</v>
      </c>
      <c r="O476" s="66">
        <f t="shared" si="338"/>
        <v>0</v>
      </c>
      <c r="P476" s="39">
        <v>480000</v>
      </c>
      <c r="Q476" s="53">
        <v>44209</v>
      </c>
      <c r="R476" s="1"/>
      <c r="S476" s="1"/>
      <c r="T476" s="53"/>
      <c r="U476" s="1"/>
      <c r="V476" s="1"/>
      <c r="W476" s="53"/>
      <c r="X476" s="1"/>
    </row>
    <row r="477" spans="1:26">
      <c r="A477" s="387"/>
      <c r="B477" s="26">
        <v>310000</v>
      </c>
      <c r="C477" s="1"/>
      <c r="D477" s="32">
        <v>44176</v>
      </c>
      <c r="E477" s="1">
        <v>30</v>
      </c>
      <c r="F477" s="32">
        <f t="shared" si="332"/>
        <v>44206</v>
      </c>
      <c r="G477" s="54"/>
      <c r="H477" s="54"/>
      <c r="I477" s="54"/>
      <c r="J477" s="120">
        <f t="shared" si="333"/>
        <v>-10</v>
      </c>
      <c r="K477" s="66">
        <f t="shared" si="334"/>
        <v>310000</v>
      </c>
      <c r="L477" s="56">
        <f t="shared" si="335"/>
        <v>0</v>
      </c>
      <c r="M477" s="66">
        <f t="shared" si="336"/>
        <v>0</v>
      </c>
      <c r="N477" s="66">
        <f t="shared" si="337"/>
        <v>0</v>
      </c>
      <c r="O477" s="66">
        <f t="shared" si="338"/>
        <v>0</v>
      </c>
      <c r="P477" s="39">
        <v>310000</v>
      </c>
      <c r="Q477" s="53">
        <v>44216</v>
      </c>
      <c r="R477" s="1"/>
      <c r="S477" s="1"/>
      <c r="T477" s="53"/>
      <c r="U477" s="1"/>
      <c r="V477" s="1"/>
      <c r="W477" s="53"/>
      <c r="X477" s="1"/>
    </row>
    <row r="478" spans="1:26">
      <c r="A478" s="387" t="s">
        <v>76</v>
      </c>
      <c r="B478" s="30">
        <v>2775000</v>
      </c>
      <c r="C478" s="1"/>
      <c r="D478" s="32"/>
      <c r="E478" s="1"/>
      <c r="F478" s="32"/>
      <c r="G478" s="54"/>
      <c r="H478" s="61">
        <f>B478</f>
        <v>2775000</v>
      </c>
      <c r="I478" s="54"/>
      <c r="J478" s="119"/>
      <c r="K478" s="66"/>
      <c r="L478" s="56"/>
      <c r="M478" s="66"/>
      <c r="N478" s="66"/>
      <c r="O478" s="66"/>
      <c r="P478" s="39"/>
      <c r="Q478" s="64"/>
      <c r="R478" s="1"/>
      <c r="S478" s="1"/>
      <c r="T478" s="53"/>
      <c r="U478" s="1"/>
      <c r="V478" s="1"/>
      <c r="W478" s="53"/>
      <c r="X478" s="1"/>
    </row>
    <row r="479" spans="1:26">
      <c r="A479" s="387"/>
      <c r="B479" s="26">
        <v>875000</v>
      </c>
      <c r="C479" s="1"/>
      <c r="D479" s="32">
        <v>43831</v>
      </c>
      <c r="E479" s="1">
        <v>30</v>
      </c>
      <c r="F479" s="32">
        <f>D479+E479</f>
        <v>43861</v>
      </c>
      <c r="G479" s="54"/>
      <c r="H479" s="54"/>
      <c r="I479" s="54"/>
      <c r="J479" s="120">
        <f>$A$3-F479</f>
        <v>335</v>
      </c>
      <c r="K479" s="66">
        <f t="shared" ref="K479:K481" si="339">IF(J479&lt;=0,B479,0)</f>
        <v>0</v>
      </c>
      <c r="L479" s="56">
        <f t="shared" ref="L479:L481" si="340">IF(AND(J479&gt;=1,J479&lt;=30),B479,0)</f>
        <v>0</v>
      </c>
      <c r="M479" s="66">
        <f t="shared" ref="M479:M481" si="341">IF(AND(J479&gt;=31,J479&lt;=60),B479,0)</f>
        <v>0</v>
      </c>
      <c r="N479" s="66">
        <f t="shared" ref="N479:N481" si="342">IF(AND(J479&gt;=61,J479&lt;=90),B479,0)</f>
        <v>0</v>
      </c>
      <c r="O479" s="66">
        <f t="shared" ref="O479:O481" si="343">IF(J479&gt;90,B479,0)</f>
        <v>875000</v>
      </c>
      <c r="P479" s="39">
        <v>875000</v>
      </c>
      <c r="Q479" s="53">
        <v>44274</v>
      </c>
      <c r="R479" s="1"/>
      <c r="S479" s="1"/>
      <c r="T479" s="53"/>
      <c r="U479" s="1"/>
      <c r="V479" s="1"/>
      <c r="W479" s="53"/>
      <c r="X479" s="1"/>
      <c r="Y479" t="s">
        <v>162</v>
      </c>
      <c r="Z479" t="s">
        <v>155</v>
      </c>
    </row>
    <row r="480" spans="1:26">
      <c r="A480" s="387"/>
      <c r="B480" s="26">
        <v>950000</v>
      </c>
      <c r="C480" s="1"/>
      <c r="D480" s="32">
        <v>44146</v>
      </c>
      <c r="E480" s="1">
        <v>30</v>
      </c>
      <c r="F480" s="32">
        <f t="shared" ref="F480:F481" si="344">D480+E480</f>
        <v>44176</v>
      </c>
      <c r="G480" s="54"/>
      <c r="H480" s="54"/>
      <c r="I480" s="54"/>
      <c r="J480" s="120">
        <f t="shared" ref="J480:J481" si="345">$A$3-F480</f>
        <v>20</v>
      </c>
      <c r="K480" s="66">
        <f t="shared" si="339"/>
        <v>0</v>
      </c>
      <c r="L480" s="56">
        <f t="shared" si="340"/>
        <v>950000</v>
      </c>
      <c r="M480" s="66">
        <f t="shared" si="341"/>
        <v>0</v>
      </c>
      <c r="N480" s="66">
        <f t="shared" si="342"/>
        <v>0</v>
      </c>
      <c r="O480" s="66">
        <f t="shared" si="343"/>
        <v>0</v>
      </c>
      <c r="P480" s="39">
        <v>950000</v>
      </c>
      <c r="Q480" s="53">
        <v>44274</v>
      </c>
      <c r="R480" s="1"/>
      <c r="S480" s="1"/>
      <c r="T480" s="53"/>
      <c r="U480" s="1"/>
      <c r="V480" s="1"/>
      <c r="W480" s="53"/>
      <c r="X480" s="1"/>
    </row>
    <row r="481" spans="1:24">
      <c r="A481" s="387"/>
      <c r="B481" s="26">
        <v>950000</v>
      </c>
      <c r="C481" s="1"/>
      <c r="D481" s="32">
        <v>44187</v>
      </c>
      <c r="E481" s="1">
        <v>30</v>
      </c>
      <c r="F481" s="32">
        <f t="shared" si="344"/>
        <v>44217</v>
      </c>
      <c r="G481" s="54"/>
      <c r="H481" s="54"/>
      <c r="I481" s="54"/>
      <c r="J481" s="120">
        <f t="shared" si="345"/>
        <v>-21</v>
      </c>
      <c r="K481" s="66">
        <f t="shared" si="339"/>
        <v>950000</v>
      </c>
      <c r="L481" s="56">
        <f t="shared" si="340"/>
        <v>0</v>
      </c>
      <c r="M481" s="66">
        <f t="shared" si="341"/>
        <v>0</v>
      </c>
      <c r="N481" s="66">
        <f t="shared" si="342"/>
        <v>0</v>
      </c>
      <c r="O481" s="66">
        <f t="shared" si="343"/>
        <v>0</v>
      </c>
      <c r="P481" s="39">
        <v>950000</v>
      </c>
      <c r="Q481" s="53">
        <v>44202</v>
      </c>
      <c r="R481" s="1"/>
      <c r="S481" s="1"/>
      <c r="T481" s="53"/>
      <c r="U481" s="1"/>
      <c r="V481" s="1"/>
      <c r="W481" s="53"/>
      <c r="X481" s="1"/>
    </row>
    <row r="482" spans="1:24">
      <c r="A482" s="387" t="s">
        <v>77</v>
      </c>
      <c r="B482" s="30">
        <v>2549500</v>
      </c>
      <c r="C482" s="1"/>
      <c r="D482" s="32"/>
      <c r="E482" s="1"/>
      <c r="F482" s="32"/>
      <c r="G482" s="54"/>
      <c r="H482" s="61">
        <f>B482</f>
        <v>2549500</v>
      </c>
      <c r="I482" s="54"/>
      <c r="J482" s="119"/>
      <c r="K482" s="66"/>
      <c r="L482" s="56"/>
      <c r="M482" s="66"/>
      <c r="N482" s="66"/>
      <c r="O482" s="66"/>
      <c r="P482" s="39"/>
      <c r="Q482" s="64"/>
      <c r="R482" s="1"/>
      <c r="S482" s="1"/>
      <c r="T482" s="53"/>
      <c r="U482" s="1"/>
      <c r="V482" s="1"/>
      <c r="W482" s="53"/>
      <c r="X482" s="1"/>
    </row>
    <row r="483" spans="1:24">
      <c r="A483" s="387"/>
      <c r="B483" s="26">
        <v>274000</v>
      </c>
      <c r="C483" s="1"/>
      <c r="D483" s="32">
        <v>44132</v>
      </c>
      <c r="E483" s="1">
        <v>30</v>
      </c>
      <c r="F483" s="32">
        <f t="shared" ref="F483:F497" si="346">D483+E483</f>
        <v>44162</v>
      </c>
      <c r="G483" s="54"/>
      <c r="H483" s="54"/>
      <c r="I483" s="54"/>
      <c r="J483" s="120">
        <f t="shared" ref="J483:J497" si="347">$A$3-F483</f>
        <v>34</v>
      </c>
      <c r="K483" s="66">
        <f t="shared" ref="K483:K497" si="348">IF(J483&lt;=0,B483,0)</f>
        <v>0</v>
      </c>
      <c r="L483" s="56">
        <f t="shared" ref="L483:L497" si="349">IF(AND(J483&gt;=1,J483&lt;=30),B483,0)</f>
        <v>0</v>
      </c>
      <c r="M483" s="66">
        <f t="shared" ref="M483:M497" si="350">IF(AND(J483&gt;=31,J483&lt;=60),B483,0)</f>
        <v>274000</v>
      </c>
      <c r="N483" s="66">
        <f t="shared" ref="N483:N497" si="351">IF(AND(J483&gt;=61,J483&lt;=90),B483,0)</f>
        <v>0</v>
      </c>
      <c r="O483" s="66">
        <f t="shared" ref="O483:O497" si="352">IF(J483&gt;90,B483,0)</f>
        <v>0</v>
      </c>
      <c r="P483" s="39">
        <v>274000</v>
      </c>
      <c r="Q483" s="53">
        <v>44209</v>
      </c>
      <c r="R483" s="1"/>
      <c r="S483" s="1"/>
      <c r="T483" s="53"/>
      <c r="U483" s="1"/>
      <c r="V483" s="1"/>
      <c r="W483" s="53"/>
      <c r="X483" s="1"/>
    </row>
    <row r="484" spans="1:24">
      <c r="A484" s="387"/>
      <c r="B484" s="26">
        <v>415000</v>
      </c>
      <c r="C484" s="1"/>
      <c r="D484" s="32">
        <v>44141</v>
      </c>
      <c r="E484" s="1">
        <v>30</v>
      </c>
      <c r="F484" s="32">
        <f t="shared" si="346"/>
        <v>44171</v>
      </c>
      <c r="G484" s="54"/>
      <c r="H484" s="54"/>
      <c r="I484" s="54"/>
      <c r="J484" s="120">
        <f t="shared" si="347"/>
        <v>25</v>
      </c>
      <c r="K484" s="66">
        <f t="shared" si="348"/>
        <v>0</v>
      </c>
      <c r="L484" s="56">
        <f t="shared" si="349"/>
        <v>415000</v>
      </c>
      <c r="M484" s="66">
        <f t="shared" si="350"/>
        <v>0</v>
      </c>
      <c r="N484" s="66">
        <f t="shared" si="351"/>
        <v>0</v>
      </c>
      <c r="O484" s="66">
        <f t="shared" si="352"/>
        <v>0</v>
      </c>
      <c r="P484" s="39">
        <v>415000</v>
      </c>
      <c r="Q484" s="53">
        <v>44209</v>
      </c>
      <c r="R484" s="1"/>
      <c r="S484" s="1"/>
      <c r="T484" s="53"/>
      <c r="U484" s="1"/>
      <c r="V484" s="1"/>
      <c r="W484" s="53"/>
      <c r="X484" s="1"/>
    </row>
    <row r="485" spans="1:24">
      <c r="A485" s="387"/>
      <c r="B485" s="26">
        <v>55000</v>
      </c>
      <c r="C485" s="1"/>
      <c r="D485" s="32">
        <v>44141</v>
      </c>
      <c r="E485" s="1">
        <v>30</v>
      </c>
      <c r="F485" s="32">
        <f t="shared" si="346"/>
        <v>44171</v>
      </c>
      <c r="G485" s="54"/>
      <c r="H485" s="54"/>
      <c r="I485" s="54"/>
      <c r="J485" s="120">
        <f t="shared" si="347"/>
        <v>25</v>
      </c>
      <c r="K485" s="66">
        <f t="shared" si="348"/>
        <v>0</v>
      </c>
      <c r="L485" s="56">
        <f t="shared" si="349"/>
        <v>55000</v>
      </c>
      <c r="M485" s="66">
        <f t="shared" si="350"/>
        <v>0</v>
      </c>
      <c r="N485" s="66">
        <f t="shared" si="351"/>
        <v>0</v>
      </c>
      <c r="O485" s="66">
        <f t="shared" si="352"/>
        <v>0</v>
      </c>
      <c r="P485" s="39">
        <v>55000</v>
      </c>
      <c r="Q485" s="53">
        <v>44209</v>
      </c>
      <c r="R485" s="1"/>
      <c r="S485" s="1"/>
      <c r="T485" s="53"/>
      <c r="U485" s="1"/>
      <c r="V485" s="1"/>
      <c r="W485" s="53"/>
      <c r="X485" s="1"/>
    </row>
    <row r="486" spans="1:24">
      <c r="A486" s="387"/>
      <c r="B486" s="26">
        <v>175000</v>
      </c>
      <c r="C486" s="1"/>
      <c r="D486" s="32">
        <v>44145</v>
      </c>
      <c r="E486" s="1">
        <v>30</v>
      </c>
      <c r="F486" s="32">
        <f t="shared" si="346"/>
        <v>44175</v>
      </c>
      <c r="G486" s="54"/>
      <c r="H486" s="54"/>
      <c r="I486" s="54"/>
      <c r="J486" s="120">
        <f t="shared" si="347"/>
        <v>21</v>
      </c>
      <c r="K486" s="66">
        <f t="shared" si="348"/>
        <v>0</v>
      </c>
      <c r="L486" s="56">
        <f t="shared" si="349"/>
        <v>175000</v>
      </c>
      <c r="M486" s="66">
        <f t="shared" si="350"/>
        <v>0</v>
      </c>
      <c r="N486" s="66">
        <f t="shared" si="351"/>
        <v>0</v>
      </c>
      <c r="O486" s="66">
        <f t="shared" si="352"/>
        <v>0</v>
      </c>
      <c r="P486" s="39">
        <v>175000</v>
      </c>
      <c r="Q486" s="53">
        <v>44209</v>
      </c>
      <c r="R486" s="1"/>
      <c r="S486" s="1"/>
      <c r="T486" s="53"/>
      <c r="U486" s="1"/>
      <c r="V486" s="1"/>
      <c r="W486" s="53"/>
      <c r="X486" s="1"/>
    </row>
    <row r="487" spans="1:24">
      <c r="A487" s="387"/>
      <c r="B487" s="26">
        <v>617000</v>
      </c>
      <c r="C487" s="1"/>
      <c r="D487" s="32">
        <v>44145</v>
      </c>
      <c r="E487" s="1">
        <v>30</v>
      </c>
      <c r="F487" s="32">
        <f t="shared" si="346"/>
        <v>44175</v>
      </c>
      <c r="G487" s="54"/>
      <c r="H487" s="54"/>
      <c r="I487" s="54"/>
      <c r="J487" s="120">
        <f t="shared" si="347"/>
        <v>21</v>
      </c>
      <c r="K487" s="66">
        <f t="shared" si="348"/>
        <v>0</v>
      </c>
      <c r="L487" s="56">
        <f t="shared" si="349"/>
        <v>617000</v>
      </c>
      <c r="M487" s="66">
        <f t="shared" si="350"/>
        <v>0</v>
      </c>
      <c r="N487" s="66">
        <f t="shared" si="351"/>
        <v>0</v>
      </c>
      <c r="O487" s="66">
        <f t="shared" si="352"/>
        <v>0</v>
      </c>
      <c r="P487" s="39">
        <v>617000</v>
      </c>
      <c r="Q487" s="53">
        <v>44209</v>
      </c>
      <c r="R487" s="39"/>
      <c r="S487" s="1"/>
      <c r="T487" s="53"/>
      <c r="U487" s="1"/>
      <c r="V487" s="1"/>
      <c r="W487" s="53"/>
      <c r="X487" s="1"/>
    </row>
    <row r="488" spans="1:24">
      <c r="A488" s="387"/>
      <c r="B488" s="26">
        <v>103000</v>
      </c>
      <c r="C488" s="1"/>
      <c r="D488" s="32">
        <v>44145</v>
      </c>
      <c r="E488" s="1">
        <v>30</v>
      </c>
      <c r="F488" s="32">
        <f t="shared" si="346"/>
        <v>44175</v>
      </c>
      <c r="G488" s="54"/>
      <c r="H488" s="54"/>
      <c r="I488" s="54"/>
      <c r="J488" s="120">
        <f t="shared" si="347"/>
        <v>21</v>
      </c>
      <c r="K488" s="66">
        <f t="shared" si="348"/>
        <v>0</v>
      </c>
      <c r="L488" s="56">
        <f t="shared" si="349"/>
        <v>103000</v>
      </c>
      <c r="M488" s="66">
        <f t="shared" si="350"/>
        <v>0</v>
      </c>
      <c r="N488" s="66">
        <f t="shared" si="351"/>
        <v>0</v>
      </c>
      <c r="O488" s="66">
        <f t="shared" si="352"/>
        <v>0</v>
      </c>
      <c r="P488" s="39">
        <v>103000</v>
      </c>
      <c r="Q488" s="53">
        <v>44209</v>
      </c>
      <c r="R488" s="39"/>
      <c r="S488" s="1"/>
      <c r="T488" s="53"/>
      <c r="U488" s="1"/>
      <c r="V488" s="1"/>
      <c r="W488" s="53"/>
      <c r="X488" s="1"/>
    </row>
    <row r="489" spans="1:24">
      <c r="A489" s="387"/>
      <c r="B489" s="26">
        <v>58500</v>
      </c>
      <c r="C489" s="1"/>
      <c r="D489" s="32">
        <v>44152</v>
      </c>
      <c r="E489" s="1">
        <v>30</v>
      </c>
      <c r="F489" s="32">
        <f t="shared" si="346"/>
        <v>44182</v>
      </c>
      <c r="G489" s="54"/>
      <c r="H489" s="54"/>
      <c r="I489" s="54"/>
      <c r="J489" s="120">
        <f t="shared" si="347"/>
        <v>14</v>
      </c>
      <c r="K489" s="66">
        <f t="shared" si="348"/>
        <v>0</v>
      </c>
      <c r="L489" s="56">
        <f t="shared" si="349"/>
        <v>58500</v>
      </c>
      <c r="M489" s="66">
        <f t="shared" si="350"/>
        <v>0</v>
      </c>
      <c r="N489" s="66">
        <f t="shared" si="351"/>
        <v>0</v>
      </c>
      <c r="O489" s="66">
        <f t="shared" si="352"/>
        <v>0</v>
      </c>
      <c r="P489" s="39">
        <v>58500</v>
      </c>
      <c r="Q489" s="53">
        <v>44209</v>
      </c>
      <c r="R489" s="39"/>
      <c r="S489" s="1"/>
      <c r="T489" s="53"/>
      <c r="U489" s="1"/>
      <c r="V489" s="1"/>
      <c r="W489" s="53"/>
      <c r="X489" s="1"/>
    </row>
    <row r="490" spans="1:24">
      <c r="A490" s="387"/>
      <c r="B490" s="26">
        <v>84000</v>
      </c>
      <c r="C490" s="1"/>
      <c r="D490" s="32">
        <v>44152</v>
      </c>
      <c r="E490" s="1">
        <v>30</v>
      </c>
      <c r="F490" s="32">
        <f t="shared" si="346"/>
        <v>44182</v>
      </c>
      <c r="G490" s="54"/>
      <c r="H490" s="54"/>
      <c r="I490" s="54"/>
      <c r="J490" s="120">
        <f t="shared" si="347"/>
        <v>14</v>
      </c>
      <c r="K490" s="66">
        <f t="shared" si="348"/>
        <v>0</v>
      </c>
      <c r="L490" s="56">
        <f t="shared" si="349"/>
        <v>84000</v>
      </c>
      <c r="M490" s="66">
        <f t="shared" si="350"/>
        <v>0</v>
      </c>
      <c r="N490" s="66">
        <f t="shared" si="351"/>
        <v>0</v>
      </c>
      <c r="O490" s="66">
        <f t="shared" si="352"/>
        <v>0</v>
      </c>
      <c r="P490" s="39">
        <v>84000</v>
      </c>
      <c r="Q490" s="53">
        <v>44209</v>
      </c>
      <c r="R490" s="39"/>
      <c r="S490" s="1"/>
      <c r="T490" s="53"/>
      <c r="U490" s="1"/>
      <c r="V490" s="1"/>
      <c r="W490" s="53"/>
      <c r="X490" s="1"/>
    </row>
    <row r="491" spans="1:24">
      <c r="A491" s="387"/>
      <c r="B491" s="26">
        <v>132000</v>
      </c>
      <c r="C491" s="1"/>
      <c r="D491" s="32">
        <v>44173</v>
      </c>
      <c r="E491" s="1">
        <v>30</v>
      </c>
      <c r="F491" s="32">
        <f t="shared" si="346"/>
        <v>44203</v>
      </c>
      <c r="G491" s="54"/>
      <c r="H491" s="54"/>
      <c r="I491" s="54"/>
      <c r="J491" s="120">
        <f t="shared" si="347"/>
        <v>-7</v>
      </c>
      <c r="K491" s="66">
        <f t="shared" si="348"/>
        <v>132000</v>
      </c>
      <c r="L491" s="56">
        <f t="shared" si="349"/>
        <v>0</v>
      </c>
      <c r="M491" s="66">
        <f t="shared" si="350"/>
        <v>0</v>
      </c>
      <c r="N491" s="66">
        <f t="shared" si="351"/>
        <v>0</v>
      </c>
      <c r="O491" s="66">
        <f t="shared" si="352"/>
        <v>0</v>
      </c>
      <c r="P491" s="39">
        <v>132000</v>
      </c>
      <c r="Q491" s="53">
        <v>44237</v>
      </c>
      <c r="R491" s="39"/>
      <c r="S491" s="1"/>
      <c r="T491" s="53"/>
      <c r="U491" s="1"/>
      <c r="V491" s="1"/>
      <c r="W491" s="53"/>
      <c r="X491" s="1"/>
    </row>
    <row r="492" spans="1:24">
      <c r="A492" s="387"/>
      <c r="B492" s="26">
        <v>55000</v>
      </c>
      <c r="C492" s="1"/>
      <c r="D492" s="32">
        <v>44186</v>
      </c>
      <c r="E492" s="1">
        <v>30</v>
      </c>
      <c r="F492" s="32">
        <f t="shared" si="346"/>
        <v>44216</v>
      </c>
      <c r="G492" s="54"/>
      <c r="H492" s="54"/>
      <c r="I492" s="54"/>
      <c r="J492" s="120">
        <f t="shared" si="347"/>
        <v>-20</v>
      </c>
      <c r="K492" s="66">
        <f t="shared" si="348"/>
        <v>55000</v>
      </c>
      <c r="L492" s="56">
        <f t="shared" si="349"/>
        <v>0</v>
      </c>
      <c r="M492" s="66">
        <f t="shared" si="350"/>
        <v>0</v>
      </c>
      <c r="N492" s="66">
        <f t="shared" si="351"/>
        <v>0</v>
      </c>
      <c r="O492" s="66">
        <f t="shared" si="352"/>
        <v>0</v>
      </c>
      <c r="P492" s="39">
        <v>55000</v>
      </c>
      <c r="Q492" s="53">
        <v>44237</v>
      </c>
      <c r="R492" s="39"/>
      <c r="S492" s="1"/>
      <c r="T492" s="53"/>
      <c r="U492" s="1"/>
      <c r="V492" s="1"/>
      <c r="W492" s="53"/>
      <c r="X492" s="1"/>
    </row>
    <row r="493" spans="1:24">
      <c r="A493" s="387"/>
      <c r="B493" s="26">
        <v>252000</v>
      </c>
      <c r="C493" s="1"/>
      <c r="D493" s="32">
        <v>44195</v>
      </c>
      <c r="E493" s="1">
        <v>30</v>
      </c>
      <c r="F493" s="32">
        <f t="shared" si="346"/>
        <v>44225</v>
      </c>
      <c r="G493" s="54"/>
      <c r="H493" s="54"/>
      <c r="I493" s="54"/>
      <c r="J493" s="120">
        <f t="shared" si="347"/>
        <v>-29</v>
      </c>
      <c r="K493" s="66">
        <f t="shared" si="348"/>
        <v>252000</v>
      </c>
      <c r="L493" s="56">
        <f t="shared" si="349"/>
        <v>0</v>
      </c>
      <c r="M493" s="66">
        <f t="shared" si="350"/>
        <v>0</v>
      </c>
      <c r="N493" s="66">
        <f t="shared" si="351"/>
        <v>0</v>
      </c>
      <c r="O493" s="66">
        <f t="shared" si="352"/>
        <v>0</v>
      </c>
      <c r="P493" s="39">
        <v>252000</v>
      </c>
      <c r="Q493" s="53">
        <v>44237</v>
      </c>
      <c r="R493" s="39"/>
      <c r="S493" s="1"/>
      <c r="T493" s="53"/>
      <c r="U493" s="1"/>
      <c r="V493" s="1"/>
      <c r="W493" s="53"/>
      <c r="X493" s="1"/>
    </row>
    <row r="494" spans="1:24">
      <c r="A494" s="387"/>
      <c r="B494" s="26">
        <v>209000</v>
      </c>
      <c r="C494" s="1"/>
      <c r="D494" s="32">
        <v>44179</v>
      </c>
      <c r="E494" s="1">
        <v>30</v>
      </c>
      <c r="F494" s="32">
        <f t="shared" si="346"/>
        <v>44209</v>
      </c>
      <c r="G494" s="54"/>
      <c r="H494" s="54"/>
      <c r="I494" s="54"/>
      <c r="J494" s="120">
        <f t="shared" si="347"/>
        <v>-13</v>
      </c>
      <c r="K494" s="66">
        <f t="shared" si="348"/>
        <v>209000</v>
      </c>
      <c r="L494" s="56">
        <f t="shared" si="349"/>
        <v>0</v>
      </c>
      <c r="M494" s="66">
        <f t="shared" si="350"/>
        <v>0</v>
      </c>
      <c r="N494" s="66">
        <f t="shared" si="351"/>
        <v>0</v>
      </c>
      <c r="O494" s="66">
        <f t="shared" si="352"/>
        <v>0</v>
      </c>
      <c r="P494" s="39">
        <v>209000</v>
      </c>
      <c r="Q494" s="53">
        <v>44237</v>
      </c>
      <c r="R494" s="39"/>
      <c r="S494" s="1"/>
      <c r="T494" s="53"/>
      <c r="U494" s="1"/>
      <c r="V494" s="1"/>
      <c r="W494" s="53"/>
      <c r="X494" s="1"/>
    </row>
    <row r="495" spans="1:24">
      <c r="A495" s="387"/>
      <c r="B495" s="26">
        <v>120000</v>
      </c>
      <c r="C495" s="1"/>
      <c r="D495" s="32">
        <v>44182</v>
      </c>
      <c r="E495" s="1">
        <v>30</v>
      </c>
      <c r="F495" s="32">
        <f t="shared" si="346"/>
        <v>44212</v>
      </c>
      <c r="G495" s="54"/>
      <c r="H495" s="54"/>
      <c r="I495" s="54"/>
      <c r="J495" s="120">
        <f t="shared" si="347"/>
        <v>-16</v>
      </c>
      <c r="K495" s="66">
        <f t="shared" si="348"/>
        <v>120000</v>
      </c>
      <c r="L495" s="56">
        <f t="shared" si="349"/>
        <v>0</v>
      </c>
      <c r="M495" s="66">
        <f t="shared" si="350"/>
        <v>0</v>
      </c>
      <c r="N495" s="66">
        <f t="shared" si="351"/>
        <v>0</v>
      </c>
      <c r="O495" s="66">
        <f t="shared" si="352"/>
        <v>0</v>
      </c>
      <c r="P495" s="39">
        <v>120000</v>
      </c>
      <c r="Q495" s="53">
        <v>44237</v>
      </c>
      <c r="R495" s="39"/>
      <c r="S495" s="1"/>
      <c r="T495" s="53"/>
      <c r="U495" s="1"/>
      <c r="V495" s="1"/>
      <c r="W495" s="53"/>
      <c r="X495" s="1"/>
    </row>
    <row r="496" spans="1:24">
      <c r="A496" s="1" t="s">
        <v>78</v>
      </c>
      <c r="B496" s="30">
        <v>1900000</v>
      </c>
      <c r="C496" s="1"/>
      <c r="D496" s="32">
        <v>44153</v>
      </c>
      <c r="E496" s="1">
        <v>30</v>
      </c>
      <c r="F496" s="32">
        <f t="shared" si="346"/>
        <v>44183</v>
      </c>
      <c r="G496" s="54"/>
      <c r="H496" s="61">
        <f t="shared" ref="H496:H498" si="353">B496</f>
        <v>1900000</v>
      </c>
      <c r="I496" s="54"/>
      <c r="J496" s="120">
        <f t="shared" si="347"/>
        <v>13</v>
      </c>
      <c r="K496" s="66">
        <f t="shared" si="348"/>
        <v>0</v>
      </c>
      <c r="L496" s="56">
        <f t="shared" si="349"/>
        <v>1900000</v>
      </c>
      <c r="M496" s="66">
        <f t="shared" si="350"/>
        <v>0</v>
      </c>
      <c r="N496" s="66">
        <f t="shared" si="351"/>
        <v>0</v>
      </c>
      <c r="O496" s="66">
        <f t="shared" si="352"/>
        <v>0</v>
      </c>
      <c r="P496" s="39">
        <v>1900000</v>
      </c>
      <c r="Q496" s="53">
        <v>44202</v>
      </c>
      <c r="R496" s="1"/>
      <c r="S496" s="1"/>
      <c r="T496" s="53"/>
      <c r="U496" s="1"/>
      <c r="V496" s="1"/>
      <c r="W496" s="53"/>
      <c r="X496" s="1"/>
    </row>
    <row r="497" spans="1:24">
      <c r="A497" s="1" t="s">
        <v>79</v>
      </c>
      <c r="B497" s="30">
        <v>1800000</v>
      </c>
      <c r="C497" s="1"/>
      <c r="D497" s="32">
        <v>44152</v>
      </c>
      <c r="E497" s="1">
        <v>30</v>
      </c>
      <c r="F497" s="32">
        <f t="shared" si="346"/>
        <v>44182</v>
      </c>
      <c r="G497" s="54"/>
      <c r="H497" s="61">
        <f t="shared" si="353"/>
        <v>1800000</v>
      </c>
      <c r="I497" s="54"/>
      <c r="J497" s="120">
        <f t="shared" si="347"/>
        <v>14</v>
      </c>
      <c r="K497" s="66">
        <f t="shared" si="348"/>
        <v>0</v>
      </c>
      <c r="L497" s="56">
        <f t="shared" si="349"/>
        <v>1800000</v>
      </c>
      <c r="M497" s="66">
        <f t="shared" si="350"/>
        <v>0</v>
      </c>
      <c r="N497" s="66">
        <f t="shared" si="351"/>
        <v>0</v>
      </c>
      <c r="O497" s="66">
        <f t="shared" si="352"/>
        <v>0</v>
      </c>
      <c r="P497" s="39">
        <v>1800000</v>
      </c>
      <c r="Q497" s="53">
        <v>44204</v>
      </c>
      <c r="R497" s="65"/>
      <c r="S497" s="58"/>
      <c r="T497" s="53"/>
      <c r="U497" s="1"/>
      <c r="V497" s="1"/>
      <c r="W497" s="53"/>
      <c r="X497" s="1"/>
    </row>
    <row r="498" spans="1:24">
      <c r="A498" s="387" t="s">
        <v>80</v>
      </c>
      <c r="B498" s="30">
        <v>1761000</v>
      </c>
      <c r="C498" s="1"/>
      <c r="D498" s="32"/>
      <c r="E498" s="1"/>
      <c r="F498" s="32"/>
      <c r="G498" s="54"/>
      <c r="H498" s="61">
        <f t="shared" si="353"/>
        <v>1761000</v>
      </c>
      <c r="I498" s="54"/>
      <c r="J498" s="119"/>
      <c r="K498" s="66"/>
      <c r="L498" s="56"/>
      <c r="M498" s="66"/>
      <c r="N498" s="66"/>
      <c r="O498" s="66"/>
      <c r="P498" s="39"/>
      <c r="Q498" s="64"/>
      <c r="R498" s="1"/>
      <c r="S498" s="1"/>
      <c r="T498" s="53"/>
      <c r="U498" s="1"/>
      <c r="V498" s="1"/>
      <c r="W498" s="53"/>
      <c r="X498" s="1"/>
    </row>
    <row r="499" spans="1:24">
      <c r="A499" s="387"/>
      <c r="B499" s="26">
        <v>587000</v>
      </c>
      <c r="C499" s="1"/>
      <c r="D499" s="32">
        <v>44166</v>
      </c>
      <c r="E499" s="1">
        <v>30</v>
      </c>
      <c r="F499" s="32">
        <f t="shared" ref="F499:F501" si="354">D499+E499</f>
        <v>44196</v>
      </c>
      <c r="G499" s="54"/>
      <c r="H499" s="54"/>
      <c r="I499" s="54"/>
      <c r="J499" s="120">
        <f t="shared" ref="J499:J501" si="355">$A$3-F499</f>
        <v>0</v>
      </c>
      <c r="K499" s="66">
        <f t="shared" ref="K499:K501" si="356">IF(J499&lt;=0,B499,0)</f>
        <v>587000</v>
      </c>
      <c r="L499" s="56">
        <f t="shared" ref="L499:L501" si="357">IF(AND(J499&gt;=1,J499&lt;=30),B499,0)</f>
        <v>0</v>
      </c>
      <c r="M499" s="66">
        <f t="shared" ref="M499:M501" si="358">IF(AND(J499&gt;=31,J499&lt;=60),B499,0)</f>
        <v>0</v>
      </c>
      <c r="N499" s="66">
        <f t="shared" ref="N499:N501" si="359">IF(AND(J499&gt;=61,J499&lt;=90),B499,0)</f>
        <v>0</v>
      </c>
      <c r="O499" s="66">
        <f t="shared" ref="O499:O501" si="360">IF(J499&gt;90,B499,0)</f>
        <v>0</v>
      </c>
      <c r="P499" s="39">
        <v>587000</v>
      </c>
      <c r="Q499" s="53">
        <v>44204</v>
      </c>
      <c r="R499" s="1"/>
      <c r="S499" s="1"/>
      <c r="T499" s="53"/>
      <c r="U499" s="1"/>
      <c r="V499" s="1"/>
      <c r="W499" s="53"/>
      <c r="X499" s="1"/>
    </row>
    <row r="500" spans="1:24">
      <c r="A500" s="387"/>
      <c r="B500" s="26">
        <v>1174000</v>
      </c>
      <c r="C500" s="1"/>
      <c r="D500" s="32">
        <v>44180</v>
      </c>
      <c r="E500" s="1">
        <v>30</v>
      </c>
      <c r="F500" s="32">
        <f t="shared" si="354"/>
        <v>44210</v>
      </c>
      <c r="G500" s="54"/>
      <c r="H500" s="54"/>
      <c r="I500" s="54"/>
      <c r="J500" s="120">
        <f t="shared" si="355"/>
        <v>-14</v>
      </c>
      <c r="K500" s="66">
        <f t="shared" si="356"/>
        <v>1174000</v>
      </c>
      <c r="L500" s="56">
        <f t="shared" si="357"/>
        <v>0</v>
      </c>
      <c r="M500" s="66">
        <f t="shared" si="358"/>
        <v>0</v>
      </c>
      <c r="N500" s="66">
        <f t="shared" si="359"/>
        <v>0</v>
      </c>
      <c r="O500" s="66">
        <f t="shared" si="360"/>
        <v>0</v>
      </c>
      <c r="P500" s="39">
        <v>1174000</v>
      </c>
      <c r="Q500" s="53">
        <v>44217</v>
      </c>
      <c r="R500" s="1"/>
      <c r="S500" s="1"/>
      <c r="T500" s="53"/>
      <c r="U500" s="1"/>
      <c r="V500" s="1"/>
      <c r="W500" s="53"/>
      <c r="X500" s="1"/>
    </row>
    <row r="501" spans="1:24">
      <c r="A501" s="1" t="s">
        <v>81</v>
      </c>
      <c r="B501" s="30">
        <v>1760605</v>
      </c>
      <c r="C501" s="1"/>
      <c r="D501" s="32">
        <v>44179</v>
      </c>
      <c r="E501" s="1">
        <v>30</v>
      </c>
      <c r="F501" s="32">
        <f t="shared" si="354"/>
        <v>44209</v>
      </c>
      <c r="G501" s="54"/>
      <c r="H501" s="61">
        <f t="shared" ref="H501:H502" si="361">B501</f>
        <v>1760605</v>
      </c>
      <c r="I501" s="54"/>
      <c r="J501" s="120">
        <f t="shared" si="355"/>
        <v>-13</v>
      </c>
      <c r="K501" s="66">
        <f t="shared" si="356"/>
        <v>1760605</v>
      </c>
      <c r="L501" s="56">
        <f t="shared" si="357"/>
        <v>0</v>
      </c>
      <c r="M501" s="66">
        <f t="shared" si="358"/>
        <v>0</v>
      </c>
      <c r="N501" s="66">
        <f t="shared" si="359"/>
        <v>0</v>
      </c>
      <c r="O501" s="66">
        <f t="shared" si="360"/>
        <v>0</v>
      </c>
      <c r="P501" s="39">
        <v>1760605</v>
      </c>
      <c r="Q501" s="53">
        <v>44230</v>
      </c>
      <c r="R501" s="1"/>
      <c r="S501" s="1"/>
      <c r="T501" s="53"/>
      <c r="U501" s="1"/>
      <c r="V501" s="1"/>
      <c r="W501" s="53"/>
      <c r="X501" s="1"/>
    </row>
    <row r="502" spans="1:24">
      <c r="A502" s="387" t="s">
        <v>82</v>
      </c>
      <c r="B502" s="30">
        <v>1695000</v>
      </c>
      <c r="C502" s="1"/>
      <c r="D502" s="32"/>
      <c r="E502" s="1"/>
      <c r="F502" s="32"/>
      <c r="G502" s="54"/>
      <c r="H502" s="61">
        <f t="shared" si="361"/>
        <v>1695000</v>
      </c>
      <c r="I502" s="54"/>
      <c r="J502" s="119"/>
      <c r="K502" s="66"/>
      <c r="L502" s="56"/>
      <c r="M502" s="66"/>
      <c r="N502" s="66"/>
      <c r="O502" s="66"/>
      <c r="P502" s="39"/>
      <c r="Q502" s="64"/>
      <c r="R502" s="1"/>
      <c r="S502" s="1"/>
      <c r="T502" s="53"/>
      <c r="U502" s="1"/>
      <c r="V502" s="1"/>
      <c r="W502" s="53"/>
      <c r="X502" s="1"/>
    </row>
    <row r="503" spans="1:24">
      <c r="A503" s="387"/>
      <c r="B503" s="26">
        <v>660000</v>
      </c>
      <c r="C503" s="1"/>
      <c r="D503" s="32">
        <v>44166</v>
      </c>
      <c r="E503" s="1">
        <v>30</v>
      </c>
      <c r="F503" s="32">
        <f t="shared" ref="F503:F506" si="362">D503+E503</f>
        <v>44196</v>
      </c>
      <c r="G503" s="54"/>
      <c r="H503" s="54"/>
      <c r="I503" s="54"/>
      <c r="J503" s="120">
        <f t="shared" ref="J503:J506" si="363">$A$3-F503</f>
        <v>0</v>
      </c>
      <c r="K503" s="66">
        <f t="shared" ref="K503:K506" si="364">IF(J503&lt;=0,B503,0)</f>
        <v>660000</v>
      </c>
      <c r="L503" s="56">
        <f t="shared" ref="L503:L506" si="365">IF(AND(J503&gt;=1,J503&lt;=30),B503,0)</f>
        <v>0</v>
      </c>
      <c r="M503" s="66">
        <f t="shared" ref="M503:M506" si="366">IF(AND(J503&gt;=31,J503&lt;=60),B503,0)</f>
        <v>0</v>
      </c>
      <c r="N503" s="66">
        <f t="shared" ref="N503:N506" si="367">IF(AND(J503&gt;=61,J503&lt;=90),B503,0)</f>
        <v>0</v>
      </c>
      <c r="O503" s="66">
        <f t="shared" ref="O503:O506" si="368">IF(J503&gt;90,B503,0)</f>
        <v>0</v>
      </c>
      <c r="P503" s="39">
        <v>660000</v>
      </c>
      <c r="Q503" s="53">
        <v>44211</v>
      </c>
      <c r="R503" s="1"/>
      <c r="S503" s="1"/>
      <c r="T503" s="53"/>
      <c r="U503" s="1"/>
      <c r="V503" s="1"/>
      <c r="W503" s="53"/>
      <c r="X503" s="1"/>
    </row>
    <row r="504" spans="1:24">
      <c r="A504" s="387"/>
      <c r="B504" s="26">
        <v>385000</v>
      </c>
      <c r="C504" s="1"/>
      <c r="D504" s="32">
        <v>44125</v>
      </c>
      <c r="E504" s="1">
        <v>30</v>
      </c>
      <c r="F504" s="32">
        <f t="shared" si="362"/>
        <v>44155</v>
      </c>
      <c r="G504" s="54"/>
      <c r="H504" s="54"/>
      <c r="I504" s="54"/>
      <c r="J504" s="120">
        <f t="shared" si="363"/>
        <v>41</v>
      </c>
      <c r="K504" s="66">
        <f t="shared" si="364"/>
        <v>0</v>
      </c>
      <c r="L504" s="56">
        <f t="shared" si="365"/>
        <v>0</v>
      </c>
      <c r="M504" s="66">
        <f t="shared" si="366"/>
        <v>385000</v>
      </c>
      <c r="N504" s="66">
        <f t="shared" si="367"/>
        <v>0</v>
      </c>
      <c r="O504" s="66">
        <f t="shared" si="368"/>
        <v>0</v>
      </c>
      <c r="P504" s="39">
        <v>385000</v>
      </c>
      <c r="Q504" s="53">
        <v>44202</v>
      </c>
      <c r="R504" s="1"/>
      <c r="S504" s="1"/>
      <c r="T504" s="53"/>
      <c r="U504" s="1"/>
      <c r="V504" s="1"/>
      <c r="W504" s="53"/>
      <c r="X504" s="1"/>
    </row>
    <row r="505" spans="1:24">
      <c r="A505" s="387"/>
      <c r="B505" s="26">
        <v>650000</v>
      </c>
      <c r="C505" s="1"/>
      <c r="D505" s="32">
        <v>44186</v>
      </c>
      <c r="E505" s="1">
        <v>30</v>
      </c>
      <c r="F505" s="32">
        <f t="shared" si="362"/>
        <v>44216</v>
      </c>
      <c r="G505" s="54"/>
      <c r="H505" s="54"/>
      <c r="I505" s="54"/>
      <c r="J505" s="120">
        <f t="shared" si="363"/>
        <v>-20</v>
      </c>
      <c r="K505" s="66">
        <f t="shared" si="364"/>
        <v>650000</v>
      </c>
      <c r="L505" s="56">
        <f t="shared" si="365"/>
        <v>0</v>
      </c>
      <c r="M505" s="66">
        <f t="shared" si="366"/>
        <v>0</v>
      </c>
      <c r="N505" s="66">
        <f t="shared" si="367"/>
        <v>0</v>
      </c>
      <c r="O505" s="66">
        <f t="shared" si="368"/>
        <v>0</v>
      </c>
      <c r="P505" s="39">
        <v>650000</v>
      </c>
      <c r="Q505" s="53">
        <v>44243</v>
      </c>
      <c r="R505" s="1"/>
      <c r="S505" s="1"/>
      <c r="T505" s="53"/>
      <c r="U505" s="1"/>
      <c r="V505" s="1"/>
      <c r="W505" s="53"/>
      <c r="X505" s="1"/>
    </row>
    <row r="506" spans="1:24">
      <c r="A506" s="1" t="s">
        <v>83</v>
      </c>
      <c r="B506" s="30">
        <v>1457500</v>
      </c>
      <c r="C506" s="1"/>
      <c r="D506" s="32">
        <v>44175</v>
      </c>
      <c r="E506" s="1">
        <v>30</v>
      </c>
      <c r="F506" s="32">
        <f t="shared" si="362"/>
        <v>44205</v>
      </c>
      <c r="G506" s="54"/>
      <c r="H506" s="61">
        <f t="shared" ref="H506:H507" si="369">B506</f>
        <v>1457500</v>
      </c>
      <c r="I506" s="54"/>
      <c r="J506" s="120">
        <f t="shared" si="363"/>
        <v>-9</v>
      </c>
      <c r="K506" s="66">
        <f t="shared" si="364"/>
        <v>1457500</v>
      </c>
      <c r="L506" s="56">
        <f t="shared" si="365"/>
        <v>0</v>
      </c>
      <c r="M506" s="66">
        <f t="shared" si="366"/>
        <v>0</v>
      </c>
      <c r="N506" s="66">
        <f t="shared" si="367"/>
        <v>0</v>
      </c>
      <c r="O506" s="66">
        <f t="shared" si="368"/>
        <v>0</v>
      </c>
      <c r="P506" s="39">
        <v>1457500</v>
      </c>
      <c r="Q506" s="53">
        <v>44230</v>
      </c>
      <c r="R506" s="1"/>
      <c r="S506" s="1"/>
      <c r="T506" s="53"/>
      <c r="U506" s="1"/>
      <c r="V506" s="1"/>
      <c r="W506" s="53"/>
      <c r="X506" s="1"/>
    </row>
    <row r="507" spans="1:24">
      <c r="A507" s="387" t="s">
        <v>84</v>
      </c>
      <c r="B507" s="30">
        <v>1224410</v>
      </c>
      <c r="C507" s="1"/>
      <c r="D507" s="32"/>
      <c r="E507" s="1"/>
      <c r="F507" s="32"/>
      <c r="G507" s="54"/>
      <c r="H507" s="61">
        <f t="shared" si="369"/>
        <v>1224410</v>
      </c>
      <c r="I507" s="54"/>
      <c r="J507" s="119"/>
      <c r="K507" s="66"/>
      <c r="L507" s="56"/>
      <c r="M507" s="66"/>
      <c r="N507" s="66"/>
      <c r="O507" s="66"/>
      <c r="P507" s="39"/>
      <c r="Q507" s="64"/>
      <c r="R507" s="1"/>
      <c r="S507" s="1"/>
      <c r="T507" s="53"/>
      <c r="U507" s="1"/>
      <c r="V507" s="1"/>
      <c r="W507" s="53"/>
      <c r="X507" s="1"/>
    </row>
    <row r="508" spans="1:24">
      <c r="A508" s="387"/>
      <c r="B508" s="26">
        <v>839850</v>
      </c>
      <c r="C508" s="1"/>
      <c r="D508" s="32">
        <v>44136</v>
      </c>
      <c r="E508" s="1">
        <v>30</v>
      </c>
      <c r="F508" s="32">
        <f t="shared" ref="F508:F509" si="370">D508+E508</f>
        <v>44166</v>
      </c>
      <c r="G508" s="54"/>
      <c r="H508" s="54"/>
      <c r="I508" s="54"/>
      <c r="J508" s="120">
        <f t="shared" ref="J508:J509" si="371">$A$3-F508</f>
        <v>30</v>
      </c>
      <c r="K508" s="66">
        <f t="shared" ref="K508:K509" si="372">IF(J508&lt;=0,B508,0)</f>
        <v>0</v>
      </c>
      <c r="L508" s="56">
        <f t="shared" ref="L508:L509" si="373">IF(AND(J508&gt;=1,J508&lt;=30),B508,0)</f>
        <v>839850</v>
      </c>
      <c r="M508" s="66">
        <f t="shared" ref="M508:M509" si="374">IF(AND(J508&gt;=31,J508&lt;=60),B508,0)</f>
        <v>0</v>
      </c>
      <c r="N508" s="66">
        <f t="shared" ref="N508:N509" si="375">IF(AND(J508&gt;=61,J508&lt;=90),B508,0)</f>
        <v>0</v>
      </c>
      <c r="O508" s="66">
        <f t="shared" ref="O508:O509" si="376">IF(J508&gt;90,B508,0)</f>
        <v>0</v>
      </c>
      <c r="P508" s="39">
        <v>839850</v>
      </c>
      <c r="Q508" s="53">
        <v>44209</v>
      </c>
      <c r="R508" s="1"/>
      <c r="S508" s="1"/>
      <c r="T508" s="53"/>
      <c r="U508" s="1"/>
      <c r="V508" s="1"/>
      <c r="W508" s="53"/>
      <c r="X508" s="1"/>
    </row>
    <row r="509" spans="1:24">
      <c r="A509" s="387"/>
      <c r="B509" s="26">
        <v>384560</v>
      </c>
      <c r="C509" s="1"/>
      <c r="D509" s="32">
        <v>44138</v>
      </c>
      <c r="E509" s="1">
        <v>30</v>
      </c>
      <c r="F509" s="32">
        <f t="shared" si="370"/>
        <v>44168</v>
      </c>
      <c r="G509" s="54"/>
      <c r="H509" s="54"/>
      <c r="I509" s="54"/>
      <c r="J509" s="120">
        <f t="shared" si="371"/>
        <v>28</v>
      </c>
      <c r="K509" s="66">
        <f t="shared" si="372"/>
        <v>0</v>
      </c>
      <c r="L509" s="56">
        <f t="shared" si="373"/>
        <v>384560</v>
      </c>
      <c r="M509" s="66">
        <f t="shared" si="374"/>
        <v>0</v>
      </c>
      <c r="N509" s="66">
        <f t="shared" si="375"/>
        <v>0</v>
      </c>
      <c r="O509" s="66">
        <f t="shared" si="376"/>
        <v>0</v>
      </c>
      <c r="P509" s="39">
        <v>384560</v>
      </c>
      <c r="Q509" s="53">
        <v>44204</v>
      </c>
      <c r="R509" s="1"/>
      <c r="S509" s="1"/>
      <c r="T509" s="53"/>
      <c r="U509" s="1"/>
      <c r="V509" s="1"/>
      <c r="W509" s="53"/>
      <c r="X509" s="1"/>
    </row>
    <row r="510" spans="1:24">
      <c r="A510" s="387" t="s">
        <v>85</v>
      </c>
      <c r="B510" s="30">
        <v>882000</v>
      </c>
      <c r="C510" s="1"/>
      <c r="D510" s="32"/>
      <c r="E510" s="1"/>
      <c r="F510" s="32"/>
      <c r="G510" s="54"/>
      <c r="H510" s="61">
        <f>B510</f>
        <v>882000</v>
      </c>
      <c r="I510" s="54"/>
      <c r="J510" s="119"/>
      <c r="K510" s="66"/>
      <c r="L510" s="56"/>
      <c r="M510" s="66"/>
      <c r="N510" s="66"/>
      <c r="O510" s="66"/>
      <c r="P510" s="39"/>
      <c r="Q510" s="64"/>
      <c r="R510" s="1"/>
      <c r="S510" s="1"/>
      <c r="T510" s="53"/>
      <c r="U510" s="1"/>
      <c r="V510" s="1"/>
      <c r="W510" s="53"/>
      <c r="X510" s="1"/>
    </row>
    <row r="511" spans="1:24">
      <c r="A511" s="387"/>
      <c r="B511" s="26">
        <v>450000</v>
      </c>
      <c r="C511" s="1"/>
      <c r="D511" s="32">
        <v>44145</v>
      </c>
      <c r="E511" s="1">
        <v>30</v>
      </c>
      <c r="F511" s="32">
        <f t="shared" ref="F511:F516" si="377">D511+E511</f>
        <v>44175</v>
      </c>
      <c r="G511" s="54"/>
      <c r="H511" s="54"/>
      <c r="I511" s="54"/>
      <c r="J511" s="120">
        <f t="shared" ref="J511:J516" si="378">$A$3-F511</f>
        <v>21</v>
      </c>
      <c r="K511" s="66">
        <f t="shared" ref="K511:K527" si="379">IF(J511&lt;=0,B511,0)</f>
        <v>0</v>
      </c>
      <c r="L511" s="56">
        <f t="shared" ref="L511:L527" si="380">IF(AND(J511&gt;=1,J511&lt;=30),B511,0)</f>
        <v>450000</v>
      </c>
      <c r="M511" s="66">
        <f t="shared" ref="M511:M527" si="381">IF(AND(J511&gt;=31,J511&lt;=60),B511,0)</f>
        <v>0</v>
      </c>
      <c r="N511" s="66">
        <f t="shared" ref="N511:N527" si="382">IF(AND(J511&gt;=61,J511&lt;=90),B511,0)</f>
        <v>0</v>
      </c>
      <c r="O511" s="66">
        <f t="shared" ref="O511:O527" si="383">IF(J511&gt;90,B511,0)</f>
        <v>0</v>
      </c>
      <c r="P511" s="39">
        <v>450000</v>
      </c>
      <c r="Q511" s="53">
        <v>44214</v>
      </c>
      <c r="R511" s="1"/>
      <c r="S511" s="1"/>
      <c r="T511" s="53"/>
      <c r="U511" s="1"/>
      <c r="V511" s="1"/>
      <c r="W511" s="53"/>
      <c r="X511" s="1"/>
    </row>
    <row r="512" spans="1:24">
      <c r="A512" s="387"/>
      <c r="B512" s="26">
        <v>288000</v>
      </c>
      <c r="C512" s="1"/>
      <c r="D512" s="32">
        <v>44181</v>
      </c>
      <c r="E512" s="1">
        <v>30</v>
      </c>
      <c r="F512" s="32">
        <f t="shared" si="377"/>
        <v>44211</v>
      </c>
      <c r="G512" s="54"/>
      <c r="H512" s="54"/>
      <c r="I512" s="54"/>
      <c r="J512" s="120">
        <f t="shared" si="378"/>
        <v>-15</v>
      </c>
      <c r="K512" s="66">
        <f t="shared" si="379"/>
        <v>288000</v>
      </c>
      <c r="L512" s="56">
        <f t="shared" si="380"/>
        <v>0</v>
      </c>
      <c r="M512" s="66">
        <f t="shared" si="381"/>
        <v>0</v>
      </c>
      <c r="N512" s="66">
        <f t="shared" si="382"/>
        <v>0</v>
      </c>
      <c r="O512" s="66">
        <f t="shared" si="383"/>
        <v>0</v>
      </c>
      <c r="P512" s="39">
        <v>288000</v>
      </c>
      <c r="Q512" s="53">
        <v>44209</v>
      </c>
      <c r="R512" s="1"/>
      <c r="S512" s="1"/>
      <c r="T512" s="53"/>
      <c r="U512" s="1"/>
      <c r="V512" s="1"/>
      <c r="W512" s="53"/>
      <c r="X512" s="1"/>
    </row>
    <row r="513" spans="1:26">
      <c r="A513" s="387"/>
      <c r="B513" s="26">
        <v>144000</v>
      </c>
      <c r="C513" s="1"/>
      <c r="D513" s="32">
        <v>44193</v>
      </c>
      <c r="E513" s="1">
        <v>30</v>
      </c>
      <c r="F513" s="32">
        <f t="shared" si="377"/>
        <v>44223</v>
      </c>
      <c r="G513" s="54"/>
      <c r="H513" s="54"/>
      <c r="I513" s="54"/>
      <c r="J513" s="120">
        <f t="shared" si="378"/>
        <v>-27</v>
      </c>
      <c r="K513" s="66">
        <f t="shared" si="379"/>
        <v>144000</v>
      </c>
      <c r="L513" s="56">
        <f t="shared" si="380"/>
        <v>0</v>
      </c>
      <c r="M513" s="66">
        <f t="shared" si="381"/>
        <v>0</v>
      </c>
      <c r="N513" s="66">
        <f t="shared" si="382"/>
        <v>0</v>
      </c>
      <c r="O513" s="66">
        <f t="shared" si="383"/>
        <v>0</v>
      </c>
      <c r="P513" s="39">
        <v>144000</v>
      </c>
      <c r="Q513" s="53">
        <v>44209</v>
      </c>
      <c r="R513" s="1"/>
      <c r="S513" s="1"/>
      <c r="T513" s="53"/>
      <c r="U513" s="1"/>
      <c r="V513" s="1"/>
      <c r="W513" s="53"/>
      <c r="X513" s="1"/>
    </row>
    <row r="514" spans="1:26">
      <c r="A514" s="1" t="s">
        <v>86</v>
      </c>
      <c r="B514" s="30">
        <v>858000</v>
      </c>
      <c r="C514" s="1"/>
      <c r="D514" s="32">
        <v>44175</v>
      </c>
      <c r="E514" s="1">
        <v>30</v>
      </c>
      <c r="F514" s="32">
        <f t="shared" si="377"/>
        <v>44205</v>
      </c>
      <c r="G514" s="54"/>
      <c r="H514" s="61">
        <f t="shared" ref="H514:H527" si="384">B514</f>
        <v>858000</v>
      </c>
      <c r="I514" s="54"/>
      <c r="J514" s="120">
        <f t="shared" si="378"/>
        <v>-9</v>
      </c>
      <c r="K514" s="66">
        <f t="shared" si="379"/>
        <v>858000</v>
      </c>
      <c r="L514" s="56">
        <f t="shared" si="380"/>
        <v>0</v>
      </c>
      <c r="M514" s="66">
        <f t="shared" si="381"/>
        <v>0</v>
      </c>
      <c r="N514" s="66">
        <f t="shared" si="382"/>
        <v>0</v>
      </c>
      <c r="O514" s="66">
        <f t="shared" si="383"/>
        <v>0</v>
      </c>
      <c r="P514" s="39">
        <v>858000</v>
      </c>
      <c r="Q514" s="53">
        <v>44215</v>
      </c>
      <c r="R514" s="1"/>
      <c r="S514" s="1"/>
      <c r="T514" s="53"/>
      <c r="U514" s="1"/>
      <c r="V514" s="1"/>
      <c r="W514" s="53"/>
      <c r="X514" s="1"/>
    </row>
    <row r="515" spans="1:26">
      <c r="A515" s="1" t="s">
        <v>87</v>
      </c>
      <c r="B515" s="30">
        <v>654000</v>
      </c>
      <c r="C515" s="1"/>
      <c r="D515" s="32">
        <v>44180</v>
      </c>
      <c r="E515" s="1">
        <v>30</v>
      </c>
      <c r="F515" s="32">
        <f t="shared" si="377"/>
        <v>44210</v>
      </c>
      <c r="G515" s="54"/>
      <c r="H515" s="61">
        <f t="shared" si="384"/>
        <v>654000</v>
      </c>
      <c r="I515" s="54"/>
      <c r="J515" s="120">
        <f t="shared" si="378"/>
        <v>-14</v>
      </c>
      <c r="K515" s="66">
        <f t="shared" si="379"/>
        <v>654000</v>
      </c>
      <c r="L515" s="56">
        <f t="shared" si="380"/>
        <v>0</v>
      </c>
      <c r="M515" s="66">
        <f t="shared" si="381"/>
        <v>0</v>
      </c>
      <c r="N515" s="66">
        <f t="shared" si="382"/>
        <v>0</v>
      </c>
      <c r="O515" s="66">
        <f t="shared" si="383"/>
        <v>0</v>
      </c>
      <c r="P515" s="39">
        <v>654000</v>
      </c>
      <c r="Q515" s="53">
        <v>44235</v>
      </c>
      <c r="R515" s="1"/>
      <c r="S515" s="1"/>
      <c r="T515" s="53"/>
      <c r="U515" s="1"/>
      <c r="V515" s="1"/>
      <c r="W515" s="53"/>
      <c r="X515" s="1"/>
    </row>
    <row r="516" spans="1:26">
      <c r="A516" s="1" t="s">
        <v>88</v>
      </c>
      <c r="B516" s="30">
        <v>650000</v>
      </c>
      <c r="C516" s="1"/>
      <c r="D516" s="32">
        <v>44136</v>
      </c>
      <c r="E516" s="1">
        <v>30</v>
      </c>
      <c r="F516" s="32">
        <f t="shared" si="377"/>
        <v>44166</v>
      </c>
      <c r="G516" s="54"/>
      <c r="H516" s="61">
        <f t="shared" si="384"/>
        <v>650000</v>
      </c>
      <c r="I516" s="54"/>
      <c r="J516" s="120">
        <f t="shared" si="378"/>
        <v>30</v>
      </c>
      <c r="K516" s="66">
        <f t="shared" si="379"/>
        <v>0</v>
      </c>
      <c r="L516" s="56">
        <f t="shared" si="380"/>
        <v>650000</v>
      </c>
      <c r="M516" s="66">
        <f t="shared" si="381"/>
        <v>0</v>
      </c>
      <c r="N516" s="66">
        <f t="shared" si="382"/>
        <v>0</v>
      </c>
      <c r="O516" s="66">
        <f t="shared" si="383"/>
        <v>0</v>
      </c>
      <c r="P516" s="39">
        <v>650000</v>
      </c>
      <c r="Q516" s="53">
        <v>44209</v>
      </c>
      <c r="R516" s="1"/>
      <c r="S516" s="1"/>
      <c r="T516" s="53"/>
      <c r="U516" s="1"/>
      <c r="V516" s="1"/>
      <c r="W516" s="53"/>
      <c r="X516" s="1"/>
    </row>
    <row r="517" spans="1:26">
      <c r="A517" s="1" t="s">
        <v>89</v>
      </c>
      <c r="B517" s="30">
        <v>595000</v>
      </c>
      <c r="C517" s="1"/>
      <c r="D517" s="32">
        <v>43831</v>
      </c>
      <c r="E517" s="1">
        <v>30</v>
      </c>
      <c r="F517" s="32">
        <f>D517+E517</f>
        <v>43861</v>
      </c>
      <c r="G517" s="54"/>
      <c r="H517" s="61">
        <f t="shared" si="384"/>
        <v>595000</v>
      </c>
      <c r="I517" s="54"/>
      <c r="J517" s="120">
        <f>$A$3-F517</f>
        <v>335</v>
      </c>
      <c r="K517" s="66">
        <f t="shared" si="379"/>
        <v>0</v>
      </c>
      <c r="L517" s="56">
        <f t="shared" si="380"/>
        <v>0</v>
      </c>
      <c r="M517" s="66">
        <f t="shared" si="381"/>
        <v>0</v>
      </c>
      <c r="N517" s="66">
        <f t="shared" si="382"/>
        <v>0</v>
      </c>
      <c r="O517" s="66">
        <f t="shared" si="383"/>
        <v>595000</v>
      </c>
      <c r="P517" s="39">
        <v>595000</v>
      </c>
      <c r="Q517" s="64" t="s">
        <v>182</v>
      </c>
      <c r="R517" s="1"/>
      <c r="S517" s="1"/>
      <c r="T517" s="53"/>
      <c r="U517" s="1"/>
      <c r="V517" s="1"/>
      <c r="W517" s="53"/>
      <c r="X517" s="1"/>
      <c r="Y517" t="s">
        <v>162</v>
      </c>
      <c r="Z517" t="s">
        <v>155</v>
      </c>
    </row>
    <row r="518" spans="1:26">
      <c r="A518" s="1" t="s">
        <v>90</v>
      </c>
      <c r="B518" s="30">
        <v>545455</v>
      </c>
      <c r="C518" s="1"/>
      <c r="D518" s="32">
        <v>44189</v>
      </c>
      <c r="E518" s="1">
        <v>30</v>
      </c>
      <c r="F518" s="32">
        <f>D518+E518</f>
        <v>44219</v>
      </c>
      <c r="G518" s="54"/>
      <c r="H518" s="61">
        <f t="shared" si="384"/>
        <v>545455</v>
      </c>
      <c r="I518" s="54"/>
      <c r="J518" s="120">
        <f>$A$3-F518</f>
        <v>-23</v>
      </c>
      <c r="K518" s="66">
        <f t="shared" si="379"/>
        <v>545455</v>
      </c>
      <c r="L518" s="56">
        <f t="shared" si="380"/>
        <v>0</v>
      </c>
      <c r="M518" s="66">
        <f t="shared" si="381"/>
        <v>0</v>
      </c>
      <c r="N518" s="66">
        <f t="shared" si="382"/>
        <v>0</v>
      </c>
      <c r="O518" s="66">
        <f t="shared" si="383"/>
        <v>0</v>
      </c>
      <c r="P518" s="39">
        <v>545455</v>
      </c>
      <c r="Q518" s="53">
        <v>44280</v>
      </c>
      <c r="R518" s="1"/>
      <c r="S518" s="1"/>
      <c r="T518" s="53"/>
      <c r="U518" s="1"/>
      <c r="V518" s="1"/>
      <c r="W518" s="53"/>
      <c r="X518" s="1"/>
    </row>
    <row r="519" spans="1:26">
      <c r="A519" s="1" t="s">
        <v>91</v>
      </c>
      <c r="B519" s="30">
        <v>438598</v>
      </c>
      <c r="C519" s="1"/>
      <c r="D519" s="32">
        <v>43893</v>
      </c>
      <c r="E519" s="1">
        <v>30</v>
      </c>
      <c r="F519" s="32">
        <f>D519+E519</f>
        <v>43923</v>
      </c>
      <c r="G519" s="54"/>
      <c r="H519" s="61">
        <f t="shared" si="384"/>
        <v>438598</v>
      </c>
      <c r="I519" s="54"/>
      <c r="J519" s="120">
        <f>$A$3-F519</f>
        <v>273</v>
      </c>
      <c r="K519" s="66">
        <f t="shared" si="379"/>
        <v>0</v>
      </c>
      <c r="L519" s="56">
        <f t="shared" si="380"/>
        <v>0</v>
      </c>
      <c r="M519" s="66">
        <f t="shared" si="381"/>
        <v>0</v>
      </c>
      <c r="N519" s="66">
        <f t="shared" si="382"/>
        <v>0</v>
      </c>
      <c r="O519" s="66">
        <f t="shared" si="383"/>
        <v>438598</v>
      </c>
      <c r="P519" s="39">
        <v>438598</v>
      </c>
      <c r="Q519" s="64" t="s">
        <v>182</v>
      </c>
      <c r="R519" s="1"/>
      <c r="S519" s="1"/>
      <c r="T519" s="53"/>
      <c r="U519" s="1"/>
      <c r="V519" s="1"/>
      <c r="W519" s="53"/>
      <c r="X519" s="1"/>
    </row>
    <row r="520" spans="1:26">
      <c r="A520" s="1" t="s">
        <v>92</v>
      </c>
      <c r="B520" s="30">
        <v>304000</v>
      </c>
      <c r="C520" s="1"/>
      <c r="D520" s="32">
        <v>44193</v>
      </c>
      <c r="E520" s="1">
        <v>30</v>
      </c>
      <c r="F520" s="32">
        <f t="shared" ref="F520:F523" si="385">D520+E520</f>
        <v>44223</v>
      </c>
      <c r="G520" s="54"/>
      <c r="H520" s="61">
        <f t="shared" si="384"/>
        <v>304000</v>
      </c>
      <c r="I520" s="54"/>
      <c r="J520" s="120">
        <f t="shared" ref="J520:J521" si="386">$A$3-F520</f>
        <v>-27</v>
      </c>
      <c r="K520" s="66">
        <f t="shared" si="379"/>
        <v>304000</v>
      </c>
      <c r="L520" s="56">
        <f t="shared" si="380"/>
        <v>0</v>
      </c>
      <c r="M520" s="66">
        <f t="shared" si="381"/>
        <v>0</v>
      </c>
      <c r="N520" s="66">
        <f t="shared" si="382"/>
        <v>0</v>
      </c>
      <c r="O520" s="66">
        <f t="shared" si="383"/>
        <v>0</v>
      </c>
      <c r="P520" s="39">
        <v>304000</v>
      </c>
      <c r="Q520" s="53">
        <v>44207</v>
      </c>
      <c r="R520" s="1"/>
      <c r="S520" s="1"/>
      <c r="T520" s="53"/>
      <c r="U520" s="1"/>
      <c r="V520" s="1"/>
      <c r="W520" s="53"/>
      <c r="X520" s="1"/>
    </row>
    <row r="521" spans="1:26">
      <c r="A521" s="1" t="s">
        <v>93</v>
      </c>
      <c r="B521" s="30">
        <v>299222</v>
      </c>
      <c r="C521" s="1"/>
      <c r="D521" s="32">
        <v>44188</v>
      </c>
      <c r="E521" s="1">
        <v>30</v>
      </c>
      <c r="F521" s="32">
        <f t="shared" si="385"/>
        <v>44218</v>
      </c>
      <c r="G521" s="54"/>
      <c r="H521" s="61">
        <f t="shared" si="384"/>
        <v>299222</v>
      </c>
      <c r="I521" s="54"/>
      <c r="J521" s="120">
        <f t="shared" si="386"/>
        <v>-22</v>
      </c>
      <c r="K521" s="66">
        <f t="shared" si="379"/>
        <v>299222</v>
      </c>
      <c r="L521" s="56">
        <f t="shared" si="380"/>
        <v>0</v>
      </c>
      <c r="M521" s="66">
        <f t="shared" si="381"/>
        <v>0</v>
      </c>
      <c r="N521" s="66">
        <f t="shared" si="382"/>
        <v>0</v>
      </c>
      <c r="O521" s="66">
        <f t="shared" si="383"/>
        <v>0</v>
      </c>
      <c r="P521" s="39">
        <v>299222</v>
      </c>
      <c r="Q521" s="53">
        <v>44233</v>
      </c>
      <c r="R521" s="1"/>
      <c r="S521" s="1"/>
      <c r="T521" s="53"/>
      <c r="U521" s="1"/>
      <c r="V521" s="1"/>
      <c r="W521" s="53"/>
      <c r="X521" s="1"/>
    </row>
    <row r="522" spans="1:26">
      <c r="A522" s="1" t="s">
        <v>94</v>
      </c>
      <c r="B522" s="30">
        <v>197600</v>
      </c>
      <c r="C522" s="1"/>
      <c r="D522" s="32">
        <v>43831</v>
      </c>
      <c r="E522" s="1">
        <v>30</v>
      </c>
      <c r="F522" s="32">
        <f>D522+E522</f>
        <v>43861</v>
      </c>
      <c r="G522" s="54"/>
      <c r="H522" s="61">
        <f t="shared" si="384"/>
        <v>197600</v>
      </c>
      <c r="I522" s="54"/>
      <c r="J522" s="120">
        <f>$A$3-F522</f>
        <v>335</v>
      </c>
      <c r="K522" s="66">
        <f t="shared" si="379"/>
        <v>0</v>
      </c>
      <c r="L522" s="56">
        <f t="shared" si="380"/>
        <v>0</v>
      </c>
      <c r="M522" s="66">
        <f t="shared" si="381"/>
        <v>0</v>
      </c>
      <c r="N522" s="66">
        <f t="shared" si="382"/>
        <v>0</v>
      </c>
      <c r="O522" s="66">
        <f t="shared" si="383"/>
        <v>197600</v>
      </c>
      <c r="P522" s="39">
        <v>197600</v>
      </c>
      <c r="Q522" s="64" t="s">
        <v>182</v>
      </c>
      <c r="R522" s="1"/>
      <c r="S522" s="1"/>
      <c r="T522" s="53"/>
      <c r="U522" s="1"/>
      <c r="V522" s="1"/>
      <c r="W522" s="53"/>
      <c r="X522" s="1"/>
      <c r="Y522" t="s">
        <v>189</v>
      </c>
      <c r="Z522" t="s">
        <v>156</v>
      </c>
    </row>
    <row r="523" spans="1:26">
      <c r="A523" s="1" t="s">
        <v>95</v>
      </c>
      <c r="B523" s="30">
        <v>160500</v>
      </c>
      <c r="C523" s="1"/>
      <c r="D523" s="32">
        <v>44153</v>
      </c>
      <c r="E523" s="1">
        <v>30</v>
      </c>
      <c r="F523" s="32">
        <f t="shared" si="385"/>
        <v>44183</v>
      </c>
      <c r="G523" s="54"/>
      <c r="H523" s="61">
        <f t="shared" si="384"/>
        <v>160500</v>
      </c>
      <c r="I523" s="54"/>
      <c r="J523" s="120">
        <f>$A$3-F523</f>
        <v>13</v>
      </c>
      <c r="K523" s="66">
        <f t="shared" si="379"/>
        <v>0</v>
      </c>
      <c r="L523" s="56">
        <f t="shared" si="380"/>
        <v>160500</v>
      </c>
      <c r="M523" s="66">
        <f t="shared" si="381"/>
        <v>0</v>
      </c>
      <c r="N523" s="66">
        <f t="shared" si="382"/>
        <v>0</v>
      </c>
      <c r="O523" s="66">
        <f t="shared" si="383"/>
        <v>0</v>
      </c>
      <c r="P523" s="39">
        <v>160500</v>
      </c>
      <c r="Q523" s="53">
        <v>44209</v>
      </c>
      <c r="R523" s="1"/>
      <c r="S523" s="1"/>
      <c r="T523" s="53"/>
      <c r="U523" s="1"/>
      <c r="V523" s="1"/>
      <c r="W523" s="53"/>
      <c r="X523" s="1"/>
    </row>
    <row r="524" spans="1:26">
      <c r="A524" s="1" t="s">
        <v>96</v>
      </c>
      <c r="B524" s="30">
        <v>82500</v>
      </c>
      <c r="C524" s="1"/>
      <c r="D524" s="32">
        <v>43930</v>
      </c>
      <c r="E524" s="1">
        <v>30</v>
      </c>
      <c r="F524" s="32">
        <f>D524+E524</f>
        <v>43960</v>
      </c>
      <c r="G524" s="54"/>
      <c r="H524" s="61">
        <f t="shared" si="384"/>
        <v>82500</v>
      </c>
      <c r="I524" s="54"/>
      <c r="J524" s="120">
        <f t="shared" ref="J524:J527" si="387">$A$3-F524</f>
        <v>236</v>
      </c>
      <c r="K524" s="66">
        <f t="shared" si="379"/>
        <v>0</v>
      </c>
      <c r="L524" s="56">
        <f t="shared" si="380"/>
        <v>0</v>
      </c>
      <c r="M524" s="66">
        <f t="shared" si="381"/>
        <v>0</v>
      </c>
      <c r="N524" s="66">
        <f t="shared" si="382"/>
        <v>0</v>
      </c>
      <c r="O524" s="66">
        <f t="shared" si="383"/>
        <v>82500</v>
      </c>
      <c r="P524" s="39">
        <v>82500</v>
      </c>
      <c r="Q524" s="64" t="s">
        <v>182</v>
      </c>
      <c r="R524" s="1"/>
      <c r="S524" s="1"/>
      <c r="T524" s="53"/>
      <c r="U524" s="1"/>
      <c r="V524" s="1"/>
      <c r="W524" s="53"/>
      <c r="X524" s="1"/>
      <c r="Y524" t="s">
        <v>190</v>
      </c>
      <c r="Z524" t="s">
        <v>156</v>
      </c>
    </row>
    <row r="525" spans="1:26">
      <c r="A525" s="1" t="s">
        <v>97</v>
      </c>
      <c r="B525" s="30">
        <v>54545</v>
      </c>
      <c r="C525" s="1"/>
      <c r="D525" s="32">
        <v>43831</v>
      </c>
      <c r="E525" s="1">
        <v>30</v>
      </c>
      <c r="F525" s="32">
        <f>D525+E525</f>
        <v>43861</v>
      </c>
      <c r="G525" s="54"/>
      <c r="H525" s="61">
        <f t="shared" si="384"/>
        <v>54545</v>
      </c>
      <c r="I525" s="54"/>
      <c r="J525" s="120">
        <f t="shared" si="387"/>
        <v>335</v>
      </c>
      <c r="K525" s="66">
        <f t="shared" si="379"/>
        <v>0</v>
      </c>
      <c r="L525" s="56">
        <f t="shared" si="380"/>
        <v>0</v>
      </c>
      <c r="M525" s="66">
        <f t="shared" si="381"/>
        <v>0</v>
      </c>
      <c r="N525" s="66">
        <f t="shared" si="382"/>
        <v>0</v>
      </c>
      <c r="O525" s="66">
        <f t="shared" si="383"/>
        <v>54545</v>
      </c>
      <c r="P525" s="39">
        <v>54545</v>
      </c>
      <c r="Q525" s="64" t="s">
        <v>182</v>
      </c>
      <c r="R525" s="1"/>
      <c r="S525" s="1"/>
      <c r="T525" s="53"/>
      <c r="U525" s="1"/>
      <c r="V525" s="1"/>
      <c r="W525" s="53"/>
      <c r="X525" s="1"/>
      <c r="Y525" t="s">
        <v>191</v>
      </c>
      <c r="Z525" t="s">
        <v>156</v>
      </c>
    </row>
    <row r="526" spans="1:26">
      <c r="A526" s="1" t="s">
        <v>98</v>
      </c>
      <c r="B526" s="30">
        <v>30000</v>
      </c>
      <c r="C526" s="1"/>
      <c r="D526" s="32">
        <v>43831</v>
      </c>
      <c r="E526" s="1">
        <v>30</v>
      </c>
      <c r="F526" s="32">
        <f>D526+E526</f>
        <v>43861</v>
      </c>
      <c r="G526" s="54"/>
      <c r="H526" s="61">
        <f t="shared" si="384"/>
        <v>30000</v>
      </c>
      <c r="I526" s="54"/>
      <c r="J526" s="120">
        <f t="shared" si="387"/>
        <v>335</v>
      </c>
      <c r="K526" s="66">
        <f t="shared" si="379"/>
        <v>0</v>
      </c>
      <c r="L526" s="56">
        <f t="shared" si="380"/>
        <v>0</v>
      </c>
      <c r="M526" s="66">
        <f t="shared" si="381"/>
        <v>0</v>
      </c>
      <c r="N526" s="66">
        <f t="shared" si="382"/>
        <v>0</v>
      </c>
      <c r="O526" s="66">
        <f t="shared" si="383"/>
        <v>30000</v>
      </c>
      <c r="P526" s="39">
        <v>30000</v>
      </c>
      <c r="Q526" s="64" t="s">
        <v>182</v>
      </c>
      <c r="R526" s="1"/>
      <c r="S526" s="1"/>
      <c r="T526" s="53"/>
      <c r="U526" s="1"/>
      <c r="V526" s="1"/>
      <c r="W526" s="53"/>
      <c r="X526" s="1"/>
      <c r="Y526" t="s">
        <v>192</v>
      </c>
      <c r="Z526" t="s">
        <v>156</v>
      </c>
    </row>
    <row r="527" spans="1:26">
      <c r="A527" s="1" t="s">
        <v>99</v>
      </c>
      <c r="B527" s="30">
        <v>15200</v>
      </c>
      <c r="C527" s="1"/>
      <c r="D527" s="32">
        <v>43831</v>
      </c>
      <c r="E527" s="1">
        <v>30</v>
      </c>
      <c r="F527" s="32">
        <f>D527+E527</f>
        <v>43861</v>
      </c>
      <c r="G527" s="54"/>
      <c r="H527" s="61">
        <f t="shared" si="384"/>
        <v>15200</v>
      </c>
      <c r="I527" s="54"/>
      <c r="J527" s="120">
        <f t="shared" si="387"/>
        <v>335</v>
      </c>
      <c r="K527" s="66">
        <f t="shared" si="379"/>
        <v>0</v>
      </c>
      <c r="L527" s="56">
        <f t="shared" si="380"/>
        <v>0</v>
      </c>
      <c r="M527" s="66">
        <f t="shared" si="381"/>
        <v>0</v>
      </c>
      <c r="N527" s="66">
        <f t="shared" si="382"/>
        <v>0</v>
      </c>
      <c r="O527" s="66">
        <f t="shared" si="383"/>
        <v>15200</v>
      </c>
      <c r="P527" s="39">
        <v>15200</v>
      </c>
      <c r="Q527" s="64" t="s">
        <v>182</v>
      </c>
      <c r="R527" s="1"/>
      <c r="S527" s="1"/>
      <c r="T527" s="53"/>
      <c r="U527" s="1"/>
      <c r="V527" s="1"/>
      <c r="W527" s="53"/>
      <c r="X527" s="1"/>
      <c r="Y527" t="s">
        <v>193</v>
      </c>
      <c r="Z527" t="s">
        <v>156</v>
      </c>
    </row>
    <row r="528" spans="1:26">
      <c r="A528" s="8"/>
      <c r="B528" s="31"/>
      <c r="C528" s="8"/>
      <c r="D528" s="31"/>
      <c r="E528" s="8"/>
      <c r="F528" s="31"/>
      <c r="G528" s="54"/>
      <c r="H528" s="54"/>
      <c r="I528" s="54"/>
      <c r="J528" s="119"/>
      <c r="K528" s="66"/>
      <c r="L528" s="56"/>
      <c r="M528" s="66"/>
      <c r="N528" s="66"/>
      <c r="O528" s="66"/>
      <c r="P528" s="39"/>
      <c r="Q528" s="64"/>
      <c r="R528" s="1"/>
      <c r="S528" s="1"/>
      <c r="T528" s="53"/>
      <c r="U528" s="1"/>
      <c r="V528" s="1"/>
      <c r="W528" s="53"/>
      <c r="X528" s="1"/>
    </row>
    <row r="529" spans="1:26">
      <c r="A529" s="1" t="s">
        <v>100</v>
      </c>
      <c r="B529" s="30">
        <v>2910493790</v>
      </c>
      <c r="C529" s="1"/>
      <c r="D529" s="32"/>
      <c r="E529" s="1"/>
      <c r="F529" s="32"/>
      <c r="G529" s="54"/>
      <c r="H529" s="54"/>
      <c r="I529" s="54"/>
      <c r="J529" s="119"/>
      <c r="K529" s="66"/>
      <c r="L529" s="56"/>
      <c r="M529" s="66"/>
      <c r="N529" s="66"/>
      <c r="O529" s="66"/>
      <c r="P529" s="39"/>
      <c r="Q529" s="64"/>
      <c r="R529" s="1"/>
      <c r="S529" s="1"/>
      <c r="T529" s="53"/>
      <c r="U529" s="1"/>
      <c r="V529" s="1"/>
      <c r="W529" s="53"/>
      <c r="X529" s="1"/>
      <c r="Y529" t="s">
        <v>148</v>
      </c>
      <c r="Z529" t="s">
        <v>150</v>
      </c>
    </row>
    <row r="530" spans="1:26" s="16" customFormat="1">
      <c r="A530" s="1" t="s">
        <v>100</v>
      </c>
      <c r="B530" s="39">
        <v>76026444</v>
      </c>
      <c r="C530" s="39"/>
      <c r="D530" s="4">
        <v>44153</v>
      </c>
      <c r="E530" s="39">
        <v>30</v>
      </c>
      <c r="F530" s="40">
        <f>D530+E530</f>
        <v>44183</v>
      </c>
      <c r="G530" s="67"/>
      <c r="H530" s="67"/>
      <c r="I530" s="72"/>
      <c r="J530" s="120">
        <f>$A$3-F530</f>
        <v>13</v>
      </c>
      <c r="K530" s="66">
        <f t="shared" ref="K530:K551" si="388">IF(J530&lt;=0,B530,0)</f>
        <v>0</v>
      </c>
      <c r="L530" s="56">
        <f t="shared" ref="L530:L551" si="389">IF(AND(J530&gt;=1,J530&lt;=30),B530,0)</f>
        <v>76026444</v>
      </c>
      <c r="M530" s="66">
        <f t="shared" ref="M530:M551" si="390">IF(AND(J530&gt;=31,J530&lt;=60),B530,0)</f>
        <v>0</v>
      </c>
      <c r="N530" s="66">
        <f t="shared" ref="N530:N551" si="391">IF(AND(J530&gt;=61,J530&lt;=90),B530,0)</f>
        <v>0</v>
      </c>
      <c r="O530" s="66">
        <f t="shared" ref="O530:O551" si="392">IF(J530&gt;90,B530,0)</f>
        <v>0</v>
      </c>
      <c r="P530" s="68">
        <v>76026444</v>
      </c>
      <c r="Q530" s="53">
        <v>44235</v>
      </c>
      <c r="R530" s="1" t="s">
        <v>201</v>
      </c>
      <c r="S530" s="39"/>
      <c r="T530" s="53"/>
      <c r="U530" s="39"/>
      <c r="V530" s="39"/>
      <c r="W530" s="53"/>
      <c r="X530" s="39"/>
    </row>
    <row r="531" spans="1:26">
      <c r="A531" s="1" t="s">
        <v>100</v>
      </c>
      <c r="B531" s="39">
        <v>290772471</v>
      </c>
      <c r="C531" s="1"/>
      <c r="D531" s="4">
        <v>44160</v>
      </c>
      <c r="E531" s="39">
        <v>30</v>
      </c>
      <c r="F531" s="40">
        <f t="shared" ref="F531:F551" si="393">D531+E531</f>
        <v>44190</v>
      </c>
      <c r="G531" s="27"/>
      <c r="H531" s="27"/>
      <c r="I531" s="27"/>
      <c r="J531" s="120">
        <f t="shared" ref="J531:J551" si="394">$A$3-F531</f>
        <v>6</v>
      </c>
      <c r="K531" s="66">
        <f t="shared" si="388"/>
        <v>0</v>
      </c>
      <c r="L531" s="56">
        <f t="shared" si="389"/>
        <v>290772471</v>
      </c>
      <c r="M531" s="66">
        <f t="shared" si="390"/>
        <v>0</v>
      </c>
      <c r="N531" s="66">
        <f t="shared" si="391"/>
        <v>0</v>
      </c>
      <c r="O531" s="66">
        <f t="shared" si="392"/>
        <v>0</v>
      </c>
      <c r="P531" s="68">
        <v>290772471</v>
      </c>
      <c r="Q531" s="53">
        <v>44246</v>
      </c>
      <c r="R531" s="1" t="s">
        <v>201</v>
      </c>
      <c r="S531" s="1"/>
      <c r="T531" s="53"/>
      <c r="U531" s="1"/>
      <c r="V531" s="1"/>
      <c r="W531" s="53"/>
      <c r="X531" s="1"/>
    </row>
    <row r="532" spans="1:26">
      <c r="A532" s="1" t="s">
        <v>100</v>
      </c>
      <c r="B532" s="39">
        <v>275726616</v>
      </c>
      <c r="C532" s="1"/>
      <c r="D532" s="4">
        <v>44166</v>
      </c>
      <c r="E532" s="39">
        <v>30</v>
      </c>
      <c r="F532" s="40">
        <f t="shared" si="393"/>
        <v>44196</v>
      </c>
      <c r="G532" s="27"/>
      <c r="H532" s="27"/>
      <c r="I532" s="27"/>
      <c r="J532" s="120">
        <f t="shared" si="394"/>
        <v>0</v>
      </c>
      <c r="K532" s="66">
        <f t="shared" si="388"/>
        <v>275726616</v>
      </c>
      <c r="L532" s="56">
        <f t="shared" si="389"/>
        <v>0</v>
      </c>
      <c r="M532" s="66">
        <f t="shared" si="390"/>
        <v>0</v>
      </c>
      <c r="N532" s="66">
        <f t="shared" si="391"/>
        <v>0</v>
      </c>
      <c r="O532" s="66">
        <f t="shared" si="392"/>
        <v>0</v>
      </c>
      <c r="P532" s="68">
        <v>275726616</v>
      </c>
      <c r="Q532" s="53">
        <v>44235</v>
      </c>
      <c r="R532" s="1" t="s">
        <v>201</v>
      </c>
      <c r="S532" s="1"/>
      <c r="T532" s="53"/>
      <c r="U532" s="1"/>
      <c r="V532" s="1"/>
      <c r="W532" s="53"/>
      <c r="X532" s="1"/>
    </row>
    <row r="533" spans="1:26">
      <c r="A533" s="1" t="s">
        <v>100</v>
      </c>
      <c r="B533" s="39">
        <v>275726616</v>
      </c>
      <c r="C533" s="1"/>
      <c r="D533" s="4">
        <v>44166</v>
      </c>
      <c r="E533" s="39">
        <v>30</v>
      </c>
      <c r="F533" s="40">
        <f t="shared" si="393"/>
        <v>44196</v>
      </c>
      <c r="G533" s="27"/>
      <c r="H533" s="27"/>
      <c r="I533" s="27"/>
      <c r="J533" s="120">
        <f t="shared" si="394"/>
        <v>0</v>
      </c>
      <c r="K533" s="66">
        <f t="shared" si="388"/>
        <v>275726616</v>
      </c>
      <c r="L533" s="56">
        <f t="shared" si="389"/>
        <v>0</v>
      </c>
      <c r="M533" s="66">
        <f t="shared" si="390"/>
        <v>0</v>
      </c>
      <c r="N533" s="66">
        <f t="shared" si="391"/>
        <v>0</v>
      </c>
      <c r="O533" s="66">
        <f t="shared" si="392"/>
        <v>0</v>
      </c>
      <c r="P533" s="68">
        <v>275726616</v>
      </c>
      <c r="Q533" s="53">
        <v>44235</v>
      </c>
      <c r="R533" s="1" t="s">
        <v>201</v>
      </c>
      <c r="S533" s="1"/>
      <c r="T533" s="53"/>
      <c r="U533" s="1"/>
      <c r="V533" s="1"/>
      <c r="W533" s="53"/>
      <c r="X533" s="1"/>
    </row>
    <row r="534" spans="1:26">
      <c r="A534" s="1" t="s">
        <v>100</v>
      </c>
      <c r="B534" s="39">
        <v>266095120</v>
      </c>
      <c r="C534" s="1"/>
      <c r="D534" s="4">
        <v>44167</v>
      </c>
      <c r="E534" s="39">
        <v>30</v>
      </c>
      <c r="F534" s="40">
        <f t="shared" si="393"/>
        <v>44197</v>
      </c>
      <c r="G534" s="27"/>
      <c r="H534" s="27"/>
      <c r="I534" s="27"/>
      <c r="J534" s="120">
        <f t="shared" si="394"/>
        <v>-1</v>
      </c>
      <c r="K534" s="66">
        <f t="shared" si="388"/>
        <v>266095120</v>
      </c>
      <c r="L534" s="56">
        <f t="shared" si="389"/>
        <v>0</v>
      </c>
      <c r="M534" s="66">
        <f t="shared" si="390"/>
        <v>0</v>
      </c>
      <c r="N534" s="66">
        <f t="shared" si="391"/>
        <v>0</v>
      </c>
      <c r="O534" s="66">
        <f t="shared" si="392"/>
        <v>0</v>
      </c>
      <c r="P534" s="68">
        <v>266095120</v>
      </c>
      <c r="Q534" s="53">
        <v>44236</v>
      </c>
      <c r="R534" s="1" t="s">
        <v>201</v>
      </c>
      <c r="S534" s="1"/>
      <c r="T534" s="53"/>
      <c r="U534" s="1"/>
      <c r="V534" s="1"/>
      <c r="W534" s="53"/>
      <c r="X534" s="1"/>
    </row>
    <row r="535" spans="1:26">
      <c r="A535" s="1" t="s">
        <v>100</v>
      </c>
      <c r="B535" s="39">
        <v>266095120</v>
      </c>
      <c r="C535" s="1"/>
      <c r="D535" s="4">
        <v>44167</v>
      </c>
      <c r="E535" s="39">
        <v>30</v>
      </c>
      <c r="F535" s="40">
        <f>D535+E535</f>
        <v>44197</v>
      </c>
      <c r="G535" s="27"/>
      <c r="H535" s="27"/>
      <c r="I535" s="27"/>
      <c r="J535" s="120">
        <f t="shared" si="394"/>
        <v>-1</v>
      </c>
      <c r="K535" s="66">
        <f t="shared" si="388"/>
        <v>266095120</v>
      </c>
      <c r="L535" s="56">
        <f t="shared" si="389"/>
        <v>0</v>
      </c>
      <c r="M535" s="66">
        <f t="shared" si="390"/>
        <v>0</v>
      </c>
      <c r="N535" s="66">
        <f t="shared" si="391"/>
        <v>0</v>
      </c>
      <c r="O535" s="66">
        <f t="shared" si="392"/>
        <v>0</v>
      </c>
      <c r="P535" s="68">
        <v>266095120</v>
      </c>
      <c r="Q535" s="53">
        <v>44238</v>
      </c>
      <c r="R535" s="1" t="s">
        <v>201</v>
      </c>
      <c r="S535" s="1"/>
      <c r="T535" s="53"/>
      <c r="U535" s="1"/>
      <c r="V535" s="1"/>
      <c r="W535" s="53"/>
      <c r="X535" s="1"/>
    </row>
    <row r="536" spans="1:26">
      <c r="A536" s="1" t="s">
        <v>100</v>
      </c>
      <c r="B536" s="39">
        <v>263251996</v>
      </c>
      <c r="C536" s="1"/>
      <c r="D536" s="4">
        <v>44168</v>
      </c>
      <c r="E536" s="39">
        <v>30</v>
      </c>
      <c r="F536" s="40">
        <f t="shared" si="393"/>
        <v>44198</v>
      </c>
      <c r="G536" s="27"/>
      <c r="H536" s="27"/>
      <c r="I536" s="27"/>
      <c r="J536" s="120">
        <f>$A$3-F536</f>
        <v>-2</v>
      </c>
      <c r="K536" s="66">
        <f t="shared" si="388"/>
        <v>263251996</v>
      </c>
      <c r="L536" s="56">
        <f t="shared" si="389"/>
        <v>0</v>
      </c>
      <c r="M536" s="66">
        <f t="shared" si="390"/>
        <v>0</v>
      </c>
      <c r="N536" s="66">
        <f t="shared" si="391"/>
        <v>0</v>
      </c>
      <c r="O536" s="66">
        <f t="shared" si="392"/>
        <v>0</v>
      </c>
      <c r="P536" s="68">
        <v>263251996</v>
      </c>
      <c r="Q536" s="53">
        <v>44237</v>
      </c>
      <c r="R536" s="1" t="s">
        <v>201</v>
      </c>
      <c r="S536" s="1"/>
      <c r="T536" s="53"/>
      <c r="U536" s="1"/>
      <c r="V536" s="1"/>
      <c r="W536" s="53"/>
      <c r="X536" s="1"/>
    </row>
    <row r="537" spans="1:26">
      <c r="A537" s="1" t="s">
        <v>100</v>
      </c>
      <c r="B537" s="39">
        <v>45783162</v>
      </c>
      <c r="C537" s="1"/>
      <c r="D537" s="4">
        <v>44176</v>
      </c>
      <c r="E537" s="39">
        <v>30</v>
      </c>
      <c r="F537" s="40">
        <f t="shared" si="393"/>
        <v>44206</v>
      </c>
      <c r="G537" s="27"/>
      <c r="H537" s="27"/>
      <c r="I537" s="27"/>
      <c r="J537" s="120">
        <f>$A$3-F537</f>
        <v>-10</v>
      </c>
      <c r="K537" s="66">
        <f t="shared" si="388"/>
        <v>45783162</v>
      </c>
      <c r="L537" s="56">
        <f t="shared" si="389"/>
        <v>0</v>
      </c>
      <c r="M537" s="66">
        <f t="shared" si="390"/>
        <v>0</v>
      </c>
      <c r="N537" s="66">
        <f t="shared" si="391"/>
        <v>0</v>
      </c>
      <c r="O537" s="66">
        <f t="shared" si="392"/>
        <v>0</v>
      </c>
      <c r="P537" s="68">
        <v>45783162</v>
      </c>
      <c r="Q537" s="53">
        <v>44236</v>
      </c>
      <c r="R537" s="1" t="s">
        <v>201</v>
      </c>
      <c r="S537" s="1"/>
      <c r="T537" s="53"/>
      <c r="U537" s="1"/>
      <c r="V537" s="1"/>
      <c r="W537" s="53"/>
      <c r="X537" s="1"/>
    </row>
    <row r="538" spans="1:26">
      <c r="A538" s="1" t="s">
        <v>100</v>
      </c>
      <c r="B538" s="39">
        <v>25333085</v>
      </c>
      <c r="C538" s="1"/>
      <c r="D538" s="4">
        <v>44177</v>
      </c>
      <c r="E538" s="39">
        <v>30</v>
      </c>
      <c r="F538" s="40">
        <f t="shared" si="393"/>
        <v>44207</v>
      </c>
      <c r="G538" s="27"/>
      <c r="H538" s="27"/>
      <c r="I538" s="27"/>
      <c r="J538" s="120">
        <f t="shared" si="394"/>
        <v>-11</v>
      </c>
      <c r="K538" s="66">
        <f t="shared" si="388"/>
        <v>25333085</v>
      </c>
      <c r="L538" s="56">
        <f t="shared" si="389"/>
        <v>0</v>
      </c>
      <c r="M538" s="66">
        <f t="shared" si="390"/>
        <v>0</v>
      </c>
      <c r="N538" s="66">
        <f t="shared" si="391"/>
        <v>0</v>
      </c>
      <c r="O538" s="66">
        <f t="shared" si="392"/>
        <v>0</v>
      </c>
      <c r="P538" s="68">
        <v>25333085</v>
      </c>
      <c r="Q538" s="53">
        <v>44237</v>
      </c>
      <c r="R538" s="1" t="s">
        <v>201</v>
      </c>
      <c r="S538" s="1"/>
      <c r="T538" s="53"/>
      <c r="U538" s="1"/>
      <c r="V538" s="1"/>
      <c r="W538" s="53"/>
      <c r="X538" s="1"/>
    </row>
    <row r="539" spans="1:26">
      <c r="A539" s="1" t="s">
        <v>100</v>
      </c>
      <c r="B539" s="39">
        <v>21930865</v>
      </c>
      <c r="C539" s="1"/>
      <c r="D539" s="4">
        <v>44179</v>
      </c>
      <c r="E539" s="39">
        <v>30</v>
      </c>
      <c r="F539" s="40">
        <f t="shared" si="393"/>
        <v>44209</v>
      </c>
      <c r="G539" s="27"/>
      <c r="H539" s="27"/>
      <c r="I539" s="27"/>
      <c r="J539" s="120">
        <f t="shared" si="394"/>
        <v>-13</v>
      </c>
      <c r="K539" s="66">
        <f t="shared" si="388"/>
        <v>21930865</v>
      </c>
      <c r="L539" s="56">
        <f t="shared" si="389"/>
        <v>0</v>
      </c>
      <c r="M539" s="66">
        <f t="shared" si="390"/>
        <v>0</v>
      </c>
      <c r="N539" s="66">
        <f t="shared" si="391"/>
        <v>0</v>
      </c>
      <c r="O539" s="66">
        <f t="shared" si="392"/>
        <v>0</v>
      </c>
      <c r="P539" s="68">
        <v>21930865</v>
      </c>
      <c r="Q539" s="53">
        <v>44237</v>
      </c>
      <c r="R539" s="1" t="s">
        <v>201</v>
      </c>
      <c r="S539" s="1"/>
      <c r="T539" s="53"/>
      <c r="U539" s="1"/>
      <c r="V539" s="1"/>
      <c r="W539" s="53"/>
      <c r="X539" s="1"/>
    </row>
    <row r="540" spans="1:26">
      <c r="A540" s="1" t="s">
        <v>100</v>
      </c>
      <c r="B540" s="39">
        <v>258953910</v>
      </c>
      <c r="C540" s="1"/>
      <c r="D540" s="4">
        <v>44180</v>
      </c>
      <c r="E540" s="39">
        <v>30</v>
      </c>
      <c r="F540" s="40">
        <f t="shared" si="393"/>
        <v>44210</v>
      </c>
      <c r="G540" s="27"/>
      <c r="H540" s="27"/>
      <c r="I540" s="27"/>
      <c r="J540" s="120">
        <f t="shared" si="394"/>
        <v>-14</v>
      </c>
      <c r="K540" s="66">
        <f t="shared" si="388"/>
        <v>258953910</v>
      </c>
      <c r="L540" s="56">
        <f t="shared" si="389"/>
        <v>0</v>
      </c>
      <c r="M540" s="66">
        <f t="shared" si="390"/>
        <v>0</v>
      </c>
      <c r="N540" s="66">
        <f t="shared" si="391"/>
        <v>0</v>
      </c>
      <c r="O540" s="66">
        <f t="shared" si="392"/>
        <v>0</v>
      </c>
      <c r="P540" s="68">
        <v>258953910</v>
      </c>
      <c r="Q540" s="53">
        <v>44237</v>
      </c>
      <c r="R540" s="1" t="s">
        <v>201</v>
      </c>
      <c r="S540" s="1"/>
      <c r="T540" s="53"/>
      <c r="U540" s="1"/>
      <c r="V540" s="1"/>
      <c r="W540" s="53"/>
      <c r="X540" s="1"/>
    </row>
    <row r="541" spans="1:26">
      <c r="A541" s="1" t="s">
        <v>100</v>
      </c>
      <c r="B541" s="39">
        <v>54904300</v>
      </c>
      <c r="C541" s="1"/>
      <c r="D541" s="4">
        <v>44181</v>
      </c>
      <c r="E541" s="39">
        <v>30</v>
      </c>
      <c r="F541" s="40">
        <f t="shared" si="393"/>
        <v>44211</v>
      </c>
      <c r="G541" s="27"/>
      <c r="H541" s="27"/>
      <c r="I541" s="27"/>
      <c r="J541" s="120">
        <f t="shared" si="394"/>
        <v>-15</v>
      </c>
      <c r="K541" s="66">
        <f t="shared" si="388"/>
        <v>54904300</v>
      </c>
      <c r="L541" s="56">
        <f t="shared" si="389"/>
        <v>0</v>
      </c>
      <c r="M541" s="66">
        <f t="shared" si="390"/>
        <v>0</v>
      </c>
      <c r="N541" s="66">
        <f t="shared" si="391"/>
        <v>0</v>
      </c>
      <c r="O541" s="66">
        <f t="shared" si="392"/>
        <v>0</v>
      </c>
      <c r="P541" s="68">
        <v>54904300</v>
      </c>
      <c r="Q541" s="53">
        <v>44238</v>
      </c>
      <c r="R541" s="1" t="s">
        <v>201</v>
      </c>
      <c r="S541" s="1"/>
      <c r="T541" s="53"/>
      <c r="U541" s="1"/>
      <c r="V541" s="1"/>
      <c r="W541" s="53"/>
      <c r="X541" s="1"/>
    </row>
    <row r="542" spans="1:26">
      <c r="A542" s="1" t="s">
        <v>100</v>
      </c>
      <c r="B542" s="39">
        <v>248522499</v>
      </c>
      <c r="C542" s="1"/>
      <c r="D542" s="4">
        <v>44186</v>
      </c>
      <c r="E542" s="39">
        <v>30</v>
      </c>
      <c r="F542" s="40">
        <f t="shared" si="393"/>
        <v>44216</v>
      </c>
      <c r="G542" s="27"/>
      <c r="H542" s="27"/>
      <c r="I542" s="27"/>
      <c r="J542" s="120">
        <f t="shared" si="394"/>
        <v>-20</v>
      </c>
      <c r="K542" s="66">
        <f t="shared" si="388"/>
        <v>248522499</v>
      </c>
      <c r="L542" s="56">
        <f t="shared" si="389"/>
        <v>0</v>
      </c>
      <c r="M542" s="66">
        <f t="shared" si="390"/>
        <v>0</v>
      </c>
      <c r="N542" s="66">
        <f t="shared" si="391"/>
        <v>0</v>
      </c>
      <c r="O542" s="66">
        <f t="shared" si="392"/>
        <v>0</v>
      </c>
      <c r="P542" s="68">
        <v>248522499</v>
      </c>
      <c r="Q542" s="53">
        <v>44238</v>
      </c>
      <c r="R542" s="1" t="s">
        <v>201</v>
      </c>
      <c r="S542" s="1"/>
      <c r="T542" s="53"/>
      <c r="U542" s="1"/>
      <c r="V542" s="1"/>
      <c r="W542" s="53"/>
      <c r="X542" s="1"/>
    </row>
    <row r="543" spans="1:26">
      <c r="A543" s="1" t="s">
        <v>100</v>
      </c>
      <c r="B543" s="39">
        <v>252871747</v>
      </c>
      <c r="C543" s="1"/>
      <c r="D543" s="4">
        <v>44186</v>
      </c>
      <c r="E543" s="39">
        <v>30</v>
      </c>
      <c r="F543" s="40">
        <f t="shared" si="393"/>
        <v>44216</v>
      </c>
      <c r="G543" s="27"/>
      <c r="H543" s="27"/>
      <c r="I543" s="27"/>
      <c r="J543" s="120">
        <f t="shared" si="394"/>
        <v>-20</v>
      </c>
      <c r="K543" s="66">
        <f t="shared" si="388"/>
        <v>252871747</v>
      </c>
      <c r="L543" s="56">
        <f t="shared" si="389"/>
        <v>0</v>
      </c>
      <c r="M543" s="66">
        <f t="shared" si="390"/>
        <v>0</v>
      </c>
      <c r="N543" s="66">
        <f t="shared" si="391"/>
        <v>0</v>
      </c>
      <c r="O543" s="66">
        <f t="shared" si="392"/>
        <v>0</v>
      </c>
      <c r="P543" s="68">
        <v>252871747</v>
      </c>
      <c r="Q543" s="53">
        <v>44238</v>
      </c>
      <c r="R543" s="1" t="s">
        <v>201</v>
      </c>
      <c r="S543" s="1"/>
      <c r="T543" s="53"/>
      <c r="U543" s="1"/>
      <c r="V543" s="1"/>
      <c r="W543" s="53"/>
      <c r="X543" s="1"/>
    </row>
    <row r="544" spans="1:26">
      <c r="A544" s="1" t="s">
        <v>100</v>
      </c>
      <c r="B544" s="39">
        <v>64089042</v>
      </c>
      <c r="C544" s="1"/>
      <c r="D544" s="4">
        <v>44187</v>
      </c>
      <c r="E544" s="39">
        <v>30</v>
      </c>
      <c r="F544" s="40">
        <f t="shared" si="393"/>
        <v>44217</v>
      </c>
      <c r="G544" s="27"/>
      <c r="H544" s="27"/>
      <c r="I544" s="27"/>
      <c r="J544" s="120">
        <f t="shared" si="394"/>
        <v>-21</v>
      </c>
      <c r="K544" s="66">
        <f t="shared" si="388"/>
        <v>64089042</v>
      </c>
      <c r="L544" s="56">
        <f t="shared" si="389"/>
        <v>0</v>
      </c>
      <c r="M544" s="66">
        <f t="shared" si="390"/>
        <v>0</v>
      </c>
      <c r="N544" s="66">
        <f t="shared" si="391"/>
        <v>0</v>
      </c>
      <c r="O544" s="66">
        <f t="shared" si="392"/>
        <v>0</v>
      </c>
      <c r="P544" s="68">
        <v>64089042</v>
      </c>
      <c r="Q544" s="53">
        <v>44238</v>
      </c>
      <c r="R544" s="1" t="s">
        <v>201</v>
      </c>
      <c r="S544" s="1"/>
      <c r="T544" s="53"/>
      <c r="U544" s="1"/>
      <c r="V544" s="1"/>
      <c r="W544" s="53"/>
      <c r="X544" s="1"/>
    </row>
    <row r="545" spans="1:24">
      <c r="A545" s="1" t="s">
        <v>100</v>
      </c>
      <c r="B545" s="39">
        <v>109703876</v>
      </c>
      <c r="C545" s="1"/>
      <c r="D545" s="4">
        <v>44190</v>
      </c>
      <c r="E545" s="39">
        <v>30</v>
      </c>
      <c r="F545" s="40">
        <f t="shared" si="393"/>
        <v>44220</v>
      </c>
      <c r="G545" s="27"/>
      <c r="H545" s="27"/>
      <c r="I545" s="27"/>
      <c r="J545" s="120">
        <f t="shared" si="394"/>
        <v>-24</v>
      </c>
      <c r="K545" s="66">
        <f t="shared" si="388"/>
        <v>109703876</v>
      </c>
      <c r="L545" s="56">
        <f t="shared" si="389"/>
        <v>0</v>
      </c>
      <c r="M545" s="66">
        <f t="shared" si="390"/>
        <v>0</v>
      </c>
      <c r="N545" s="66">
        <f t="shared" si="391"/>
        <v>0</v>
      </c>
      <c r="O545" s="66">
        <f t="shared" si="392"/>
        <v>0</v>
      </c>
      <c r="P545" s="68">
        <v>109703876</v>
      </c>
      <c r="Q545" s="53">
        <v>44238</v>
      </c>
      <c r="R545" s="1" t="s">
        <v>201</v>
      </c>
      <c r="S545" s="1"/>
      <c r="T545" s="53"/>
      <c r="U545" s="1"/>
      <c r="V545" s="1"/>
      <c r="W545" s="53"/>
      <c r="X545" s="1"/>
    </row>
    <row r="546" spans="1:24">
      <c r="A546" s="1" t="s">
        <v>100</v>
      </c>
      <c r="B546" s="39">
        <v>1825200</v>
      </c>
      <c r="C546" s="1"/>
      <c r="D546" s="4">
        <v>44193</v>
      </c>
      <c r="E546" s="39">
        <v>30</v>
      </c>
      <c r="F546" s="40">
        <f t="shared" si="393"/>
        <v>44223</v>
      </c>
      <c r="G546" s="27"/>
      <c r="H546" s="27"/>
      <c r="I546" s="27"/>
      <c r="J546" s="120">
        <f t="shared" si="394"/>
        <v>-27</v>
      </c>
      <c r="K546" s="66">
        <f t="shared" si="388"/>
        <v>1825200</v>
      </c>
      <c r="L546" s="56">
        <f t="shared" si="389"/>
        <v>0</v>
      </c>
      <c r="M546" s="66">
        <f t="shared" si="390"/>
        <v>0</v>
      </c>
      <c r="N546" s="66">
        <f t="shared" si="391"/>
        <v>0</v>
      </c>
      <c r="O546" s="66">
        <f t="shared" si="392"/>
        <v>0</v>
      </c>
      <c r="P546" s="69">
        <v>1825200</v>
      </c>
      <c r="Q546" s="53">
        <v>44203</v>
      </c>
      <c r="R546" s="1" t="s">
        <v>202</v>
      </c>
      <c r="S546" s="1"/>
      <c r="T546" s="53"/>
      <c r="U546" s="1"/>
      <c r="V546" s="1"/>
      <c r="W546" s="53"/>
      <c r="X546" s="1"/>
    </row>
    <row r="547" spans="1:24">
      <c r="A547" s="1" t="s">
        <v>100</v>
      </c>
      <c r="B547" s="39">
        <v>106324287</v>
      </c>
      <c r="C547" s="1"/>
      <c r="D547" s="4">
        <v>44193</v>
      </c>
      <c r="E547" s="39">
        <v>30</v>
      </c>
      <c r="F547" s="40">
        <f t="shared" si="393"/>
        <v>44223</v>
      </c>
      <c r="G547" s="27"/>
      <c r="H547" s="27"/>
      <c r="I547" s="27"/>
      <c r="J547" s="120">
        <f t="shared" si="394"/>
        <v>-27</v>
      </c>
      <c r="K547" s="66">
        <f t="shared" si="388"/>
        <v>106324287</v>
      </c>
      <c r="L547" s="56">
        <f t="shared" si="389"/>
        <v>0</v>
      </c>
      <c r="M547" s="66">
        <f t="shared" si="390"/>
        <v>0</v>
      </c>
      <c r="N547" s="66">
        <f t="shared" si="391"/>
        <v>0</v>
      </c>
      <c r="O547" s="66">
        <f t="shared" si="392"/>
        <v>0</v>
      </c>
      <c r="P547" s="68">
        <v>106324287</v>
      </c>
      <c r="Q547" s="53">
        <v>44238</v>
      </c>
      <c r="R547" s="1" t="s">
        <v>201</v>
      </c>
      <c r="S547" s="1"/>
      <c r="T547" s="53"/>
      <c r="U547" s="1"/>
      <c r="V547" s="1"/>
      <c r="W547" s="53"/>
      <c r="X547" s="1"/>
    </row>
    <row r="548" spans="1:24">
      <c r="A548" s="1" t="s">
        <v>100</v>
      </c>
      <c r="B548" s="39">
        <v>1870000</v>
      </c>
      <c r="C548" s="1"/>
      <c r="D548" s="4">
        <v>44194</v>
      </c>
      <c r="E548" s="39">
        <v>30</v>
      </c>
      <c r="F548" s="40">
        <f t="shared" si="393"/>
        <v>44224</v>
      </c>
      <c r="G548" s="27"/>
      <c r="H548" s="27"/>
      <c r="I548" s="27"/>
      <c r="J548" s="120">
        <f t="shared" si="394"/>
        <v>-28</v>
      </c>
      <c r="K548" s="66">
        <f t="shared" si="388"/>
        <v>1870000</v>
      </c>
      <c r="L548" s="56">
        <f t="shared" si="389"/>
        <v>0</v>
      </c>
      <c r="M548" s="66">
        <f t="shared" si="390"/>
        <v>0</v>
      </c>
      <c r="N548" s="66">
        <f t="shared" si="391"/>
        <v>0</v>
      </c>
      <c r="O548" s="66">
        <f t="shared" si="392"/>
        <v>0</v>
      </c>
      <c r="P548" s="69">
        <v>1870000</v>
      </c>
      <c r="Q548" s="53">
        <v>44203</v>
      </c>
      <c r="R548" s="1" t="s">
        <v>202</v>
      </c>
      <c r="S548" s="1"/>
      <c r="T548" s="53"/>
      <c r="U548" s="1"/>
      <c r="V548" s="1"/>
      <c r="W548" s="53"/>
      <c r="X548" s="1"/>
    </row>
    <row r="549" spans="1:24">
      <c r="A549" s="1" t="s">
        <v>100</v>
      </c>
      <c r="B549" s="39">
        <v>1761200</v>
      </c>
      <c r="C549" s="1"/>
      <c r="D549" s="4">
        <v>44195</v>
      </c>
      <c r="E549" s="39">
        <v>30</v>
      </c>
      <c r="F549" s="40">
        <f t="shared" si="393"/>
        <v>44225</v>
      </c>
      <c r="G549" s="27"/>
      <c r="H549" s="27"/>
      <c r="I549" s="27"/>
      <c r="J549" s="120">
        <f t="shared" si="394"/>
        <v>-29</v>
      </c>
      <c r="K549" s="66">
        <f t="shared" si="388"/>
        <v>1761200</v>
      </c>
      <c r="L549" s="56">
        <f t="shared" si="389"/>
        <v>0</v>
      </c>
      <c r="M549" s="66">
        <f t="shared" si="390"/>
        <v>0</v>
      </c>
      <c r="N549" s="66">
        <f t="shared" si="391"/>
        <v>0</v>
      </c>
      <c r="O549" s="66">
        <f t="shared" si="392"/>
        <v>0</v>
      </c>
      <c r="P549" s="69">
        <v>1761200</v>
      </c>
      <c r="Q549" s="53">
        <v>44203</v>
      </c>
      <c r="R549" s="1" t="s">
        <v>202</v>
      </c>
      <c r="S549" s="1"/>
      <c r="T549" s="53"/>
      <c r="U549" s="1"/>
      <c r="V549" s="1"/>
      <c r="W549" s="53"/>
      <c r="X549" s="1"/>
    </row>
    <row r="550" spans="1:24">
      <c r="A550" s="1" t="s">
        <v>100</v>
      </c>
      <c r="B550" s="39">
        <v>1226400</v>
      </c>
      <c r="C550" s="1"/>
      <c r="D550" s="4">
        <v>44196</v>
      </c>
      <c r="E550" s="39">
        <v>30</v>
      </c>
      <c r="F550" s="40">
        <f t="shared" si="393"/>
        <v>44226</v>
      </c>
      <c r="G550" s="27"/>
      <c r="H550" s="27"/>
      <c r="I550" s="27"/>
      <c r="J550" s="120">
        <f t="shared" si="394"/>
        <v>-30</v>
      </c>
      <c r="K550" s="66">
        <f t="shared" si="388"/>
        <v>1226400</v>
      </c>
      <c r="L550" s="56">
        <f t="shared" si="389"/>
        <v>0</v>
      </c>
      <c r="M550" s="66">
        <f t="shared" si="390"/>
        <v>0</v>
      </c>
      <c r="N550" s="66">
        <f t="shared" si="391"/>
        <v>0</v>
      </c>
      <c r="O550" s="66">
        <f t="shared" si="392"/>
        <v>0</v>
      </c>
      <c r="P550" s="69">
        <v>1226400</v>
      </c>
      <c r="Q550" s="53">
        <v>44203</v>
      </c>
      <c r="R550" s="1" t="s">
        <v>202</v>
      </c>
      <c r="S550" s="1"/>
      <c r="T550" s="53"/>
      <c r="U550" s="1"/>
      <c r="V550" s="1"/>
      <c r="W550" s="53"/>
      <c r="X550" s="1"/>
    </row>
    <row r="551" spans="1:24">
      <c r="A551" s="1" t="s">
        <v>100</v>
      </c>
      <c r="B551" s="39">
        <v>1699834</v>
      </c>
      <c r="C551" s="1"/>
      <c r="D551" s="4">
        <v>44196</v>
      </c>
      <c r="E551" s="39">
        <v>30</v>
      </c>
      <c r="F551" s="40">
        <f t="shared" si="393"/>
        <v>44226</v>
      </c>
      <c r="G551" s="27"/>
      <c r="H551" s="27"/>
      <c r="I551" s="27"/>
      <c r="J551" s="120">
        <f t="shared" si="394"/>
        <v>-30</v>
      </c>
      <c r="K551" s="66">
        <f t="shared" si="388"/>
        <v>1699834</v>
      </c>
      <c r="L551" s="56">
        <f t="shared" si="389"/>
        <v>0</v>
      </c>
      <c r="M551" s="66">
        <f t="shared" si="390"/>
        <v>0</v>
      </c>
      <c r="N551" s="66">
        <f t="shared" si="391"/>
        <v>0</v>
      </c>
      <c r="O551" s="66">
        <f t="shared" si="392"/>
        <v>0</v>
      </c>
      <c r="P551" s="68">
        <v>1699834</v>
      </c>
      <c r="Q551" s="53">
        <v>44236</v>
      </c>
      <c r="R551" s="1" t="s">
        <v>201</v>
      </c>
      <c r="S551" s="1"/>
      <c r="T551" s="53"/>
      <c r="U551" s="1"/>
      <c r="V551" s="1"/>
      <c r="W551" s="53"/>
      <c r="X551" s="1"/>
    </row>
    <row r="552" spans="1:24" s="21" customFormat="1">
      <c r="A552" s="2"/>
      <c r="B552" s="2"/>
      <c r="C552" s="2"/>
      <c r="D552" s="2"/>
      <c r="E552" s="2"/>
      <c r="F552" s="2"/>
      <c r="G552" s="70"/>
      <c r="H552" s="70"/>
      <c r="I552" s="70"/>
      <c r="J552" s="118"/>
      <c r="K552" s="71">
        <f>SUM(K8:K551)</f>
        <v>7552183808</v>
      </c>
      <c r="L552" s="71">
        <f>SUM(L8:L551)</f>
        <v>1169547930</v>
      </c>
      <c r="M552" s="71">
        <f>SUM(M8:M551)</f>
        <v>265263198</v>
      </c>
      <c r="N552" s="71">
        <f>SUM(N8:N551)</f>
        <v>75373754</v>
      </c>
      <c r="O552" s="71">
        <f>SUM(O8:O551)</f>
        <v>143873883</v>
      </c>
      <c r="P552" s="71"/>
      <c r="Q552" s="52"/>
      <c r="R552" s="2"/>
      <c r="S552" s="2"/>
      <c r="T552" s="53"/>
      <c r="U552" s="2"/>
      <c r="V552" s="2"/>
      <c r="W552" s="53"/>
      <c r="X552" s="2"/>
    </row>
    <row r="553" spans="1:24">
      <c r="K553" s="18"/>
    </row>
    <row r="554" spans="1:24">
      <c r="K554" s="16"/>
    </row>
    <row r="555" spans="1:24">
      <c r="K555" s="23"/>
    </row>
  </sheetData>
  <autoFilter ref="A6:O551" xr:uid="{00000000-0001-0000-0000-000000000000}"/>
  <mergeCells count="54">
    <mergeCell ref="J5:O5"/>
    <mergeCell ref="P5:X5"/>
    <mergeCell ref="A92:A116"/>
    <mergeCell ref="C5:D5"/>
    <mergeCell ref="E5:F5"/>
    <mergeCell ref="A7:A78"/>
    <mergeCell ref="A79:A86"/>
    <mergeCell ref="A87:A90"/>
    <mergeCell ref="A174:A178"/>
    <mergeCell ref="A117:A123"/>
    <mergeCell ref="A124:A126"/>
    <mergeCell ref="A127:A131"/>
    <mergeCell ref="A132:A135"/>
    <mergeCell ref="A137:A141"/>
    <mergeCell ref="A142:A146"/>
    <mergeCell ref="A147:A153"/>
    <mergeCell ref="A156:A160"/>
    <mergeCell ref="A161:A165"/>
    <mergeCell ref="A166:A170"/>
    <mergeCell ref="A171:A173"/>
    <mergeCell ref="A328:A354"/>
    <mergeCell ref="A179:A182"/>
    <mergeCell ref="A183:A191"/>
    <mergeCell ref="A192:A194"/>
    <mergeCell ref="A195:A198"/>
    <mergeCell ref="A199:A230"/>
    <mergeCell ref="A231:A248"/>
    <mergeCell ref="A250:A302"/>
    <mergeCell ref="A303:A311"/>
    <mergeCell ref="A312:A319"/>
    <mergeCell ref="A321:A323"/>
    <mergeCell ref="A324:A327"/>
    <mergeCell ref="A448:A451"/>
    <mergeCell ref="A356:A360"/>
    <mergeCell ref="A362:A365"/>
    <mergeCell ref="A366:A370"/>
    <mergeCell ref="A372:A375"/>
    <mergeCell ref="A377:A381"/>
    <mergeCell ref="A382:A385"/>
    <mergeCell ref="A387:A427"/>
    <mergeCell ref="A431:A434"/>
    <mergeCell ref="A435:A437"/>
    <mergeCell ref="A439:A441"/>
    <mergeCell ref="A444:A446"/>
    <mergeCell ref="A498:A500"/>
    <mergeCell ref="A502:A505"/>
    <mergeCell ref="A507:A509"/>
    <mergeCell ref="A510:A513"/>
    <mergeCell ref="A452:A456"/>
    <mergeCell ref="A459:A461"/>
    <mergeCell ref="A466:A471"/>
    <mergeCell ref="A473:A477"/>
    <mergeCell ref="A478:A481"/>
    <mergeCell ref="A482:A495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KONSOL</vt:lpstr>
      <vt:lpstr>Summary ISP</vt:lpstr>
      <vt:lpstr>Summay IAS</vt:lpstr>
      <vt:lpstr>Hutang IAS Des 24</vt:lpstr>
      <vt:lpstr>Piutang IAS Des 24</vt:lpstr>
      <vt:lpstr>Hutang ISP Des 24</vt:lpstr>
      <vt:lpstr>Piutang ISP Des 24</vt:lpstr>
      <vt:lpstr>Piutang IAS Sept 24</vt:lpstr>
      <vt:lpstr>Hutang IAS Sept 24</vt:lpstr>
      <vt:lpstr>Hutang Usaha ISP Sept 2024</vt:lpstr>
      <vt:lpstr>Piutang ISP Sept 24</vt:lpstr>
      <vt:lpstr>Hutang Usaha IAS Juni 24</vt:lpstr>
      <vt:lpstr>Hutang Usaha ISP Juni 2024</vt:lpstr>
      <vt:lpstr>Piutang ISP Juni 24</vt:lpstr>
      <vt:lpstr>Piutang IAS Juni 24</vt:lpstr>
      <vt:lpstr>Hutang Usaha IAS 23</vt:lpstr>
      <vt:lpstr>Piutang IAS 2023</vt:lpstr>
      <vt:lpstr>Piutang Usaha ISP 2023</vt:lpstr>
      <vt:lpstr>Hutang Usaha ISP 2023</vt:lpstr>
      <vt:lpstr>Piutang Usaha 2022</vt:lpstr>
      <vt:lpstr>Hutang Usaha ISP 2022</vt:lpstr>
      <vt:lpstr>Piutang Usaha 2021</vt:lpstr>
      <vt:lpstr>Hutang Usaha ISP 2021</vt:lpstr>
      <vt:lpstr>Piutang Usaha ISP 2020</vt:lpstr>
      <vt:lpstr>Utang Usaha ISP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PC</dc:creator>
  <cp:lastModifiedBy>KAP MGN 1</cp:lastModifiedBy>
  <dcterms:created xsi:type="dcterms:W3CDTF">2023-11-17T08:08:17Z</dcterms:created>
  <dcterms:modified xsi:type="dcterms:W3CDTF">2025-02-20T13:30:00Z</dcterms:modified>
</cp:coreProperties>
</file>